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kas\Downloads\"/>
    </mc:Choice>
  </mc:AlternateContent>
  <xr:revisionPtr revIDLastSave="0" documentId="13_ncr:1_{AA2ADC03-7B5B-4610-B211-CD9794C1B8C9}" xr6:coauthVersionLast="47" xr6:coauthVersionMax="47" xr10:uidLastSave="{00000000-0000-0000-0000-000000000000}"/>
  <bookViews>
    <workbookView xWindow="-120" yWindow="-120" windowWidth="29040" windowHeight="15840" activeTab="1" xr2:uid="{61DA04AB-EC66-4C51-BC11-77409D9E55BA}"/>
    <workbookView xWindow="-120" yWindow="-120" windowWidth="29040" windowHeight="15840" activeTab="4" xr2:uid="{2246D549-78C7-49F8-9B56-B2E5F3266F1C}"/>
  </bookViews>
  <sheets>
    <sheet name="sim" sheetId="1" r:id="rId1"/>
    <sheet name="Display" sheetId="4" r:id="rId2"/>
    <sheet name="Antwortbericht 1" sheetId="5" r:id="rId3"/>
    <sheet name="Grundgesamtheits-Bericht 1" sheetId="6" r:id="rId4"/>
    <sheet name="Konst" sheetId="2" r:id="rId5"/>
    <sheet name="surface" sheetId="3" r:id="rId6"/>
  </sheets>
  <definedNames>
    <definedName name="Dcap">Konst!$B$6</definedName>
    <definedName name="DT">Konst!$B$1</definedName>
    <definedName name="Kd">Konst!$B$5</definedName>
    <definedName name="Ki">Konst!$B$4</definedName>
    <definedName name="Kp">Konst!$B$3</definedName>
    <definedName name="Ksoll">Konst!$B$2</definedName>
    <definedName name="solver_adj" localSheetId="1" hidden="1">Display!$B$7:$B$9</definedName>
    <definedName name="solver_adj" localSheetId="4" hidden="1">Konst!$B$3:$B$5,Konst!$B$8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ng" localSheetId="1" hidden="1">3</definedName>
    <definedName name="solver_eng" localSheetId="4" hidden="1">3</definedName>
    <definedName name="solver_est" localSheetId="1" hidden="1">1</definedName>
    <definedName name="solver_est" localSheetId="4" hidden="1">1</definedName>
    <definedName name="solver_itr" localSheetId="1" hidden="1">2147483647</definedName>
    <definedName name="solver_itr" localSheetId="4" hidden="1">2147483647</definedName>
    <definedName name="solver_lhs1" localSheetId="1" hidden="1">Display!$B$7:$B$9</definedName>
    <definedName name="solver_lhs1" localSheetId="4" hidden="1">Konst!$B$5</definedName>
    <definedName name="solver_lhs2" localSheetId="4" hidden="1">Konst!$B$5</definedName>
    <definedName name="solver_lhs3" localSheetId="4" hidden="1">Konst!$B$4</definedName>
    <definedName name="solver_lhs4" localSheetId="4" hidden="1">Konst!$B$4</definedName>
    <definedName name="solver_lhs5" localSheetId="4" hidden="1">Konst!$B$3</definedName>
    <definedName name="solver_lhs6" localSheetId="4" hidden="1">Konst!$B$3</definedName>
    <definedName name="solver_lhs7" localSheetId="4" hidden="1">Konst!$B$8</definedName>
    <definedName name="solver_lhs8" localSheetId="4" hidden="1">Konst!$B$8</definedName>
    <definedName name="solver_mip" localSheetId="1" hidden="1">2147483647</definedName>
    <definedName name="solver_mip" localSheetId="4" hidden="1">2147483647</definedName>
    <definedName name="solver_mni" localSheetId="1" hidden="1">30</definedName>
    <definedName name="solver_mni" localSheetId="4" hidden="1">30</definedName>
    <definedName name="solver_mrt" localSheetId="1" hidden="1">0.075</definedName>
    <definedName name="solver_mrt" localSheetId="4" hidden="1">0.075</definedName>
    <definedName name="solver_msl" localSheetId="1" hidden="1">2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1" hidden="1">2147483647</definedName>
    <definedName name="solver_nod" localSheetId="4" hidden="1">2147483647</definedName>
    <definedName name="solver_num" localSheetId="1" hidden="1">1</definedName>
    <definedName name="solver_num" localSheetId="4" hidden="1">8</definedName>
    <definedName name="solver_nwt" localSheetId="1" hidden="1">1</definedName>
    <definedName name="solver_nwt" localSheetId="4" hidden="1">1</definedName>
    <definedName name="solver_opt" localSheetId="1" hidden="1">Display!$B$16</definedName>
    <definedName name="solver_opt" localSheetId="4" hidden="1">Konst!$B$12</definedName>
    <definedName name="solver_pre" localSheetId="1" hidden="1">0.000001</definedName>
    <definedName name="solver_pre" localSheetId="4" hidden="1">0.000001</definedName>
    <definedName name="solver_rbv" localSheetId="1" hidden="1">1</definedName>
    <definedName name="solver_rbv" localSheetId="4" hidden="1">1</definedName>
    <definedName name="solver_rel1" localSheetId="1" hidden="1">3</definedName>
    <definedName name="solver_rel1" localSheetId="4" hidden="1">1</definedName>
    <definedName name="solver_rel2" localSheetId="4" hidden="1">3</definedName>
    <definedName name="solver_rel3" localSheetId="4" hidden="1">1</definedName>
    <definedName name="solver_rel4" localSheetId="4" hidden="1">3</definedName>
    <definedName name="solver_rel5" localSheetId="4" hidden="1">1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hs1" localSheetId="1" hidden="1">0</definedName>
    <definedName name="solver_rhs1" localSheetId="4" hidden="1">100</definedName>
    <definedName name="solver_rhs2" localSheetId="4" hidden="1">0</definedName>
    <definedName name="solver_rhs3" localSheetId="4" hidden="1">100</definedName>
    <definedName name="solver_rhs4" localSheetId="4" hidden="1">0</definedName>
    <definedName name="solver_rhs5" localSheetId="4" hidden="1">100</definedName>
    <definedName name="solver_rhs6" localSheetId="4" hidden="1">0</definedName>
    <definedName name="solver_rhs7" localSheetId="4" hidden="1">Konst!$C$8</definedName>
    <definedName name="solver_rhs8" localSheetId="4" hidden="1">0</definedName>
    <definedName name="solver_rlx" localSheetId="1" hidden="1">2</definedName>
    <definedName name="solver_rlx" localSheetId="4" hidden="1">2</definedName>
    <definedName name="solver_rsd" localSheetId="1" hidden="1">0</definedName>
    <definedName name="solver_rsd" localSheetId="4" hidden="1">0</definedName>
    <definedName name="solver_scl" localSheetId="1" hidden="1">1</definedName>
    <definedName name="solver_scl" localSheetId="4" hidden="1">1</definedName>
    <definedName name="solver_sho" localSheetId="1" hidden="1">2</definedName>
    <definedName name="solver_sho" localSheetId="4" hidden="1">2</definedName>
    <definedName name="solver_ssz" localSheetId="1" hidden="1">100</definedName>
    <definedName name="solver_ssz" localSheetId="4" hidden="1">100</definedName>
    <definedName name="solver_tim" localSheetId="1" hidden="1">2147483647</definedName>
    <definedName name="solver_tim" localSheetId="4" hidden="1">2147483647</definedName>
    <definedName name="solver_tol" localSheetId="1" hidden="1">0.01</definedName>
    <definedName name="solver_tol" localSheetId="4" hidden="1">0.01</definedName>
    <definedName name="solver_typ" localSheetId="1" hidden="1">2</definedName>
    <definedName name="solver_typ" localSheetId="4" hidden="1">2</definedName>
    <definedName name="solver_val" localSheetId="1" hidden="1">0</definedName>
    <definedName name="solver_val" localSheetId="4" hidden="1">0</definedName>
    <definedName name="solver_ver" localSheetId="1" hidden="1">3</definedName>
    <definedName name="solver_ver" localSheetId="4" hidden="1">3</definedName>
    <definedName name="usFrontD">Konst!$B$7</definedName>
    <definedName name="usNoTarget">Konst!$B$9</definedName>
    <definedName name="usrot">Konst!$B$8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2" l="1"/>
  <c r="C8" i="2"/>
  <c r="D2" i="4" l="1"/>
  <c r="F2" i="4"/>
  <c r="B6" i="3"/>
  <c r="C6" i="3"/>
  <c r="F6" i="3"/>
  <c r="G6" i="3"/>
  <c r="H6" i="3"/>
  <c r="I6" i="3"/>
  <c r="B4" i="3"/>
  <c r="C4" i="3"/>
  <c r="B5" i="3"/>
  <c r="C5" i="3"/>
  <c r="I5" i="3" s="1"/>
  <c r="C3" i="3"/>
  <c r="B3" i="3"/>
  <c r="AI2" i="1"/>
  <c r="AJ2" i="1" a="1"/>
  <c r="AJ2" i="1" s="1"/>
  <c r="F3" i="3"/>
  <c r="G3" i="3"/>
  <c r="F4" i="3"/>
  <c r="G4" i="3"/>
  <c r="F5" i="3"/>
  <c r="G5" i="3"/>
  <c r="H4" i="3"/>
  <c r="I4" i="3"/>
  <c r="H5" i="3"/>
  <c r="H2" i="3"/>
  <c r="I2" i="3"/>
  <c r="I3" i="3"/>
  <c r="H3" i="3"/>
  <c r="G2" i="3"/>
  <c r="F2" i="3"/>
  <c r="V2" i="1" a="1"/>
  <c r="V2" i="1" s="1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" i="1"/>
  <c r="A8" i="4" l="1" a="1"/>
  <c r="A8" i="4" s="1"/>
  <c r="E2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L2" i="1"/>
  <c r="J2" i="1" l="1"/>
  <c r="S2" i="1" l="1"/>
  <c r="R2" i="1"/>
  <c r="O2" i="1" s="1"/>
  <c r="N2" i="1" l="1"/>
  <c r="AR2" i="1"/>
  <c r="AQ2" i="1"/>
  <c r="Q2" i="1"/>
  <c r="AC2" i="1"/>
  <c r="AP2" i="1" l="1"/>
  <c r="AT2" i="1" s="1"/>
  <c r="P2" i="1"/>
  <c r="AS2" i="1" l="1"/>
  <c r="AU2" i="1" l="1"/>
  <c r="U3" i="1" s="1"/>
  <c r="AB2" i="1"/>
  <c r="AD2" i="1" s="1"/>
  <c r="AF2" i="1" s="1"/>
  <c r="AV2" i="1" l="1"/>
  <c r="AI3" i="1"/>
  <c r="AJ3" i="1" s="1" a="1"/>
  <c r="AJ3" i="1" s="1"/>
  <c r="AE2" i="1"/>
  <c r="AG2" i="1" l="1"/>
  <c r="AH2" i="1" s="1"/>
  <c r="F2" i="1" s="1"/>
  <c r="J3" i="1" s="1"/>
  <c r="I2" i="1" l="1"/>
  <c r="M2" i="1" s="1"/>
  <c r="H2" i="1" s="1"/>
  <c r="E3" i="1" s="1"/>
  <c r="D3" i="1" s="1"/>
  <c r="C3" i="1" l="1"/>
  <c r="U4" i="1" s="1"/>
  <c r="V4" i="1" s="1" a="1"/>
  <c r="V4" i="1" s="1"/>
  <c r="R3" i="1"/>
  <c r="S3" i="1"/>
  <c r="AR3" i="1" l="1"/>
  <c r="O3" i="1"/>
  <c r="AQ3" i="1" s="1"/>
  <c r="N3" i="1"/>
  <c r="AP3" i="1" s="1"/>
  <c r="P3" i="1" l="1"/>
  <c r="Q3" i="1"/>
  <c r="AT3" i="1"/>
  <c r="AS3" i="1"/>
  <c r="V3" i="1" a="1"/>
  <c r="AU3" i="1" l="1"/>
  <c r="AV3" i="1" s="1"/>
  <c r="AD3" i="1"/>
  <c r="V3" i="1"/>
  <c r="AB3" i="1" s="1"/>
  <c r="AC3" i="1"/>
  <c r="AF3" i="1" l="1"/>
  <c r="AE3" i="1"/>
  <c r="AG3" i="1" l="1"/>
  <c r="AH3" i="1" s="1"/>
  <c r="F3" i="1" s="1"/>
  <c r="AI4" i="1"/>
  <c r="AJ4" i="1" s="1" a="1"/>
  <c r="AJ4" i="1" s="1"/>
  <c r="K3" i="1" l="1"/>
  <c r="L3" i="1" s="1"/>
  <c r="J4" i="1"/>
  <c r="I3" i="1"/>
  <c r="M3" i="1" l="1"/>
  <c r="H3" i="1" s="1"/>
  <c r="E4" i="1" s="1"/>
  <c r="D4" i="1" s="1"/>
  <c r="C4" i="1" l="1"/>
  <c r="U5" i="1" s="1"/>
  <c r="R4" i="1"/>
  <c r="O4" i="1" s="1"/>
  <c r="AQ4" i="1" s="1"/>
  <c r="S4" i="1"/>
  <c r="N4" i="1" l="1"/>
  <c r="AB4" i="1" s="1"/>
  <c r="AD4" i="1"/>
  <c r="AR4" i="1"/>
  <c r="AC4" i="1"/>
  <c r="Q4" i="1"/>
  <c r="AF4" i="1" l="1"/>
  <c r="AP4" i="1"/>
  <c r="AT4" i="1" s="1"/>
  <c r="P4" i="1"/>
  <c r="AE4" i="1"/>
  <c r="AG4" i="1" l="1"/>
  <c r="AH4" i="1" s="1"/>
  <c r="AS4" i="1"/>
  <c r="AU4" i="1" l="1"/>
  <c r="AV4" i="1" s="1"/>
  <c r="F4" i="1" s="1"/>
  <c r="I4" i="1" s="1"/>
  <c r="V5" i="1" a="1"/>
  <c r="V5" i="1" s="1"/>
  <c r="AI5" i="1"/>
  <c r="AJ5" i="1" s="1" a="1"/>
  <c r="AJ5" i="1" s="1"/>
  <c r="J5" i="1" l="1"/>
  <c r="K4" i="1"/>
  <c r="L4" i="1" s="1"/>
  <c r="M4" i="1" s="1"/>
  <c r="H4" i="1" s="1"/>
  <c r="E5" i="1" s="1"/>
  <c r="S5" i="1" l="1"/>
  <c r="R5" i="1"/>
  <c r="D5" i="1"/>
  <c r="C5" i="1"/>
  <c r="AR5" i="1" l="1"/>
  <c r="N5" i="1"/>
  <c r="AP5" i="1" s="1"/>
  <c r="O5" i="1"/>
  <c r="Q5" i="1" s="1"/>
  <c r="AD5" i="1"/>
  <c r="U6" i="1"/>
  <c r="AQ5" i="1" l="1"/>
  <c r="AT5" i="1" s="1"/>
  <c r="AB5" i="1"/>
  <c r="P5" i="1"/>
  <c r="AC5" i="1"/>
  <c r="AF5" i="1" l="1"/>
  <c r="AS5" i="1"/>
  <c r="AE5" i="1"/>
  <c r="AG5" i="1" l="1"/>
  <c r="AH5" i="1" s="1"/>
  <c r="AU5" i="1"/>
  <c r="AV5" i="1" s="1"/>
  <c r="AI6" i="1"/>
  <c r="AJ6" i="1" s="1" a="1"/>
  <c r="AJ6" i="1" s="1"/>
  <c r="V6" i="1" a="1"/>
  <c r="V6" i="1" s="1"/>
  <c r="F5" i="1" l="1"/>
  <c r="K5" i="1" s="1"/>
  <c r="L5" i="1" s="1"/>
  <c r="J6" i="1" l="1"/>
  <c r="I5" i="1"/>
  <c r="M5" i="1" s="1"/>
  <c r="H5" i="1" s="1"/>
  <c r="E6" i="1" s="1"/>
  <c r="S6" i="1" s="1"/>
  <c r="C6" i="1" l="1"/>
  <c r="N6" i="1" s="1"/>
  <c r="P6" i="1" s="1"/>
  <c r="D6" i="1"/>
  <c r="R6" i="1"/>
  <c r="AD6" i="1" s="1"/>
  <c r="U7" i="1" l="1"/>
  <c r="AB6" i="1"/>
  <c r="AP6" i="1"/>
  <c r="O6" i="1"/>
  <c r="AQ6" i="1" s="1"/>
  <c r="AR6" i="1"/>
  <c r="AT6" i="1" l="1"/>
  <c r="AC6" i="1"/>
  <c r="AF6" i="1" s="1"/>
  <c r="Q6" i="1"/>
  <c r="AS6" i="1"/>
  <c r="AU6" i="1" l="1"/>
  <c r="AV6" i="1" s="1"/>
  <c r="AE6" i="1"/>
  <c r="AI7" i="1"/>
  <c r="AJ7" i="1" s="1" a="1"/>
  <c r="AJ7" i="1" s="1"/>
  <c r="V7" i="1" a="1"/>
  <c r="V7" i="1" s="1"/>
  <c r="AG6" i="1" l="1"/>
  <c r="AH6" i="1" s="1"/>
  <c r="F6" i="1" s="1"/>
  <c r="K6" i="1" l="1"/>
  <c r="L6" i="1" s="1"/>
  <c r="I6" i="1"/>
  <c r="J7" i="1"/>
  <c r="M6" i="1" l="1"/>
  <c r="H6" i="1" s="1"/>
  <c r="E7" i="1" s="1"/>
  <c r="R7" i="1" l="1"/>
  <c r="S7" i="1"/>
  <c r="D7" i="1"/>
  <c r="C7" i="1"/>
  <c r="U8" i="1" l="1"/>
  <c r="V8" i="1" s="1" a="1"/>
  <c r="V8" i="1" s="1"/>
  <c r="N7" i="1"/>
  <c r="O7" i="1"/>
  <c r="AR7" i="1"/>
  <c r="AD7" i="1"/>
  <c r="AI8" i="1" l="1"/>
  <c r="AJ8" i="1" s="1" a="1"/>
  <c r="AJ8" i="1" s="1"/>
  <c r="AC7" i="1"/>
  <c r="Q7" i="1"/>
  <c r="AQ7" i="1"/>
  <c r="AP7" i="1"/>
  <c r="AB7" i="1"/>
  <c r="P7" i="1"/>
  <c r="AT7" i="1" l="1"/>
  <c r="AS7" i="1"/>
  <c r="AF7" i="1"/>
  <c r="AE7" i="1"/>
  <c r="AU7" i="1" l="1"/>
  <c r="AV7" i="1" s="1"/>
  <c r="AG7" i="1"/>
  <c r="AH7" i="1" s="1"/>
  <c r="F7" i="1" l="1"/>
  <c r="K7" i="1" s="1"/>
  <c r="L7" i="1" s="1"/>
  <c r="J8" i="1" l="1"/>
  <c r="I7" i="1"/>
  <c r="M7" i="1" s="1"/>
  <c r="H7" i="1" s="1"/>
  <c r="E8" i="1" s="1"/>
  <c r="R8" i="1" l="1"/>
  <c r="C8" i="1"/>
  <c r="S8" i="1"/>
  <c r="D8" i="1"/>
  <c r="O8" i="1" l="1"/>
  <c r="AD8" i="1"/>
  <c r="AR8" i="1"/>
  <c r="N8" i="1"/>
  <c r="U9" i="1"/>
  <c r="V9" i="1" s="1" a="1"/>
  <c r="V9" i="1" s="1"/>
  <c r="AP8" i="1" l="1"/>
  <c r="AB8" i="1"/>
  <c r="P8" i="1"/>
  <c r="AQ8" i="1"/>
  <c r="Q8" i="1"/>
  <c r="AC8" i="1"/>
  <c r="AI9" i="1"/>
  <c r="AJ9" i="1" s="1" a="1"/>
  <c r="AJ9" i="1" s="1"/>
  <c r="AT8" i="1" l="1"/>
  <c r="AS8" i="1"/>
  <c r="AE8" i="1"/>
  <c r="AF8" i="1"/>
  <c r="AU8" i="1" l="1"/>
  <c r="AV8" i="1" s="1"/>
  <c r="AG8" i="1"/>
  <c r="AH8" i="1" s="1"/>
  <c r="F8" i="1" l="1"/>
  <c r="I8" i="1" s="1"/>
  <c r="J9" i="1" l="1"/>
  <c r="K8" i="1"/>
  <c r="L8" i="1" s="1"/>
  <c r="M8" i="1" s="1"/>
  <c r="H8" i="1" s="1"/>
  <c r="E9" i="1" s="1"/>
  <c r="R9" i="1" l="1"/>
  <c r="C9" i="1"/>
  <c r="S9" i="1"/>
  <c r="D9" i="1"/>
  <c r="O9" i="1" l="1"/>
  <c r="Q9" i="1" s="1"/>
  <c r="AD9" i="1"/>
  <c r="AR9" i="1"/>
  <c r="U10" i="1"/>
  <c r="N9" i="1"/>
  <c r="AC9" i="1" l="1"/>
  <c r="AQ9" i="1"/>
  <c r="AP9" i="1"/>
  <c r="P9" i="1"/>
  <c r="AB9" i="1"/>
  <c r="V10" i="1" a="1"/>
  <c r="V10" i="1" s="1"/>
  <c r="AI10" i="1"/>
  <c r="AJ10" i="1" s="1" a="1"/>
  <c r="AJ10" i="1" s="1"/>
  <c r="AE9" i="1" l="1"/>
  <c r="AF9" i="1"/>
  <c r="AT9" i="1"/>
  <c r="AS9" i="1"/>
  <c r="AG9" i="1" l="1"/>
  <c r="AH9" i="1" s="1"/>
  <c r="AU9" i="1"/>
  <c r="AV9" i="1" s="1"/>
  <c r="F9" i="1" l="1"/>
  <c r="K9" i="1" s="1"/>
  <c r="L9" i="1" s="1"/>
  <c r="I9" i="1" l="1"/>
  <c r="M9" i="1" s="1"/>
  <c r="H9" i="1" s="1"/>
  <c r="E10" i="1" s="1"/>
  <c r="J10" i="1"/>
  <c r="S10" i="1" l="1"/>
  <c r="R10" i="1"/>
  <c r="C10" i="1"/>
  <c r="D10" i="1"/>
  <c r="AD10" i="1" l="1"/>
  <c r="AR10" i="1"/>
  <c r="O10" i="1"/>
  <c r="AQ10" i="1" s="1"/>
  <c r="U11" i="1"/>
  <c r="V11" i="1" s="1" a="1"/>
  <c r="V11" i="1" s="1"/>
  <c r="N10" i="1"/>
  <c r="AP10" i="1" s="1"/>
  <c r="AC10" i="1" l="1"/>
  <c r="Q10" i="1"/>
  <c r="AT10" i="1"/>
  <c r="AS10" i="1"/>
  <c r="AB10" i="1"/>
  <c r="P10" i="1"/>
  <c r="AI11" i="1"/>
  <c r="AJ11" i="1" s="1" a="1"/>
  <c r="AJ11" i="1" s="1"/>
  <c r="AE10" i="1" l="1"/>
  <c r="AF10" i="1"/>
  <c r="AU10" i="1"/>
  <c r="AV10" i="1" s="1"/>
  <c r="AG10" i="1" l="1"/>
  <c r="AH10" i="1" s="1"/>
  <c r="F10" i="1" s="1"/>
  <c r="K10" i="1" s="1"/>
  <c r="L10" i="1" s="1"/>
  <c r="J11" i="1" l="1"/>
  <c r="I10" i="1"/>
  <c r="M10" i="1" s="1"/>
  <c r="H10" i="1" s="1"/>
  <c r="E11" i="1" s="1"/>
  <c r="S11" i="1" l="1"/>
  <c r="C11" i="1"/>
  <c r="R11" i="1"/>
  <c r="D11" i="1"/>
  <c r="U12" i="1" l="1"/>
  <c r="AD11" i="1"/>
  <c r="N11" i="1"/>
  <c r="P11" i="1" s="1"/>
  <c r="AR11" i="1"/>
  <c r="O11" i="1"/>
  <c r="Q11" i="1" s="1"/>
  <c r="AB11" i="1" l="1"/>
  <c r="AP11" i="1"/>
  <c r="AC11" i="1"/>
  <c r="AQ11" i="1"/>
  <c r="AI12" i="1"/>
  <c r="AJ12" i="1" s="1" a="1"/>
  <c r="AJ12" i="1" s="1"/>
  <c r="V12" i="1" a="1"/>
  <c r="V12" i="1" s="1"/>
  <c r="AS11" i="1" l="1"/>
  <c r="AE11" i="1"/>
  <c r="AT11" i="1"/>
  <c r="AF11" i="1"/>
  <c r="AG11" i="1" l="1"/>
  <c r="AH11" i="1" s="1"/>
  <c r="AU11" i="1"/>
  <c r="AV11" i="1" s="1"/>
  <c r="F11" i="1" l="1"/>
  <c r="I11" i="1" s="1"/>
  <c r="J12" i="1" l="1"/>
  <c r="K11" i="1"/>
  <c r="L11" i="1" s="1"/>
  <c r="M11" i="1" s="1"/>
  <c r="H11" i="1" s="1"/>
  <c r="E12" i="1" s="1"/>
  <c r="R12" i="1" s="1"/>
  <c r="D12" i="1" l="1"/>
  <c r="O12" i="1" s="1"/>
  <c r="AC12" i="1" s="1"/>
  <c r="C12" i="1"/>
  <c r="S12" i="1"/>
  <c r="AR12" i="1" s="1"/>
  <c r="U13" i="1" l="1"/>
  <c r="Q12" i="1"/>
  <c r="AQ12" i="1"/>
  <c r="AD12" i="1"/>
  <c r="N12" i="1"/>
  <c r="AP12" i="1" s="1"/>
  <c r="AT12" i="1" s="1"/>
  <c r="AS12" i="1" l="1"/>
  <c r="AU12" i="1" s="1"/>
  <c r="AV12" i="1" s="1"/>
  <c r="P12" i="1"/>
  <c r="AB12" i="1"/>
  <c r="AE12" i="1" s="1"/>
  <c r="AI13" i="1"/>
  <c r="AJ13" i="1" s="1" a="1"/>
  <c r="AJ13" i="1" s="1"/>
  <c r="AF12" i="1" l="1"/>
  <c r="AG12" i="1" s="1"/>
  <c r="AH12" i="1" s="1"/>
  <c r="F12" i="1" s="1"/>
  <c r="I12" i="1" s="1"/>
  <c r="V13" i="1" a="1"/>
  <c r="V13" i="1" s="1"/>
  <c r="J13" i="1" l="1"/>
  <c r="K12" i="1"/>
  <c r="L12" i="1" s="1"/>
  <c r="M12" i="1" s="1"/>
  <c r="H12" i="1" s="1"/>
  <c r="E13" i="1" s="1"/>
  <c r="S13" i="1" s="1"/>
  <c r="C13" i="1" l="1"/>
  <c r="N13" i="1" s="1"/>
  <c r="D13" i="1"/>
  <c r="R13" i="1"/>
  <c r="AD13" i="1" s="1"/>
  <c r="U14" i="1" l="1"/>
  <c r="AR13" i="1"/>
  <c r="O13" i="1"/>
  <c r="AQ13" i="1" s="1"/>
  <c r="AB13" i="1"/>
  <c r="P13" i="1"/>
  <c r="AP13" i="1"/>
  <c r="AC13" i="1" l="1"/>
  <c r="AE13" i="1" s="1"/>
  <c r="Q13" i="1"/>
  <c r="AT13" i="1"/>
  <c r="AS13" i="1"/>
  <c r="AU13" i="1" l="1"/>
  <c r="AV13" i="1" s="1"/>
  <c r="AF13" i="1"/>
  <c r="AG13" i="1" l="1"/>
  <c r="AH13" i="1" s="1"/>
  <c r="F13" i="1" s="1"/>
  <c r="K13" i="1" l="1"/>
  <c r="L13" i="1" s="1"/>
  <c r="J14" i="1"/>
  <c r="I13" i="1"/>
  <c r="AI14" i="1"/>
  <c r="AJ14" i="1" s="1" a="1"/>
  <c r="AJ14" i="1" s="1"/>
  <c r="V14" i="1" a="1"/>
  <c r="V14" i="1" s="1"/>
  <c r="M13" i="1" l="1"/>
  <c r="H13" i="1" s="1"/>
  <c r="E14" i="1" s="1"/>
  <c r="S14" i="1" s="1"/>
  <c r="D14" i="1" l="1"/>
  <c r="C14" i="1"/>
  <c r="N14" i="1" s="1"/>
  <c r="R14" i="1"/>
  <c r="AR14" i="1" s="1"/>
  <c r="AD14" i="1" l="1"/>
  <c r="U15" i="1"/>
  <c r="O14" i="1"/>
  <c r="AC14" i="1" s="1"/>
  <c r="AP14" i="1"/>
  <c r="AB14" i="1"/>
  <c r="P14" i="1"/>
  <c r="Q14" i="1" l="1"/>
  <c r="AQ14" i="1"/>
  <c r="AS14" i="1" s="1"/>
  <c r="AF14" i="1"/>
  <c r="AE14" i="1"/>
  <c r="AG14" i="1" l="1"/>
  <c r="AH14" i="1" s="1"/>
  <c r="AT14" i="1"/>
  <c r="AU14" i="1" l="1"/>
  <c r="AV14" i="1" s="1"/>
  <c r="F14" i="1" s="1"/>
  <c r="K14" i="1" l="1"/>
  <c r="L14" i="1" s="1"/>
  <c r="I14" i="1"/>
  <c r="J15" i="1"/>
  <c r="AI15" i="1"/>
  <c r="AJ15" i="1" s="1" a="1"/>
  <c r="AJ15" i="1" s="1"/>
  <c r="V15" i="1" a="1"/>
  <c r="V15" i="1" s="1"/>
  <c r="M14" i="1" l="1"/>
  <c r="H14" i="1" s="1"/>
  <c r="E15" i="1" s="1"/>
  <c r="S15" i="1" s="1"/>
  <c r="R15" i="1" l="1"/>
  <c r="AD15" i="1" s="1"/>
  <c r="C15" i="1"/>
  <c r="N15" i="1" s="1"/>
  <c r="AB15" i="1" s="1"/>
  <c r="D15" i="1"/>
  <c r="AR15" i="1" l="1"/>
  <c r="O15" i="1"/>
  <c r="Q15" i="1" s="1"/>
  <c r="U16" i="1"/>
  <c r="P15" i="1"/>
  <c r="AP15" i="1"/>
  <c r="AC15" i="1" l="1"/>
  <c r="AF15" i="1" s="1"/>
  <c r="AQ15" i="1"/>
  <c r="AT15" i="1" s="1"/>
  <c r="AI16" i="1"/>
  <c r="AJ16" i="1" s="1" a="1"/>
  <c r="AJ16" i="1" s="1"/>
  <c r="AE15" i="1" l="1"/>
  <c r="AS15" i="1"/>
  <c r="V16" i="1" a="1"/>
  <c r="V16" i="1" s="1"/>
  <c r="AG15" i="1" l="1"/>
  <c r="AH15" i="1" s="1"/>
  <c r="AU15" i="1"/>
  <c r="AV15" i="1" s="1"/>
  <c r="F15" i="1" l="1"/>
  <c r="K15" i="1" s="1"/>
  <c r="L15" i="1" s="1"/>
  <c r="J16" i="1" l="1"/>
  <c r="I15" i="1"/>
  <c r="M15" i="1" s="1"/>
  <c r="H15" i="1" s="1"/>
  <c r="E16" i="1" s="1"/>
  <c r="S16" i="1" s="1"/>
  <c r="R16" i="1" l="1"/>
  <c r="AD16" i="1" s="1"/>
  <c r="C16" i="1"/>
  <c r="N16" i="1" s="1"/>
  <c r="AP16" i="1" s="1"/>
  <c r="D16" i="1"/>
  <c r="AB16" i="1" l="1"/>
  <c r="P16" i="1"/>
  <c r="U17" i="1"/>
  <c r="V17" i="1" s="1" a="1"/>
  <c r="V17" i="1" s="1"/>
  <c r="O16" i="1"/>
  <c r="Q16" i="1" s="1"/>
  <c r="AR16" i="1"/>
  <c r="AC16" i="1" l="1"/>
  <c r="AE16" i="1" s="1"/>
  <c r="AQ16" i="1"/>
  <c r="AT16" i="1" s="1"/>
  <c r="AI17" i="1"/>
  <c r="AJ17" i="1" s="1" a="1"/>
  <c r="AJ17" i="1" s="1"/>
  <c r="AS16" i="1" l="1"/>
  <c r="AU16" i="1" s="1"/>
  <c r="AV16" i="1" s="1"/>
  <c r="AF16" i="1"/>
  <c r="AG16" i="1" s="1"/>
  <c r="AH16" i="1" s="1"/>
  <c r="F16" i="1" l="1"/>
  <c r="I16" i="1" s="1"/>
  <c r="K16" i="1" l="1"/>
  <c r="L16" i="1" s="1"/>
  <c r="M16" i="1" s="1"/>
  <c r="H16" i="1" s="1"/>
  <c r="E17" i="1" s="1"/>
  <c r="R17" i="1" s="1"/>
  <c r="J17" i="1"/>
  <c r="S17" i="1" l="1"/>
  <c r="AR17" i="1" s="1"/>
  <c r="D17" i="1"/>
  <c r="O17" i="1" s="1"/>
  <c r="AC17" i="1" s="1"/>
  <c r="C17" i="1"/>
  <c r="AD17" i="1" l="1"/>
  <c r="N17" i="1"/>
  <c r="AP17" i="1" s="1"/>
  <c r="U18" i="1"/>
  <c r="AQ17" i="1"/>
  <c r="Q17" i="1"/>
  <c r="P17" i="1" l="1"/>
  <c r="AT17" i="1"/>
  <c r="AB17" i="1"/>
  <c r="AF17" i="1" s="1"/>
  <c r="AS17" i="1"/>
  <c r="AE17" i="1" l="1"/>
  <c r="AG17" i="1" s="1"/>
  <c r="AH17" i="1" s="1"/>
  <c r="AU17" i="1"/>
  <c r="AV17" i="1" s="1"/>
  <c r="V18" i="1" a="1"/>
  <c r="V18" i="1" s="1"/>
  <c r="AI18" i="1"/>
  <c r="AJ18" i="1" s="1" a="1"/>
  <c r="AJ18" i="1" s="1"/>
  <c r="F17" i="1" l="1"/>
  <c r="I17" i="1" s="1"/>
  <c r="K17" i="1" l="1"/>
  <c r="L17" i="1" s="1"/>
  <c r="M17" i="1" s="1"/>
  <c r="H17" i="1" s="1"/>
  <c r="E18" i="1" s="1"/>
  <c r="S18" i="1" s="1"/>
  <c r="J18" i="1"/>
  <c r="C18" i="1" l="1"/>
  <c r="N18" i="1" s="1"/>
  <c r="P18" i="1" s="1"/>
  <c r="R18" i="1"/>
  <c r="AD18" i="1" s="1"/>
  <c r="D18" i="1"/>
  <c r="U19" i="1" l="1"/>
  <c r="AR18" i="1"/>
  <c r="O18" i="1"/>
  <c r="Q18" i="1" s="1"/>
  <c r="AP18" i="1"/>
  <c r="AB18" i="1"/>
  <c r="AQ18" i="1" l="1"/>
  <c r="AT18" i="1" s="1"/>
  <c r="AC18" i="1"/>
  <c r="AE18" i="1" s="1"/>
  <c r="V19" i="1" a="1"/>
  <c r="V19" i="1" s="1"/>
  <c r="AI19" i="1"/>
  <c r="AJ19" i="1" s="1" a="1"/>
  <c r="AJ19" i="1" s="1"/>
  <c r="AS18" i="1" l="1"/>
  <c r="AF18" i="1"/>
  <c r="AG18" i="1" l="1"/>
  <c r="AH18" i="1" s="1"/>
  <c r="AU18" i="1"/>
  <c r="AV18" i="1" s="1"/>
  <c r="F18" i="1" l="1"/>
  <c r="J19" i="1" s="1"/>
  <c r="K18" i="1" l="1"/>
  <c r="L18" i="1" s="1"/>
  <c r="I18" i="1"/>
  <c r="M18" i="1" l="1"/>
  <c r="H18" i="1" s="1"/>
  <c r="E19" i="1" s="1"/>
  <c r="S19" i="1" s="1"/>
  <c r="C19" i="1" l="1"/>
  <c r="N19" i="1" s="1"/>
  <c r="AP19" i="1" s="1"/>
  <c r="D19" i="1"/>
  <c r="R19" i="1"/>
  <c r="AD19" i="1" s="1"/>
  <c r="AR19" i="1" l="1"/>
  <c r="O19" i="1"/>
  <c r="AQ19" i="1" s="1"/>
  <c r="AB19" i="1"/>
  <c r="U20" i="1"/>
  <c r="AI20" i="1" s="1"/>
  <c r="AJ20" i="1" s="1" a="1"/>
  <c r="AJ20" i="1" s="1"/>
  <c r="P19" i="1"/>
  <c r="Q19" i="1" l="1"/>
  <c r="AC19" i="1"/>
  <c r="AE19" i="1" s="1"/>
  <c r="AS19" i="1"/>
  <c r="AT19" i="1"/>
  <c r="V20" i="1" a="1"/>
  <c r="V20" i="1" s="1"/>
  <c r="AF19" i="1" l="1"/>
  <c r="AG19" i="1" s="1"/>
  <c r="AH19" i="1" s="1"/>
  <c r="AU19" i="1"/>
  <c r="AV19" i="1" s="1"/>
  <c r="F19" i="1" l="1"/>
  <c r="K19" i="1" s="1"/>
  <c r="L19" i="1" s="1"/>
  <c r="J20" i="1" l="1"/>
  <c r="I19" i="1"/>
  <c r="M19" i="1" s="1"/>
  <c r="H19" i="1" s="1"/>
  <c r="E20" i="1" s="1"/>
  <c r="R20" i="1" s="1"/>
  <c r="D20" i="1" l="1"/>
  <c r="O20" i="1" s="1"/>
  <c r="AQ20" i="1" s="1"/>
  <c r="S20" i="1"/>
  <c r="AR20" i="1" s="1"/>
  <c r="C20" i="1"/>
  <c r="AD20" i="1" l="1"/>
  <c r="U21" i="1"/>
  <c r="N20" i="1"/>
  <c r="P20" i="1" s="1"/>
  <c r="AC20" i="1"/>
  <c r="Q20" i="1"/>
  <c r="AP20" i="1" l="1"/>
  <c r="AT20" i="1" s="1"/>
  <c r="AB20" i="1"/>
  <c r="AF20" i="1" s="1"/>
  <c r="AE20" i="1" l="1"/>
  <c r="AG20" i="1" s="1"/>
  <c r="AH20" i="1" s="1"/>
  <c r="AS20" i="1"/>
  <c r="AU20" i="1" s="1"/>
  <c r="AV20" i="1" s="1"/>
  <c r="V21" i="1" a="1"/>
  <c r="V21" i="1" s="1"/>
  <c r="AI21" i="1"/>
  <c r="AJ21" i="1" s="1" a="1"/>
  <c r="AJ21" i="1" s="1"/>
  <c r="F20" i="1" l="1"/>
  <c r="I20" i="1" l="1"/>
  <c r="K20" i="1"/>
  <c r="L20" i="1" s="1"/>
  <c r="J21" i="1"/>
  <c r="M20" i="1" l="1"/>
  <c r="H20" i="1" s="1"/>
  <c r="E21" i="1" s="1"/>
  <c r="S21" i="1" s="1"/>
  <c r="R21" i="1" l="1"/>
  <c r="AD21" i="1" s="1"/>
  <c r="C21" i="1"/>
  <c r="N21" i="1" s="1"/>
  <c r="P21" i="1" s="1"/>
  <c r="D21" i="1"/>
  <c r="AR21" i="1" l="1"/>
  <c r="U22" i="1"/>
  <c r="O21" i="1"/>
  <c r="AQ21" i="1" s="1"/>
  <c r="AP21" i="1"/>
  <c r="AB21" i="1"/>
  <c r="AT21" i="1" l="1"/>
  <c r="AC21" i="1"/>
  <c r="AF21" i="1" s="1"/>
  <c r="Q21" i="1"/>
  <c r="AS21" i="1"/>
  <c r="AU21" i="1" l="1"/>
  <c r="AV21" i="1" s="1"/>
  <c r="AE21" i="1"/>
  <c r="V22" i="1" a="1"/>
  <c r="V22" i="1" s="1"/>
  <c r="AI22" i="1"/>
  <c r="AJ22" i="1" s="1" a="1"/>
  <c r="AJ22" i="1" s="1"/>
  <c r="AG21" i="1" l="1"/>
  <c r="AH21" i="1" s="1"/>
  <c r="F21" i="1" s="1"/>
  <c r="K21" i="1" s="1"/>
  <c r="L21" i="1" s="1"/>
  <c r="I21" i="1" l="1"/>
  <c r="M21" i="1" s="1"/>
  <c r="H21" i="1" s="1"/>
  <c r="E22" i="1" s="1"/>
  <c r="R22" i="1" s="1"/>
  <c r="J22" i="1"/>
  <c r="D22" i="1" l="1"/>
  <c r="O22" i="1" s="1"/>
  <c r="C22" i="1"/>
  <c r="S22" i="1"/>
  <c r="AD22" i="1" s="1"/>
  <c r="U23" i="1" l="1"/>
  <c r="AQ22" i="1"/>
  <c r="AC22" i="1"/>
  <c r="Q22" i="1"/>
  <c r="AR22" i="1"/>
  <c r="N22" i="1"/>
  <c r="AP22" i="1" s="1"/>
  <c r="AT22" i="1" l="1"/>
  <c r="AS22" i="1"/>
  <c r="AB22" i="1"/>
  <c r="AF22" i="1" s="1"/>
  <c r="P22" i="1"/>
  <c r="AI23" i="1"/>
  <c r="AJ23" i="1" s="1" a="1"/>
  <c r="AJ23" i="1" s="1"/>
  <c r="AU22" i="1" l="1"/>
  <c r="AV22" i="1" s="1"/>
  <c r="AE22" i="1"/>
  <c r="V23" i="1" a="1"/>
  <c r="V23" i="1" s="1"/>
  <c r="AG22" i="1" l="1"/>
  <c r="AH22" i="1" s="1"/>
  <c r="F22" i="1" s="1"/>
  <c r="K22" i="1" s="1"/>
  <c r="L22" i="1" s="1"/>
  <c r="J23" i="1" l="1"/>
  <c r="I22" i="1"/>
  <c r="M22" i="1" s="1"/>
  <c r="H22" i="1" s="1"/>
  <c r="E23" i="1" s="1"/>
  <c r="R23" i="1" s="1"/>
  <c r="S23" i="1" l="1"/>
  <c r="AD23" i="1" s="1"/>
  <c r="C23" i="1"/>
  <c r="D23" i="1"/>
  <c r="O23" i="1" s="1"/>
  <c r="U24" i="1" l="1"/>
  <c r="AR23" i="1"/>
  <c r="N23" i="1"/>
  <c r="P23" i="1" s="1"/>
  <c r="AC23" i="1"/>
  <c r="Q23" i="1"/>
  <c r="AQ23" i="1"/>
  <c r="AP23" i="1" l="1"/>
  <c r="AT23" i="1" s="1"/>
  <c r="AB23" i="1"/>
  <c r="AF23" i="1" s="1"/>
  <c r="AS23" i="1" l="1"/>
  <c r="AE23" i="1"/>
  <c r="AI24" i="1"/>
  <c r="AJ24" i="1" s="1" a="1"/>
  <c r="AJ24" i="1" s="1"/>
  <c r="AG23" i="1" l="1"/>
  <c r="AH23" i="1" s="1"/>
  <c r="AU23" i="1"/>
  <c r="AV23" i="1" s="1"/>
  <c r="V24" i="1" a="1"/>
  <c r="V24" i="1" s="1"/>
  <c r="F23" i="1" l="1"/>
  <c r="I23" i="1" s="1"/>
  <c r="K23" i="1" l="1"/>
  <c r="L23" i="1" s="1"/>
  <c r="M23" i="1" s="1"/>
  <c r="H23" i="1" s="1"/>
  <c r="E24" i="1" s="1"/>
  <c r="R24" i="1" s="1"/>
  <c r="J24" i="1"/>
  <c r="D24" i="1" l="1"/>
  <c r="O24" i="1" s="1"/>
  <c r="C24" i="1"/>
  <c r="S24" i="1"/>
  <c r="AR24" i="1" s="1"/>
  <c r="N24" i="1" l="1"/>
  <c r="AB24" i="1" s="1"/>
  <c r="U25" i="1"/>
  <c r="AD24" i="1"/>
  <c r="AQ24" i="1"/>
  <c r="AC24" i="1"/>
  <c r="Q24" i="1"/>
  <c r="P24" i="1" l="1"/>
  <c r="AP24" i="1"/>
  <c r="AT24" i="1" s="1"/>
  <c r="AF24" i="1"/>
  <c r="AE24" i="1"/>
  <c r="AG24" i="1" l="1"/>
  <c r="AH24" i="1" s="1"/>
  <c r="AS24" i="1"/>
  <c r="AU24" i="1" l="1"/>
  <c r="AV24" i="1" s="1"/>
  <c r="F24" i="1" s="1"/>
  <c r="I24" i="1" l="1"/>
  <c r="K24" i="1"/>
  <c r="L24" i="1" s="1"/>
  <c r="J25" i="1"/>
  <c r="V25" i="1" a="1"/>
  <c r="V25" i="1" s="1"/>
  <c r="AI25" i="1"/>
  <c r="AJ25" i="1" s="1" a="1"/>
  <c r="AJ25" i="1" s="1"/>
  <c r="M24" i="1" l="1"/>
  <c r="H24" i="1" s="1"/>
  <c r="E25" i="1" s="1"/>
  <c r="S25" i="1" s="1"/>
  <c r="R25" i="1" l="1"/>
  <c r="AR25" i="1" s="1"/>
  <c r="C25" i="1"/>
  <c r="N25" i="1" s="1"/>
  <c r="AP25" i="1" s="1"/>
  <c r="D25" i="1"/>
  <c r="AD25" i="1" l="1"/>
  <c r="U26" i="1"/>
  <c r="O25" i="1"/>
  <c r="AC25" i="1" s="1"/>
  <c r="AB25" i="1"/>
  <c r="P25" i="1"/>
  <c r="AF25" i="1" l="1"/>
  <c r="Q25" i="1"/>
  <c r="AQ25" i="1"/>
  <c r="AT25" i="1" s="1"/>
  <c r="AE25" i="1"/>
  <c r="AG25" i="1" l="1"/>
  <c r="AH25" i="1" s="1"/>
  <c r="AS25" i="1"/>
  <c r="AU25" i="1" l="1"/>
  <c r="AV25" i="1" s="1"/>
  <c r="F25" i="1" s="1"/>
  <c r="I25" i="1" s="1"/>
  <c r="V26" i="1" a="1"/>
  <c r="V26" i="1" s="1"/>
  <c r="AI26" i="1"/>
  <c r="AJ26" i="1" s="1" a="1"/>
  <c r="AJ26" i="1" s="1"/>
  <c r="K25" i="1" l="1"/>
  <c r="L25" i="1" s="1"/>
  <c r="M25" i="1" s="1"/>
  <c r="H25" i="1" s="1"/>
  <c r="E26" i="1" s="1"/>
  <c r="S26" i="1" s="1"/>
  <c r="J26" i="1"/>
  <c r="D26" i="1" l="1"/>
  <c r="C26" i="1"/>
  <c r="N26" i="1" s="1"/>
  <c r="R26" i="1"/>
  <c r="O26" i="1" l="1"/>
  <c r="Q26" i="1" s="1"/>
  <c r="U27" i="1"/>
  <c r="AR26" i="1"/>
  <c r="AD26" i="1"/>
  <c r="AB26" i="1"/>
  <c r="P26" i="1"/>
  <c r="AP26" i="1"/>
  <c r="AQ26" i="1" l="1"/>
  <c r="AS26" i="1" s="1"/>
  <c r="AC26" i="1"/>
  <c r="AF26" i="1" s="1"/>
  <c r="AT26" i="1" l="1"/>
  <c r="AE26" i="1"/>
  <c r="AI27" i="1"/>
  <c r="AJ27" i="1" s="1" a="1"/>
  <c r="AJ27" i="1" s="1"/>
  <c r="AG26" i="1" l="1"/>
  <c r="AH26" i="1" s="1"/>
  <c r="AU26" i="1"/>
  <c r="AV26" i="1" s="1"/>
  <c r="V27" i="1" a="1"/>
  <c r="V27" i="1" s="1"/>
  <c r="F26" i="1" l="1"/>
  <c r="J27" i="1" s="1"/>
  <c r="I26" i="1" l="1"/>
  <c r="K26" i="1"/>
  <c r="L26" i="1" s="1"/>
  <c r="M26" i="1" l="1"/>
  <c r="H26" i="1" s="1"/>
  <c r="E27" i="1" s="1"/>
  <c r="R27" i="1" s="1"/>
  <c r="S27" i="1" l="1"/>
  <c r="AR27" i="1" s="1"/>
  <c r="C27" i="1"/>
  <c r="D27" i="1"/>
  <c r="O27" i="1" s="1"/>
  <c r="AQ27" i="1" s="1"/>
  <c r="N27" i="1" l="1"/>
  <c r="AB27" i="1" s="1"/>
  <c r="AD27" i="1"/>
  <c r="AC27" i="1"/>
  <c r="Q27" i="1"/>
  <c r="U28" i="1"/>
  <c r="AP27" i="1" l="1"/>
  <c r="AT27" i="1" s="1"/>
  <c r="P27" i="1"/>
  <c r="AF27" i="1"/>
  <c r="AE27" i="1"/>
  <c r="V28" i="1" a="1"/>
  <c r="V28" i="1" s="1"/>
  <c r="AS27" i="1" l="1"/>
  <c r="AU27" i="1" s="1"/>
  <c r="AV27" i="1" s="1"/>
  <c r="AG27" i="1"/>
  <c r="AH27" i="1" s="1"/>
  <c r="AI28" i="1"/>
  <c r="AJ28" i="1" s="1" a="1"/>
  <c r="AJ28" i="1" s="1"/>
  <c r="F27" i="1" l="1"/>
  <c r="K27" i="1" s="1"/>
  <c r="L27" i="1" s="1"/>
  <c r="I27" i="1" l="1"/>
  <c r="M27" i="1" s="1"/>
  <c r="H27" i="1" s="1"/>
  <c r="E28" i="1" s="1"/>
  <c r="S28" i="1" s="1"/>
  <c r="J28" i="1"/>
  <c r="R28" i="1" l="1"/>
  <c r="AR28" i="1" s="1"/>
  <c r="C28" i="1"/>
  <c r="D28" i="1"/>
  <c r="U29" i="1" l="1"/>
  <c r="O28" i="1"/>
  <c r="AQ28" i="1" s="1"/>
  <c r="AD28" i="1"/>
  <c r="N28" i="1"/>
  <c r="AP28" i="1" s="1"/>
  <c r="AC28" i="1" l="1"/>
  <c r="AT28" i="1"/>
  <c r="AS28" i="1"/>
  <c r="Q28" i="1"/>
  <c r="AB28" i="1"/>
  <c r="P28" i="1"/>
  <c r="AU28" i="1" l="1"/>
  <c r="AV28" i="1" s="1"/>
  <c r="AF28" i="1"/>
  <c r="AE28" i="1"/>
  <c r="AG28" i="1" l="1"/>
  <c r="AH28" i="1" s="1"/>
  <c r="F28" i="1" s="1"/>
  <c r="I28" i="1" s="1"/>
  <c r="V29" i="1" a="1"/>
  <c r="V29" i="1" s="1"/>
  <c r="AI29" i="1"/>
  <c r="AJ29" i="1" s="1" a="1"/>
  <c r="AJ29" i="1" s="1"/>
  <c r="J29" i="1" l="1"/>
  <c r="K28" i="1"/>
  <c r="L28" i="1" s="1"/>
  <c r="M28" i="1" s="1"/>
  <c r="H28" i="1" s="1"/>
  <c r="E29" i="1" s="1"/>
  <c r="R29" i="1" s="1"/>
  <c r="C29" i="1" l="1"/>
  <c r="D29" i="1"/>
  <c r="S29" i="1"/>
  <c r="AR29" i="1" s="1"/>
  <c r="U30" i="1" l="1"/>
  <c r="N29" i="1"/>
  <c r="P29" i="1" s="1"/>
  <c r="O29" i="1"/>
  <c r="Q29" i="1" s="1"/>
  <c r="AD29" i="1"/>
  <c r="AC29" i="1" l="1"/>
  <c r="AQ29" i="1"/>
  <c r="AP29" i="1"/>
  <c r="AB29" i="1"/>
  <c r="AE29" i="1" l="1"/>
  <c r="AF29" i="1"/>
  <c r="AS29" i="1"/>
  <c r="AT29" i="1"/>
  <c r="AG29" i="1" l="1"/>
  <c r="AH29" i="1" s="1"/>
  <c r="AU29" i="1"/>
  <c r="AV29" i="1" s="1"/>
  <c r="V30" i="1" a="1"/>
  <c r="V30" i="1" s="1"/>
  <c r="AI30" i="1"/>
  <c r="AJ30" i="1" s="1" a="1"/>
  <c r="AJ30" i="1" s="1"/>
  <c r="F29" i="1" l="1"/>
  <c r="J30" i="1" s="1"/>
  <c r="I29" i="1" l="1"/>
  <c r="K29" i="1"/>
  <c r="L29" i="1" s="1"/>
  <c r="M29" i="1" l="1"/>
  <c r="H29" i="1" s="1"/>
  <c r="E30" i="1" s="1"/>
  <c r="S30" i="1" s="1"/>
  <c r="R30" i="1" l="1"/>
  <c r="AD30" i="1" s="1"/>
  <c r="C30" i="1"/>
  <c r="N30" i="1" s="1"/>
  <c r="AP30" i="1" s="1"/>
  <c r="D30" i="1"/>
  <c r="AR30" i="1" l="1"/>
  <c r="U31" i="1"/>
  <c r="O30" i="1"/>
  <c r="Q30" i="1" s="1"/>
  <c r="AB30" i="1"/>
  <c r="P30" i="1"/>
  <c r="AQ30" i="1" l="1"/>
  <c r="AT30" i="1" s="1"/>
  <c r="AC30" i="1"/>
  <c r="AF30" i="1" s="1"/>
  <c r="AE30" i="1" l="1"/>
  <c r="AS30" i="1"/>
  <c r="AI31" i="1"/>
  <c r="AJ31" i="1" s="1" a="1"/>
  <c r="AJ31" i="1" s="1"/>
  <c r="V31" i="1" a="1"/>
  <c r="V31" i="1" s="1"/>
  <c r="AG30" i="1" l="1"/>
  <c r="AH30" i="1" s="1"/>
  <c r="AU30" i="1"/>
  <c r="AV30" i="1" s="1"/>
  <c r="F30" i="1" l="1"/>
  <c r="K30" i="1" s="1"/>
  <c r="L30" i="1" s="1"/>
  <c r="J31" i="1" l="1"/>
  <c r="I30" i="1"/>
  <c r="M30" i="1" s="1"/>
  <c r="H30" i="1" s="1"/>
  <c r="E31" i="1" s="1"/>
  <c r="R31" i="1" s="1"/>
  <c r="S31" i="1" l="1"/>
  <c r="AR31" i="1" s="1"/>
  <c r="C31" i="1"/>
  <c r="D31" i="1"/>
  <c r="O31" i="1" s="1"/>
  <c r="AC31" i="1" s="1"/>
  <c r="N31" i="1" l="1"/>
  <c r="AP31" i="1" s="1"/>
  <c r="AD31" i="1"/>
  <c r="Q31" i="1"/>
  <c r="AQ31" i="1"/>
  <c r="U32" i="1"/>
  <c r="P31" i="1" l="1"/>
  <c r="AB31" i="1"/>
  <c r="AF31" i="1" s="1"/>
  <c r="AS31" i="1"/>
  <c r="AT31" i="1"/>
  <c r="AE31" i="1" l="1"/>
  <c r="AG31" i="1" s="1"/>
  <c r="AH31" i="1" s="1"/>
  <c r="AU31" i="1"/>
  <c r="AV31" i="1" s="1"/>
  <c r="V32" i="1" a="1"/>
  <c r="V32" i="1" s="1"/>
  <c r="AI32" i="1"/>
  <c r="AJ32" i="1" s="1" a="1"/>
  <c r="AJ32" i="1" s="1"/>
  <c r="F31" i="1" l="1"/>
  <c r="I31" i="1" s="1"/>
  <c r="J32" i="1" l="1"/>
  <c r="K31" i="1"/>
  <c r="L31" i="1" s="1"/>
  <c r="M31" i="1" s="1"/>
  <c r="H31" i="1" s="1"/>
  <c r="E32" i="1" s="1"/>
  <c r="S32" i="1" s="1"/>
  <c r="D32" i="1" l="1"/>
  <c r="C32" i="1"/>
  <c r="R32" i="1"/>
  <c r="AR32" i="1" s="1"/>
  <c r="U33" i="1" l="1"/>
  <c r="O32" i="1"/>
  <c r="Q32" i="1" s="1"/>
  <c r="AD32" i="1"/>
  <c r="N32" i="1"/>
  <c r="AP32" i="1" s="1"/>
  <c r="AQ32" i="1" l="1"/>
  <c r="AT32" i="1" s="1"/>
  <c r="AC32" i="1"/>
  <c r="P32" i="1"/>
  <c r="AB32" i="1"/>
  <c r="AF32" i="1" l="1"/>
  <c r="AS32" i="1"/>
  <c r="AE32" i="1"/>
  <c r="V33" i="1" a="1"/>
  <c r="V33" i="1" s="1"/>
  <c r="AG32" i="1" l="1"/>
  <c r="AH32" i="1" s="1"/>
  <c r="AU32" i="1"/>
  <c r="AV32" i="1" s="1"/>
  <c r="AI33" i="1"/>
  <c r="AJ33" i="1" s="1" a="1"/>
  <c r="AJ33" i="1" s="1"/>
  <c r="F32" i="1" l="1"/>
  <c r="I32" i="1" s="1"/>
  <c r="J33" i="1" l="1"/>
  <c r="K32" i="1"/>
  <c r="L32" i="1" s="1"/>
  <c r="M32" i="1" s="1"/>
  <c r="H32" i="1" s="1"/>
  <c r="E33" i="1" s="1"/>
  <c r="C33" i="1" s="1"/>
  <c r="S33" i="1" l="1"/>
  <c r="N33" i="1" s="1"/>
  <c r="AP33" i="1" s="1"/>
  <c r="R33" i="1"/>
  <c r="D33" i="1"/>
  <c r="U34" i="1" s="1"/>
  <c r="P33" i="1" l="1"/>
  <c r="AB33" i="1"/>
  <c r="AD33" i="1"/>
  <c r="AR33" i="1"/>
  <c r="O33" i="1"/>
  <c r="Q33" i="1" s="1"/>
  <c r="AC33" i="1" l="1"/>
  <c r="AF33" i="1" s="1"/>
  <c r="AQ33" i="1"/>
  <c r="AS33" i="1" s="1"/>
  <c r="AE33" i="1" l="1"/>
  <c r="AT33" i="1"/>
  <c r="AG33" i="1" l="1"/>
  <c r="AH33" i="1" s="1"/>
  <c r="AU33" i="1"/>
  <c r="AV33" i="1" s="1"/>
  <c r="V34" i="1" a="1"/>
  <c r="V34" i="1" s="1"/>
  <c r="AI34" i="1"/>
  <c r="AJ34" i="1" s="1" a="1"/>
  <c r="AJ34" i="1" s="1"/>
  <c r="F33" i="1" l="1"/>
  <c r="I33" i="1" s="1"/>
  <c r="K33" i="1" l="1"/>
  <c r="L33" i="1" s="1"/>
  <c r="M33" i="1" s="1"/>
  <c r="H33" i="1" s="1"/>
  <c r="E34" i="1" s="1"/>
  <c r="S34" i="1" s="1"/>
  <c r="J34" i="1"/>
  <c r="D34" i="1" l="1"/>
  <c r="C34" i="1"/>
  <c r="N34" i="1" s="1"/>
  <c r="R34" i="1"/>
  <c r="AR34" i="1" s="1"/>
  <c r="AD34" i="1" l="1"/>
  <c r="U35" i="1"/>
  <c r="O34" i="1"/>
  <c r="AQ34" i="1" s="1"/>
  <c r="AP34" i="1"/>
  <c r="P34" i="1"/>
  <c r="AB34" i="1"/>
  <c r="Q34" i="1" l="1"/>
  <c r="AC34" i="1"/>
  <c r="AF34" i="1" s="1"/>
  <c r="AS34" i="1"/>
  <c r="AT34" i="1"/>
  <c r="AE34" i="1" l="1"/>
  <c r="AG34" i="1" s="1"/>
  <c r="AH34" i="1" s="1"/>
  <c r="AU34" i="1"/>
  <c r="AV34" i="1" s="1"/>
  <c r="F34" i="1" l="1"/>
  <c r="I34" i="1" l="1"/>
  <c r="K34" i="1"/>
  <c r="L34" i="1" s="1"/>
  <c r="J35" i="1"/>
  <c r="AI35" i="1"/>
  <c r="AJ35" i="1" s="1" a="1"/>
  <c r="AJ35" i="1" s="1"/>
  <c r="V35" i="1" a="1"/>
  <c r="V35" i="1" s="1"/>
  <c r="M34" i="1" l="1"/>
  <c r="H34" i="1" s="1"/>
  <c r="E35" i="1" s="1"/>
  <c r="S35" i="1" l="1"/>
  <c r="R35" i="1"/>
  <c r="C35" i="1"/>
  <c r="D35" i="1"/>
  <c r="U36" i="1" l="1"/>
  <c r="O35" i="1"/>
  <c r="N35" i="1"/>
  <c r="AR35" i="1"/>
  <c r="AD35" i="1"/>
  <c r="AQ35" i="1" l="1"/>
  <c r="AC35" i="1"/>
  <c r="Q35" i="1"/>
  <c r="AB35" i="1"/>
  <c r="P35" i="1"/>
  <c r="AP35" i="1"/>
  <c r="AT35" i="1" l="1"/>
  <c r="AF35" i="1"/>
  <c r="AE35" i="1"/>
  <c r="AS35" i="1"/>
  <c r="AG35" i="1" l="1"/>
  <c r="AH35" i="1" s="1"/>
  <c r="AU35" i="1"/>
  <c r="AV35" i="1" s="1"/>
  <c r="V36" i="1" a="1"/>
  <c r="V36" i="1" s="1"/>
  <c r="AI36" i="1"/>
  <c r="AJ36" i="1" s="1" a="1"/>
  <c r="AJ36" i="1" s="1"/>
  <c r="F35" i="1" l="1"/>
  <c r="J36" i="1" l="1"/>
  <c r="K35" i="1"/>
  <c r="L35" i="1" s="1"/>
  <c r="I35" i="1"/>
  <c r="M35" i="1" l="1"/>
  <c r="H35" i="1" s="1"/>
  <c r="E36" i="1" s="1"/>
  <c r="R36" i="1" s="1"/>
  <c r="S36" i="1" l="1"/>
  <c r="AD36" i="1" s="1"/>
  <c r="D36" i="1"/>
  <c r="O36" i="1" s="1"/>
  <c r="Q36" i="1" s="1"/>
  <c r="C36" i="1"/>
  <c r="AR36" i="1" l="1"/>
  <c r="N36" i="1"/>
  <c r="AB36" i="1" s="1"/>
  <c r="AQ36" i="1"/>
  <c r="AC36" i="1"/>
  <c r="U37" i="1"/>
  <c r="AF36" i="1" l="1"/>
  <c r="AE36" i="1"/>
  <c r="AP36" i="1"/>
  <c r="AT36" i="1" s="1"/>
  <c r="P36" i="1"/>
  <c r="AG36" i="1" l="1"/>
  <c r="AH36" i="1" s="1"/>
  <c r="AS36" i="1"/>
  <c r="AU36" i="1" l="1"/>
  <c r="AV36" i="1" s="1"/>
  <c r="F36" i="1" s="1"/>
  <c r="AI37" i="1"/>
  <c r="AJ37" i="1" s="1" a="1"/>
  <c r="AJ37" i="1" s="1"/>
  <c r="V37" i="1" a="1"/>
  <c r="V37" i="1" s="1"/>
  <c r="K36" i="1" l="1"/>
  <c r="L36" i="1" s="1"/>
  <c r="I36" i="1"/>
  <c r="J37" i="1"/>
  <c r="M36" i="1" l="1"/>
  <c r="H36" i="1" s="1"/>
  <c r="E37" i="1" s="1"/>
  <c r="S37" i="1" s="1"/>
  <c r="D37" i="1" l="1"/>
  <c r="R37" i="1"/>
  <c r="AD37" i="1" s="1"/>
  <c r="C37" i="1"/>
  <c r="N37" i="1" s="1"/>
  <c r="P37" i="1" s="1"/>
  <c r="O37" i="1" l="1"/>
  <c r="AC37" i="1" s="1"/>
  <c r="AR37" i="1"/>
  <c r="U38" i="1"/>
  <c r="AB37" i="1"/>
  <c r="AP37" i="1"/>
  <c r="AF37" i="1" l="1"/>
  <c r="AQ37" i="1"/>
  <c r="AS37" i="1" s="1"/>
  <c r="Q37" i="1"/>
  <c r="AE37" i="1"/>
  <c r="V38" i="1" a="1"/>
  <c r="V38" i="1" s="1"/>
  <c r="AI38" i="1"/>
  <c r="AJ38" i="1" s="1" a="1"/>
  <c r="AJ38" i="1" s="1"/>
  <c r="AG37" i="1" l="1"/>
  <c r="AH37" i="1" s="1"/>
  <c r="AT37" i="1"/>
  <c r="AU37" i="1" l="1"/>
  <c r="AV37" i="1" s="1"/>
  <c r="F37" i="1" s="1"/>
  <c r="J38" i="1" s="1"/>
  <c r="K37" i="1" l="1"/>
  <c r="L37" i="1" s="1"/>
  <c r="I37" i="1"/>
  <c r="M37" i="1" l="1"/>
  <c r="H37" i="1" s="1"/>
  <c r="E38" i="1" s="1"/>
  <c r="R38" i="1" s="1"/>
  <c r="C38" i="1" l="1"/>
  <c r="S38" i="1"/>
  <c r="AR38" i="1" s="1"/>
  <c r="D38" i="1"/>
  <c r="O38" i="1" s="1"/>
  <c r="AQ38" i="1" s="1"/>
  <c r="N38" i="1" l="1"/>
  <c r="AP38" i="1" s="1"/>
  <c r="AT38" i="1" s="1"/>
  <c r="AD38" i="1"/>
  <c r="Q38" i="1"/>
  <c r="AC38" i="1"/>
  <c r="U39" i="1"/>
  <c r="AI39" i="1" s="1"/>
  <c r="AJ39" i="1" s="1" a="1"/>
  <c r="AJ39" i="1" s="1"/>
  <c r="AB38" i="1" l="1"/>
  <c r="AF38" i="1" s="1"/>
  <c r="AS38" i="1"/>
  <c r="P38" i="1"/>
  <c r="V39" i="1" a="1"/>
  <c r="V39" i="1" s="1"/>
  <c r="AU38" i="1" l="1"/>
  <c r="AV38" i="1" s="1"/>
  <c r="AE38" i="1"/>
  <c r="AG38" i="1" l="1"/>
  <c r="AH38" i="1" s="1"/>
  <c r="F38" i="1" s="1"/>
  <c r="I38" i="1" l="1"/>
  <c r="J39" i="1"/>
  <c r="K38" i="1"/>
  <c r="L38" i="1" s="1"/>
  <c r="M38" i="1" l="1"/>
  <c r="H38" i="1" s="1"/>
  <c r="E39" i="1" s="1"/>
  <c r="S39" i="1" s="1"/>
  <c r="D39" i="1" l="1"/>
  <c r="C39" i="1"/>
  <c r="N39" i="1" s="1"/>
  <c r="AB39" i="1" s="1"/>
  <c r="R39" i="1"/>
  <c r="AR39" i="1" s="1"/>
  <c r="AP39" i="1" l="1"/>
  <c r="P39" i="1"/>
  <c r="U40" i="1"/>
  <c r="AD39" i="1"/>
  <c r="O39" i="1"/>
  <c r="Q39" i="1" s="1"/>
  <c r="AQ39" i="1" l="1"/>
  <c r="AT39" i="1" s="1"/>
  <c r="AC39" i="1"/>
  <c r="AE39" i="1" s="1"/>
  <c r="AI40" i="1"/>
  <c r="AJ40" i="1" s="1" a="1"/>
  <c r="AJ40" i="1" s="1"/>
  <c r="V40" i="1" a="1"/>
  <c r="V40" i="1" s="1"/>
  <c r="AF39" i="1" l="1"/>
  <c r="AG39" i="1" s="1"/>
  <c r="AH39" i="1" s="1"/>
  <c r="AS39" i="1"/>
  <c r="AU39" i="1" s="1"/>
  <c r="AV39" i="1" s="1"/>
  <c r="F39" i="1" l="1"/>
  <c r="K39" i="1" s="1"/>
  <c r="L39" i="1" s="1"/>
  <c r="J40" i="1" l="1"/>
  <c r="I39" i="1"/>
  <c r="M39" i="1" s="1"/>
  <c r="H39" i="1" s="1"/>
  <c r="E40" i="1" s="1"/>
  <c r="S40" i="1" s="1"/>
  <c r="D40" i="1" l="1"/>
  <c r="C40" i="1"/>
  <c r="N40" i="1" s="1"/>
  <c r="P40" i="1" s="1"/>
  <c r="R40" i="1"/>
  <c r="AD40" i="1" s="1"/>
  <c r="U41" i="1" l="1"/>
  <c r="AP40" i="1"/>
  <c r="AB40" i="1"/>
  <c r="O40" i="1"/>
  <c r="Q40" i="1" s="1"/>
  <c r="AR40" i="1"/>
  <c r="AC40" i="1" l="1"/>
  <c r="AE40" i="1" s="1"/>
  <c r="AQ40" i="1"/>
  <c r="AS40" i="1" s="1"/>
  <c r="AT40" i="1" l="1"/>
  <c r="AU40" i="1" s="1"/>
  <c r="AV40" i="1" s="1"/>
  <c r="AF40" i="1"/>
  <c r="AG40" i="1" s="1"/>
  <c r="AH40" i="1" s="1"/>
  <c r="AI41" i="1"/>
  <c r="AJ41" i="1" s="1" a="1"/>
  <c r="AJ41" i="1" s="1"/>
  <c r="V41" i="1" a="1"/>
  <c r="V41" i="1" s="1"/>
  <c r="F40" i="1" l="1"/>
  <c r="I40" i="1" s="1"/>
  <c r="K40" i="1" l="1"/>
  <c r="L40" i="1" s="1"/>
  <c r="M40" i="1" s="1"/>
  <c r="H40" i="1" s="1"/>
  <c r="E41" i="1" s="1"/>
  <c r="S41" i="1" s="1"/>
  <c r="J41" i="1"/>
  <c r="D41" i="1" l="1"/>
  <c r="R41" i="1"/>
  <c r="AR41" i="1" s="1"/>
  <c r="C41" i="1"/>
  <c r="O41" i="1" l="1"/>
  <c r="Q41" i="1" s="1"/>
  <c r="AD41" i="1"/>
  <c r="U42" i="1"/>
  <c r="N41" i="1"/>
  <c r="AP41" i="1" s="1"/>
  <c r="AQ41" i="1" l="1"/>
  <c r="AS41" i="1" s="1"/>
  <c r="AC41" i="1"/>
  <c r="P41" i="1"/>
  <c r="AB41" i="1"/>
  <c r="AE41" i="1" l="1"/>
  <c r="AT41" i="1"/>
  <c r="AU41" i="1" s="1"/>
  <c r="AV41" i="1" s="1"/>
  <c r="AF41" i="1"/>
  <c r="AG41" i="1" l="1"/>
  <c r="AH41" i="1" s="1"/>
  <c r="F41" i="1" s="1"/>
  <c r="AI42" i="1"/>
  <c r="AJ42" i="1" s="1" a="1"/>
  <c r="AJ42" i="1" s="1"/>
  <c r="I41" i="1" l="1"/>
  <c r="K41" i="1"/>
  <c r="L41" i="1" s="1"/>
  <c r="J42" i="1"/>
  <c r="V42" i="1" a="1"/>
  <c r="V42" i="1" s="1"/>
  <c r="M41" i="1" l="1"/>
  <c r="H41" i="1" s="1"/>
  <c r="E42" i="1" s="1"/>
  <c r="S42" i="1" l="1"/>
  <c r="R42" i="1"/>
  <c r="C42" i="1"/>
  <c r="D42" i="1"/>
  <c r="U43" i="1" l="1"/>
  <c r="O42" i="1"/>
  <c r="N42" i="1"/>
  <c r="AD42" i="1"/>
  <c r="AR42" i="1"/>
  <c r="Q42" i="1" l="1"/>
  <c r="AQ42" i="1"/>
  <c r="AC42" i="1"/>
  <c r="P42" i="1"/>
  <c r="AB42" i="1"/>
  <c r="AP42" i="1"/>
  <c r="AT42" i="1" l="1"/>
  <c r="AF42" i="1"/>
  <c r="AE42" i="1"/>
  <c r="AS42" i="1"/>
  <c r="AG42" i="1" l="1"/>
  <c r="AH42" i="1" s="1"/>
  <c r="AU42" i="1"/>
  <c r="AV42" i="1" s="1"/>
  <c r="V43" i="1" a="1"/>
  <c r="V43" i="1" s="1"/>
  <c r="F42" i="1" l="1"/>
  <c r="AI43" i="1"/>
  <c r="AJ43" i="1" s="1" a="1"/>
  <c r="AJ43" i="1" s="1"/>
  <c r="K42" i="1" l="1"/>
  <c r="L42" i="1" s="1"/>
  <c r="J43" i="1"/>
  <c r="I42" i="1"/>
  <c r="M42" i="1" l="1"/>
  <c r="H42" i="1" s="1"/>
  <c r="E43" i="1" s="1"/>
  <c r="S43" i="1" s="1"/>
  <c r="D43" i="1" l="1"/>
  <c r="R43" i="1"/>
  <c r="AD43" i="1" s="1"/>
  <c r="C43" i="1"/>
  <c r="N43" i="1" s="1"/>
  <c r="AP43" i="1" s="1"/>
  <c r="AR43" i="1" l="1"/>
  <c r="O43" i="1"/>
  <c r="Q43" i="1" s="1"/>
  <c r="U44" i="1"/>
  <c r="P43" i="1"/>
  <c r="AB43" i="1"/>
  <c r="AQ43" i="1" l="1"/>
  <c r="AS43" i="1" s="1"/>
  <c r="AC43" i="1"/>
  <c r="AE43" i="1" s="1"/>
  <c r="AF43" i="1" l="1"/>
  <c r="AT43" i="1"/>
  <c r="AG43" i="1" l="1"/>
  <c r="AH43" i="1" s="1"/>
  <c r="AU43" i="1"/>
  <c r="AV43" i="1" s="1"/>
  <c r="V44" i="1" a="1"/>
  <c r="V44" i="1" s="1"/>
  <c r="AI44" i="1"/>
  <c r="AJ44" i="1" s="1" a="1"/>
  <c r="AJ44" i="1" s="1"/>
  <c r="F43" i="1" l="1"/>
  <c r="J44" i="1" s="1"/>
  <c r="K43" i="1" l="1"/>
  <c r="L43" i="1" s="1"/>
  <c r="I43" i="1"/>
  <c r="M43" i="1" l="1"/>
  <c r="H43" i="1" s="1"/>
  <c r="E44" i="1" s="1"/>
  <c r="R44" i="1" s="1"/>
  <c r="C44" i="1" l="1"/>
  <c r="D44" i="1"/>
  <c r="O44" i="1" s="1"/>
  <c r="AQ44" i="1" s="1"/>
  <c r="S44" i="1"/>
  <c r="AR44" i="1" s="1"/>
  <c r="AD44" i="1" l="1"/>
  <c r="Q44" i="1"/>
  <c r="AC44" i="1"/>
  <c r="N44" i="1"/>
  <c r="AP44" i="1" s="1"/>
  <c r="AT44" i="1" s="1"/>
  <c r="U45" i="1"/>
  <c r="P44" i="1" l="1"/>
  <c r="AB44" i="1"/>
  <c r="AF44" i="1" s="1"/>
  <c r="AS44" i="1"/>
  <c r="AU44" i="1" s="1"/>
  <c r="AV44" i="1" s="1"/>
  <c r="V45" i="1" a="1"/>
  <c r="V45" i="1" s="1"/>
  <c r="AI45" i="1"/>
  <c r="AJ45" i="1" s="1" a="1"/>
  <c r="AJ45" i="1" s="1"/>
  <c r="AE44" i="1" l="1"/>
  <c r="AG44" i="1" s="1"/>
  <c r="AH44" i="1" s="1"/>
  <c r="F44" i="1" s="1"/>
  <c r="I44" i="1" l="1"/>
  <c r="K44" i="1"/>
  <c r="L44" i="1" s="1"/>
  <c r="J45" i="1"/>
  <c r="M44" i="1" l="1"/>
  <c r="H44" i="1" s="1"/>
  <c r="E45" i="1" s="1"/>
  <c r="S45" i="1" s="1"/>
  <c r="D45" i="1" l="1"/>
  <c r="C45" i="1"/>
  <c r="N45" i="1" s="1"/>
  <c r="AB45" i="1" s="1"/>
  <c r="R45" i="1"/>
  <c r="AD45" i="1" s="1"/>
  <c r="AP45" i="1" l="1"/>
  <c r="P45" i="1"/>
  <c r="O45" i="1"/>
  <c r="Q45" i="1" s="1"/>
  <c r="U46" i="1"/>
  <c r="AR45" i="1"/>
  <c r="AC45" i="1" l="1"/>
  <c r="AE45" i="1" s="1"/>
  <c r="AQ45" i="1"/>
  <c r="AS45" i="1" s="1"/>
  <c r="V46" i="1" a="1"/>
  <c r="V46" i="1" s="1"/>
  <c r="AI46" i="1"/>
  <c r="AJ46" i="1" s="1" a="1"/>
  <c r="AJ46" i="1" s="1"/>
  <c r="AT45" i="1" l="1"/>
  <c r="AU45" i="1" s="1"/>
  <c r="AV45" i="1" s="1"/>
  <c r="AF45" i="1"/>
  <c r="AG45" i="1" s="1"/>
  <c r="AH45" i="1" s="1"/>
  <c r="F45" i="1" l="1"/>
  <c r="K45" i="1" s="1"/>
  <c r="L45" i="1" s="1"/>
  <c r="I45" i="1" l="1"/>
  <c r="M45" i="1" s="1"/>
  <c r="H45" i="1" s="1"/>
  <c r="E46" i="1" s="1"/>
  <c r="S46" i="1" s="1"/>
  <c r="J46" i="1"/>
  <c r="R46" i="1" l="1"/>
  <c r="AD46" i="1" s="1"/>
  <c r="D46" i="1"/>
  <c r="C46" i="1"/>
  <c r="N46" i="1" s="1"/>
  <c r="P46" i="1" s="1"/>
  <c r="AR46" i="1" l="1"/>
  <c r="O46" i="1"/>
  <c r="AC46" i="1" s="1"/>
  <c r="AP46" i="1"/>
  <c r="AB46" i="1"/>
  <c r="U47" i="1"/>
  <c r="Q46" i="1" l="1"/>
  <c r="AQ46" i="1"/>
  <c r="AS46" i="1" s="1"/>
  <c r="AF46" i="1"/>
  <c r="AE46" i="1"/>
  <c r="AI47" i="1"/>
  <c r="AJ47" i="1" s="1" a="1"/>
  <c r="AJ47" i="1" s="1"/>
  <c r="V47" i="1" a="1"/>
  <c r="V47" i="1" s="1"/>
  <c r="AG46" i="1" l="1"/>
  <c r="AH46" i="1" s="1"/>
  <c r="AT46" i="1"/>
  <c r="AU46" i="1" s="1"/>
  <c r="AV46" i="1" s="1"/>
  <c r="F46" i="1" l="1"/>
  <c r="I46" i="1" s="1"/>
  <c r="J47" i="1" l="1"/>
  <c r="K46" i="1"/>
  <c r="L46" i="1" s="1"/>
  <c r="M46" i="1" s="1"/>
  <c r="H46" i="1" s="1"/>
  <c r="E47" i="1" s="1"/>
  <c r="S47" i="1" s="1"/>
  <c r="C47" i="1" l="1"/>
  <c r="N47" i="1" s="1"/>
  <c r="P47" i="1" s="1"/>
  <c r="D47" i="1"/>
  <c r="R47" i="1"/>
  <c r="AR47" i="1" s="1"/>
  <c r="AP47" i="1" l="1"/>
  <c r="AB47" i="1"/>
  <c r="U48" i="1"/>
  <c r="V48" i="1" s="1" a="1"/>
  <c r="V48" i="1" s="1"/>
  <c r="AD47" i="1"/>
  <c r="O47" i="1"/>
  <c r="AC47" i="1" s="1"/>
  <c r="AE47" i="1" l="1"/>
  <c r="AI48" i="1"/>
  <c r="AJ48" i="1" s="1" a="1"/>
  <c r="AJ48" i="1" s="1"/>
  <c r="AF47" i="1"/>
  <c r="Q47" i="1"/>
  <c r="AQ47" i="1"/>
  <c r="AT47" i="1" s="1"/>
  <c r="AG47" i="1" l="1"/>
  <c r="AH47" i="1" s="1"/>
  <c r="AS47" i="1"/>
  <c r="AU47" i="1" l="1"/>
  <c r="AV47" i="1" s="1"/>
  <c r="F47" i="1" s="1"/>
  <c r="J48" i="1" s="1"/>
  <c r="I47" i="1" l="1"/>
  <c r="K47" i="1"/>
  <c r="L47" i="1" s="1"/>
  <c r="M47" i="1" l="1"/>
  <c r="H47" i="1" s="1"/>
  <c r="E48" i="1" s="1"/>
  <c r="S48" i="1" s="1"/>
  <c r="C48" i="1" l="1"/>
  <c r="N48" i="1" s="1"/>
  <c r="AB48" i="1" s="1"/>
  <c r="D48" i="1"/>
  <c r="R48" i="1"/>
  <c r="AR48" i="1" s="1"/>
  <c r="AP48" i="1" l="1"/>
  <c r="P48" i="1"/>
  <c r="U49" i="1"/>
  <c r="AI49" i="1" s="1"/>
  <c r="AJ49" i="1" s="1" a="1"/>
  <c r="AJ49" i="1" s="1"/>
  <c r="O48" i="1"/>
  <c r="Q48" i="1" s="1"/>
  <c r="AD48" i="1"/>
  <c r="V49" i="1" l="1" a="1"/>
  <c r="V49" i="1" s="1"/>
  <c r="AQ48" i="1"/>
  <c r="AS48" i="1" s="1"/>
  <c r="AC48" i="1"/>
  <c r="AE48" i="1" s="1"/>
  <c r="AF48" i="1" l="1"/>
  <c r="AT48" i="1"/>
  <c r="AG48" i="1" l="1"/>
  <c r="AH48" i="1" s="1"/>
  <c r="AU48" i="1"/>
  <c r="AV48" i="1" s="1"/>
  <c r="F48" i="1" l="1"/>
  <c r="I48" i="1" s="1"/>
  <c r="J49" i="1" l="1"/>
  <c r="K48" i="1"/>
  <c r="L48" i="1" s="1"/>
  <c r="M48" i="1" s="1"/>
  <c r="H48" i="1" s="1"/>
  <c r="E49" i="1" s="1"/>
  <c r="S49" i="1" s="1"/>
  <c r="R49" i="1" l="1"/>
  <c r="AR49" i="1" s="1"/>
  <c r="D49" i="1"/>
  <c r="C49" i="1"/>
  <c r="N49" i="1" s="1"/>
  <c r="AB49" i="1" s="1"/>
  <c r="U50" i="1" l="1"/>
  <c r="AI50" i="1" s="1"/>
  <c r="AJ50" i="1" s="1" a="1"/>
  <c r="AJ50" i="1" s="1"/>
  <c r="O49" i="1"/>
  <c r="AC49" i="1" s="1"/>
  <c r="P49" i="1"/>
  <c r="AD49" i="1"/>
  <c r="AP49" i="1"/>
  <c r="V50" i="1" l="1" a="1"/>
  <c r="V50" i="1" s="1"/>
  <c r="AF49" i="1"/>
  <c r="Q49" i="1"/>
  <c r="AE49" i="1"/>
  <c r="AQ49" i="1"/>
  <c r="AT49" i="1" s="1"/>
  <c r="AS49" i="1" l="1"/>
  <c r="AU49" i="1" s="1"/>
  <c r="AV49" i="1" s="1"/>
  <c r="AG49" i="1"/>
  <c r="AH49" i="1" s="1"/>
  <c r="F49" i="1" l="1"/>
  <c r="K49" i="1" s="1"/>
  <c r="L49" i="1" s="1"/>
  <c r="J50" i="1" l="1"/>
  <c r="I49" i="1"/>
  <c r="M49" i="1" s="1"/>
  <c r="H49" i="1" s="1"/>
  <c r="E50" i="1" s="1"/>
  <c r="R50" i="1" s="1"/>
  <c r="D50" i="1" l="1"/>
  <c r="O50" i="1" s="1"/>
  <c r="AQ50" i="1" s="1"/>
  <c r="S50" i="1"/>
  <c r="AD50" i="1" s="1"/>
  <c r="C50" i="1"/>
  <c r="U51" i="1" l="1"/>
  <c r="V51" i="1" s="1" a="1"/>
  <c r="V51" i="1" s="1"/>
  <c r="AR50" i="1"/>
  <c r="N50" i="1"/>
  <c r="AP50" i="1" s="1"/>
  <c r="Q50" i="1"/>
  <c r="AC50" i="1"/>
  <c r="AI51" i="1" l="1"/>
  <c r="AJ51" i="1" s="1" a="1"/>
  <c r="AJ51" i="1" s="1"/>
  <c r="AT50" i="1"/>
  <c r="AB50" i="1"/>
  <c r="AE50" i="1" s="1"/>
  <c r="AS50" i="1"/>
  <c r="P50" i="1"/>
  <c r="AF50" i="1" l="1"/>
  <c r="AG50" i="1" s="1"/>
  <c r="AH50" i="1" s="1"/>
  <c r="AU50" i="1"/>
  <c r="AV50" i="1" s="1"/>
  <c r="F50" i="1" l="1"/>
  <c r="J51" i="1" s="1"/>
  <c r="K50" i="1" l="1"/>
  <c r="L50" i="1" s="1"/>
  <c r="I50" i="1"/>
  <c r="M50" i="1" l="1"/>
  <c r="H50" i="1" s="1"/>
  <c r="E51" i="1" s="1"/>
  <c r="R51" i="1" s="1"/>
  <c r="S51" i="1" l="1"/>
  <c r="AR51" i="1" s="1"/>
  <c r="D51" i="1"/>
  <c r="O51" i="1" s="1"/>
  <c r="AC51" i="1" s="1"/>
  <c r="C51" i="1"/>
  <c r="N51" i="1" l="1"/>
  <c r="AB51" i="1" s="1"/>
  <c r="AD51" i="1"/>
  <c r="Q51" i="1"/>
  <c r="AQ51" i="1"/>
  <c r="U52" i="1"/>
  <c r="V52" i="1" s="1" a="1"/>
  <c r="V52" i="1" s="1"/>
  <c r="AF51" i="1" l="1"/>
  <c r="AE51" i="1"/>
  <c r="P51" i="1"/>
  <c r="AP51" i="1"/>
  <c r="AT51" i="1" s="1"/>
  <c r="AI52" i="1"/>
  <c r="AJ52" i="1" s="1" a="1"/>
  <c r="AJ52" i="1" s="1"/>
  <c r="AG51" i="1" l="1"/>
  <c r="AH51" i="1" s="1"/>
  <c r="AS51" i="1"/>
  <c r="AU51" i="1" s="1"/>
  <c r="AV51" i="1" s="1"/>
  <c r="F51" i="1" l="1"/>
  <c r="I51" i="1" s="1"/>
  <c r="K51" i="1" l="1"/>
  <c r="L51" i="1" s="1"/>
  <c r="M51" i="1" s="1"/>
  <c r="H51" i="1" s="1"/>
  <c r="E52" i="1" s="1"/>
  <c r="S52" i="1" s="1"/>
  <c r="J52" i="1"/>
  <c r="C52" i="1" l="1"/>
  <c r="N52" i="1" s="1"/>
  <c r="AP52" i="1" s="1"/>
  <c r="D52" i="1"/>
  <c r="R52" i="1"/>
  <c r="AD52" i="1" s="1"/>
  <c r="AB52" i="1" l="1"/>
  <c r="P52" i="1"/>
  <c r="U53" i="1"/>
  <c r="O52" i="1"/>
  <c r="Q52" i="1" s="1"/>
  <c r="AR52" i="1"/>
  <c r="AQ52" i="1" l="1"/>
  <c r="AT52" i="1" s="1"/>
  <c r="AC52" i="1"/>
  <c r="AF52" i="1" s="1"/>
  <c r="V53" i="1" a="1"/>
  <c r="V53" i="1" s="1"/>
  <c r="AI53" i="1"/>
  <c r="AJ53" i="1" s="1" a="1"/>
  <c r="AJ53" i="1" s="1"/>
  <c r="AE52" i="1" l="1"/>
  <c r="AG52" i="1" s="1"/>
  <c r="AH52" i="1" s="1"/>
  <c r="AS52" i="1"/>
  <c r="AU52" i="1" s="1"/>
  <c r="AV52" i="1" s="1"/>
  <c r="F52" i="1" l="1"/>
  <c r="I52" i="1" s="1"/>
  <c r="K52" i="1" l="1"/>
  <c r="L52" i="1" s="1"/>
  <c r="M52" i="1" s="1"/>
  <c r="H52" i="1" s="1"/>
  <c r="E53" i="1" s="1"/>
  <c r="R53" i="1" s="1"/>
  <c r="J53" i="1"/>
  <c r="D53" i="1" l="1"/>
  <c r="O53" i="1" s="1"/>
  <c r="C53" i="1"/>
  <c r="S53" i="1"/>
  <c r="AD53" i="1" s="1"/>
  <c r="U54" i="1" l="1"/>
  <c r="N53" i="1"/>
  <c r="AP53" i="1" s="1"/>
  <c r="AR53" i="1"/>
  <c r="AQ53" i="1"/>
  <c r="Q53" i="1"/>
  <c r="AC53" i="1"/>
  <c r="P53" i="1" l="1"/>
  <c r="AB53" i="1"/>
  <c r="AS53" i="1"/>
  <c r="AF53" i="1"/>
  <c r="AE53" i="1"/>
  <c r="AT53" i="1"/>
  <c r="AG53" i="1" l="1"/>
  <c r="AH53" i="1" s="1"/>
  <c r="AU53" i="1"/>
  <c r="AV53" i="1" s="1"/>
  <c r="F53" i="1" l="1"/>
  <c r="K53" i="1" l="1"/>
  <c r="L53" i="1" s="1"/>
  <c r="I53" i="1"/>
  <c r="J54" i="1"/>
  <c r="V54" i="1" a="1"/>
  <c r="V54" i="1" s="1"/>
  <c r="AI54" i="1"/>
  <c r="AJ54" i="1" s="1" a="1"/>
  <c r="AJ54" i="1" s="1"/>
  <c r="M53" i="1" l="1"/>
  <c r="H53" i="1" s="1"/>
  <c r="E54" i="1" s="1"/>
  <c r="R54" i="1" s="1"/>
  <c r="S54" i="1" l="1"/>
  <c r="AD54" i="1" s="1"/>
  <c r="C54" i="1"/>
  <c r="D54" i="1"/>
  <c r="O54" i="1" s="1"/>
  <c r="AQ54" i="1" s="1"/>
  <c r="AR54" i="1" l="1"/>
  <c r="N54" i="1"/>
  <c r="AB54" i="1" s="1"/>
  <c r="AC54" i="1"/>
  <c r="Q54" i="1"/>
  <c r="U55" i="1"/>
  <c r="AF54" i="1" l="1"/>
  <c r="P54" i="1"/>
  <c r="AP54" i="1"/>
  <c r="AT54" i="1" s="1"/>
  <c r="AE54" i="1"/>
  <c r="AG54" i="1" l="1"/>
  <c r="AH54" i="1" s="1"/>
  <c r="AS54" i="1"/>
  <c r="AU54" i="1" l="1"/>
  <c r="AV54" i="1" s="1"/>
  <c r="F54" i="1" s="1"/>
  <c r="K54" i="1" s="1"/>
  <c r="L54" i="1" s="1"/>
  <c r="V55" i="1" a="1"/>
  <c r="V55" i="1" s="1"/>
  <c r="AI55" i="1"/>
  <c r="AJ55" i="1" s="1" a="1"/>
  <c r="AJ55" i="1" s="1"/>
  <c r="J55" i="1" l="1"/>
  <c r="I54" i="1"/>
  <c r="M54" i="1" s="1"/>
  <c r="H54" i="1" s="1"/>
  <c r="E55" i="1" s="1"/>
  <c r="S55" i="1" s="1"/>
  <c r="C55" i="1" l="1"/>
  <c r="N55" i="1" s="1"/>
  <c r="D55" i="1"/>
  <c r="R55" i="1"/>
  <c r="O55" i="1" l="1"/>
  <c r="AC55" i="1" s="1"/>
  <c r="AD55" i="1"/>
  <c r="AR55" i="1"/>
  <c r="U56" i="1"/>
  <c r="AP55" i="1"/>
  <c r="AB55" i="1"/>
  <c r="P55" i="1"/>
  <c r="AQ55" i="1" l="1"/>
  <c r="AT55" i="1" s="1"/>
  <c r="Q55" i="1"/>
  <c r="AF55" i="1"/>
  <c r="AE55" i="1"/>
  <c r="AG55" i="1" s="1"/>
  <c r="AS55" i="1" l="1"/>
  <c r="V56" i="1" a="1"/>
  <c r="V56" i="1" s="1"/>
  <c r="AH55" i="1"/>
  <c r="AU55" i="1" l="1"/>
  <c r="AV55" i="1" s="1"/>
  <c r="F55" i="1" s="1"/>
  <c r="AI56" i="1"/>
  <c r="AJ56" i="1" s="1" a="1"/>
  <c r="AJ56" i="1" s="1"/>
  <c r="K55" i="1" l="1"/>
  <c r="L55" i="1" s="1"/>
  <c r="J56" i="1"/>
  <c r="I55" i="1"/>
  <c r="M55" i="1" l="1"/>
  <c r="H55" i="1" s="1"/>
  <c r="E56" i="1" s="1"/>
  <c r="S56" i="1" s="1"/>
  <c r="D56" i="1" l="1"/>
  <c r="R56" i="1"/>
  <c r="C56" i="1"/>
  <c r="U57" i="1" l="1"/>
  <c r="O56" i="1"/>
  <c r="AQ56" i="1" s="1"/>
  <c r="AR56" i="1"/>
  <c r="AD56" i="1"/>
  <c r="N56" i="1"/>
  <c r="AP56" i="1" s="1"/>
  <c r="Q56" i="1" l="1"/>
  <c r="AC56" i="1"/>
  <c r="AT56" i="1"/>
  <c r="AS56" i="1"/>
  <c r="P56" i="1"/>
  <c r="AB56" i="1"/>
  <c r="V57" i="1" a="1"/>
  <c r="V57" i="1" s="1"/>
  <c r="AI57" i="1"/>
  <c r="AJ57" i="1" s="1" a="1"/>
  <c r="AJ57" i="1" s="1"/>
  <c r="AU56" i="1" l="1"/>
  <c r="AV56" i="1" s="1"/>
  <c r="AF56" i="1"/>
  <c r="AE56" i="1"/>
  <c r="AG56" i="1" l="1"/>
  <c r="AH56" i="1" s="1"/>
  <c r="F56" i="1" s="1"/>
  <c r="J57" i="1" s="1"/>
  <c r="K56" i="1" l="1"/>
  <c r="L56" i="1" s="1"/>
  <c r="I56" i="1"/>
  <c r="M56" i="1" l="1"/>
  <c r="H56" i="1" s="1"/>
  <c r="E57" i="1" s="1"/>
  <c r="S57" i="1" s="1"/>
  <c r="C57" i="1" l="1"/>
  <c r="N57" i="1" s="1"/>
  <c r="AB57" i="1" s="1"/>
  <c r="D57" i="1"/>
  <c r="R57" i="1"/>
  <c r="AD57" i="1" s="1"/>
  <c r="AP57" i="1" l="1"/>
  <c r="P57" i="1"/>
  <c r="U58" i="1"/>
  <c r="O57" i="1"/>
  <c r="AR57" i="1"/>
  <c r="AQ57" i="1" l="1"/>
  <c r="AC57" i="1"/>
  <c r="Q57" i="1"/>
  <c r="V58" i="1" a="1"/>
  <c r="V58" i="1" s="1"/>
  <c r="AI58" i="1"/>
  <c r="AJ58" i="1" s="1" a="1"/>
  <c r="AJ58" i="1" s="1"/>
  <c r="AF57" i="1" l="1"/>
  <c r="AE57" i="1"/>
  <c r="AT57" i="1"/>
  <c r="AS57" i="1"/>
  <c r="AG57" i="1" l="1"/>
  <c r="AH57" i="1" s="1"/>
  <c r="AU57" i="1"/>
  <c r="AV57" i="1" s="1"/>
  <c r="F57" i="1" l="1"/>
  <c r="K57" i="1" s="1"/>
  <c r="L57" i="1" s="1"/>
  <c r="I57" i="1" l="1"/>
  <c r="M57" i="1" s="1"/>
  <c r="H57" i="1" s="1"/>
  <c r="E58" i="1" s="1"/>
  <c r="J58" i="1"/>
  <c r="R58" i="1" l="1"/>
  <c r="D58" i="1"/>
  <c r="C58" i="1"/>
  <c r="S58" i="1"/>
  <c r="AR58" i="1" l="1"/>
  <c r="U59" i="1"/>
  <c r="V59" i="1" s="1" a="1"/>
  <c r="V59" i="1" s="1"/>
  <c r="AD58" i="1"/>
  <c r="O58" i="1"/>
  <c r="AQ58" i="1" s="1"/>
  <c r="N58" i="1"/>
  <c r="AB58" i="1" s="1"/>
  <c r="AI59" i="1" l="1"/>
  <c r="AJ59" i="1" s="1" a="1"/>
  <c r="AJ59" i="1" s="1"/>
  <c r="P58" i="1"/>
  <c r="Q58" i="1"/>
  <c r="AC58" i="1"/>
  <c r="AF58" i="1" s="1"/>
  <c r="AP58" i="1"/>
  <c r="AE58" i="1" l="1"/>
  <c r="AS58" i="1"/>
  <c r="AT58" i="1"/>
  <c r="AG58" i="1" l="1"/>
  <c r="AH58" i="1" s="1"/>
  <c r="AU58" i="1"/>
  <c r="AV58" i="1" s="1"/>
  <c r="F58" i="1" l="1"/>
  <c r="J59" i="1" s="1"/>
  <c r="K58" i="1" l="1"/>
  <c r="L58" i="1" s="1"/>
  <c r="I58" i="1"/>
  <c r="M58" i="1" l="1"/>
  <c r="H58" i="1" s="1"/>
  <c r="E59" i="1" s="1"/>
  <c r="S59" i="1" s="1"/>
  <c r="D59" i="1" l="1"/>
  <c r="R59" i="1"/>
  <c r="AD59" i="1" s="1"/>
  <c r="C59" i="1"/>
  <c r="N59" i="1" s="1"/>
  <c r="AP59" i="1" s="1"/>
  <c r="AR59" i="1" l="1"/>
  <c r="O59" i="1"/>
  <c r="Q59" i="1" s="1"/>
  <c r="AB59" i="1"/>
  <c r="P59" i="1"/>
  <c r="U60" i="1"/>
  <c r="V60" i="1" s="1" a="1"/>
  <c r="V60" i="1" s="1"/>
  <c r="AC59" i="1" l="1"/>
  <c r="AE59" i="1" s="1"/>
  <c r="AQ59" i="1"/>
  <c r="AS59" i="1" s="1"/>
  <c r="AI60" i="1"/>
  <c r="AJ60" i="1" s="1" a="1"/>
  <c r="AJ60" i="1" s="1"/>
  <c r="AT59" i="1"/>
  <c r="AF59" i="1" l="1"/>
  <c r="AG59" i="1" s="1"/>
  <c r="AH59" i="1" s="1"/>
  <c r="AU59" i="1"/>
  <c r="AV59" i="1" s="1"/>
  <c r="F59" i="1" l="1"/>
  <c r="K59" i="1" s="1"/>
  <c r="L59" i="1" s="1"/>
  <c r="I59" i="1" l="1"/>
  <c r="M59" i="1" s="1"/>
  <c r="H59" i="1" s="1"/>
  <c r="E60" i="1" s="1"/>
  <c r="R60" i="1" s="1"/>
  <c r="J60" i="1"/>
  <c r="S60" i="1" l="1"/>
  <c r="AD60" i="1" s="1"/>
  <c r="C60" i="1"/>
  <c r="D60" i="1"/>
  <c r="O60" i="1" s="1"/>
  <c r="Q60" i="1" s="1"/>
  <c r="N60" i="1" l="1"/>
  <c r="P60" i="1" s="1"/>
  <c r="AR60" i="1"/>
  <c r="U61" i="1"/>
  <c r="V61" i="1" s="1" a="1"/>
  <c r="V61" i="1" s="1"/>
  <c r="AQ60" i="1"/>
  <c r="AC60" i="1"/>
  <c r="AB60" i="1" l="1"/>
  <c r="AE60" i="1" s="1"/>
  <c r="AP60" i="1"/>
  <c r="AT60" i="1" s="1"/>
  <c r="AI61" i="1"/>
  <c r="AJ61" i="1" s="1" a="1"/>
  <c r="AJ61" i="1" s="1"/>
  <c r="AF60" i="1" l="1"/>
  <c r="AG60" i="1" s="1"/>
  <c r="AH60" i="1" s="1"/>
  <c r="AS60" i="1"/>
  <c r="AU60" i="1" s="1"/>
  <c r="AV60" i="1" s="1"/>
  <c r="F60" i="1" l="1"/>
  <c r="J61" i="1" s="1"/>
  <c r="K60" i="1" l="1"/>
  <c r="L60" i="1" s="1"/>
  <c r="I60" i="1"/>
  <c r="M60" i="1" l="1"/>
  <c r="H60" i="1" s="1"/>
  <c r="E61" i="1" s="1"/>
  <c r="R61" i="1" s="1"/>
  <c r="C61" i="1" l="1"/>
  <c r="S61" i="1"/>
  <c r="AD61" i="1" s="1"/>
  <c r="D61" i="1"/>
  <c r="O61" i="1" s="1"/>
  <c r="Q61" i="1" s="1"/>
  <c r="U62" i="1" l="1"/>
  <c r="AI62" i="1" s="1"/>
  <c r="AJ62" i="1" s="1" a="1"/>
  <c r="AJ62" i="1" s="1"/>
  <c r="AR61" i="1"/>
  <c r="N61" i="1"/>
  <c r="AP61" i="1" s="1"/>
  <c r="AQ61" i="1"/>
  <c r="AC61" i="1"/>
  <c r="V62" i="1" l="1" a="1"/>
  <c r="V62" i="1" s="1"/>
  <c r="P61" i="1"/>
  <c r="AB61" i="1"/>
  <c r="AF61" i="1" s="1"/>
  <c r="AT61" i="1"/>
  <c r="AS61" i="1"/>
  <c r="AU61" i="1" l="1"/>
  <c r="AV61" i="1" s="1"/>
  <c r="AE61" i="1"/>
  <c r="AG61" i="1" l="1"/>
  <c r="AH61" i="1" s="1"/>
  <c r="F61" i="1" s="1"/>
  <c r="K61" i="1" s="1"/>
  <c r="L61" i="1" s="1"/>
  <c r="I61" i="1" l="1"/>
  <c r="M61" i="1" s="1"/>
  <c r="H61" i="1" s="1"/>
  <c r="E62" i="1" s="1"/>
  <c r="D62" i="1" s="1"/>
  <c r="J62" i="1"/>
  <c r="S62" i="1" l="1"/>
  <c r="R62" i="1"/>
  <c r="O62" i="1" s="1"/>
  <c r="C62" i="1"/>
  <c r="U63" i="1" s="1"/>
  <c r="V63" i="1" s="1" a="1"/>
  <c r="V63" i="1" s="1"/>
  <c r="AD62" i="1" l="1"/>
  <c r="AR62" i="1"/>
  <c r="N62" i="1"/>
  <c r="AB62" i="1" s="1"/>
  <c r="AI63" i="1"/>
  <c r="AJ63" i="1" s="1" a="1"/>
  <c r="AJ63" i="1" s="1"/>
  <c r="AC62" i="1"/>
  <c r="AQ62" i="1"/>
  <c r="Q62" i="1"/>
  <c r="P62" i="1" l="1"/>
  <c r="AP62" i="1"/>
  <c r="AS62" i="1" s="1"/>
  <c r="AF62" i="1"/>
  <c r="AE62" i="1"/>
  <c r="AG62" i="1" l="1"/>
  <c r="AH62" i="1" s="1"/>
  <c r="AT62" i="1"/>
  <c r="AU62" i="1" l="1"/>
  <c r="AV62" i="1" s="1"/>
  <c r="F62" i="1" s="1"/>
  <c r="I62" i="1" s="1"/>
  <c r="J63" i="1" l="1"/>
  <c r="K62" i="1"/>
  <c r="L62" i="1" s="1"/>
  <c r="M62" i="1" s="1"/>
  <c r="H62" i="1" s="1"/>
  <c r="E63" i="1" s="1"/>
  <c r="S63" i="1" s="1"/>
  <c r="D63" i="1" l="1"/>
  <c r="C63" i="1"/>
  <c r="N63" i="1" s="1"/>
  <c r="AB63" i="1" s="1"/>
  <c r="R63" i="1"/>
  <c r="AD63" i="1" s="1"/>
  <c r="AR63" i="1" l="1"/>
  <c r="U64" i="1"/>
  <c r="V64" i="1" s="1" a="1"/>
  <c r="V64" i="1" s="1"/>
  <c r="O63" i="1"/>
  <c r="P63" i="1"/>
  <c r="AP63" i="1"/>
  <c r="AI64" i="1" l="1"/>
  <c r="AJ64" i="1" s="1" a="1"/>
  <c r="AJ64" i="1" s="1"/>
  <c r="Q63" i="1"/>
  <c r="AC63" i="1"/>
  <c r="AQ63" i="1"/>
  <c r="AT63" i="1" s="1"/>
  <c r="AS63" i="1" l="1"/>
  <c r="AE63" i="1"/>
  <c r="AF63" i="1"/>
  <c r="AG63" i="1" l="1"/>
  <c r="AH63" i="1" s="1"/>
  <c r="AU63" i="1"/>
  <c r="AV63" i="1" s="1"/>
  <c r="F63" i="1" l="1"/>
  <c r="K63" i="1" s="1"/>
  <c r="L63" i="1" s="1"/>
  <c r="I63" i="1" l="1"/>
  <c r="M63" i="1" s="1"/>
  <c r="H63" i="1" s="1"/>
  <c r="E64" i="1" s="1"/>
  <c r="S64" i="1" s="1"/>
  <c r="J64" i="1"/>
  <c r="C64" i="1" l="1"/>
  <c r="N64" i="1" s="1"/>
  <c r="AP64" i="1" s="1"/>
  <c r="R64" i="1"/>
  <c r="AR64" i="1" s="1"/>
  <c r="D64" i="1"/>
  <c r="AD64" i="1" l="1"/>
  <c r="U65" i="1"/>
  <c r="V65" i="1" s="1" a="1"/>
  <c r="V65" i="1" s="1"/>
  <c r="O64" i="1"/>
  <c r="AQ64" i="1" s="1"/>
  <c r="AS64" i="1" s="1"/>
  <c r="P64" i="1"/>
  <c r="AB64" i="1"/>
  <c r="AI65" i="1" l="1"/>
  <c r="AJ65" i="1" s="1" a="1"/>
  <c r="AJ65" i="1" s="1"/>
  <c r="Q64" i="1"/>
  <c r="AC64" i="1"/>
  <c r="AE64" i="1" s="1"/>
  <c r="AT64" i="1"/>
  <c r="AU64" i="1" l="1"/>
  <c r="AV64" i="1" s="1"/>
  <c r="AF64" i="1"/>
  <c r="AG64" i="1" l="1"/>
  <c r="AH64" i="1" s="1"/>
  <c r="F64" i="1" s="1"/>
  <c r="J65" i="1" l="1"/>
  <c r="K64" i="1"/>
  <c r="L64" i="1" s="1"/>
  <c r="I64" i="1"/>
  <c r="M64" i="1" l="1"/>
  <c r="H64" i="1" s="1"/>
  <c r="E65" i="1" s="1"/>
  <c r="R65" i="1" s="1"/>
  <c r="C65" i="1" l="1"/>
  <c r="S65" i="1"/>
  <c r="AD65" i="1" s="1"/>
  <c r="D65" i="1"/>
  <c r="O65" i="1" s="1"/>
  <c r="AC65" i="1" s="1"/>
  <c r="N65" i="1" l="1"/>
  <c r="P65" i="1" s="1"/>
  <c r="Q65" i="1"/>
  <c r="AQ65" i="1"/>
  <c r="U66" i="1"/>
  <c r="AI66" i="1" s="1"/>
  <c r="AJ66" i="1" s="1" a="1"/>
  <c r="AJ66" i="1" s="1"/>
  <c r="AR65" i="1"/>
  <c r="AB65" i="1" l="1"/>
  <c r="AF65" i="1" s="1"/>
  <c r="AP65" i="1"/>
  <c r="AT65" i="1" s="1"/>
  <c r="V66" i="1" a="1"/>
  <c r="V66" i="1" s="1"/>
  <c r="AE65" i="1" l="1"/>
  <c r="AG65" i="1" s="1"/>
  <c r="AH65" i="1" s="1"/>
  <c r="AS65" i="1"/>
  <c r="AU65" i="1" s="1"/>
  <c r="AV65" i="1" s="1"/>
  <c r="F65" i="1" l="1"/>
  <c r="K65" i="1" s="1"/>
  <c r="L65" i="1" s="1"/>
  <c r="J66" i="1" l="1"/>
  <c r="I65" i="1"/>
  <c r="M65" i="1" s="1"/>
  <c r="H65" i="1" s="1"/>
  <c r="E66" i="1" s="1"/>
  <c r="R66" i="1" s="1"/>
  <c r="S66" i="1" l="1"/>
  <c r="AR66" i="1" s="1"/>
  <c r="D66" i="1"/>
  <c r="O66" i="1" s="1"/>
  <c r="AC66" i="1" s="1"/>
  <c r="C66" i="1"/>
  <c r="Q66" i="1" l="1"/>
  <c r="AQ66" i="1"/>
  <c r="U67" i="1"/>
  <c r="V67" i="1" s="1" a="1"/>
  <c r="V67" i="1" s="1"/>
  <c r="N66" i="1"/>
  <c r="AB66" i="1" s="1"/>
  <c r="AD66" i="1"/>
  <c r="AI67" i="1" l="1"/>
  <c r="AJ67" i="1" s="1" a="1"/>
  <c r="AJ67" i="1" s="1"/>
  <c r="AF66" i="1"/>
  <c r="AE66" i="1"/>
  <c r="P66" i="1"/>
  <c r="AP66" i="1"/>
  <c r="AS66" i="1" s="1"/>
  <c r="AG66" i="1" l="1"/>
  <c r="AH66" i="1" s="1"/>
  <c r="AT66" i="1"/>
  <c r="AU66" i="1" s="1"/>
  <c r="AV66" i="1" s="1"/>
  <c r="F66" i="1" l="1"/>
  <c r="I66" i="1" s="1"/>
  <c r="J67" i="1" l="1"/>
  <c r="K66" i="1"/>
  <c r="L66" i="1" s="1"/>
  <c r="M66" i="1" s="1"/>
  <c r="H66" i="1" s="1"/>
  <c r="E67" i="1" s="1"/>
  <c r="R67" i="1" s="1"/>
  <c r="D67" i="1" l="1"/>
  <c r="O67" i="1" s="1"/>
  <c r="Q67" i="1" s="1"/>
  <c r="S67" i="1"/>
  <c r="AD67" i="1" s="1"/>
  <c r="C67" i="1"/>
  <c r="AQ67" i="1" l="1"/>
  <c r="AC67" i="1"/>
  <c r="U68" i="1"/>
  <c r="V68" i="1" s="1" a="1"/>
  <c r="V68" i="1" s="1"/>
  <c r="AR67" i="1"/>
  <c r="N67" i="1"/>
  <c r="AP67" i="1" s="1"/>
  <c r="AT67" i="1" l="1"/>
  <c r="AI68" i="1"/>
  <c r="AJ68" i="1" s="1" a="1"/>
  <c r="AJ68" i="1" s="1"/>
  <c r="AS67" i="1"/>
  <c r="AB67" i="1"/>
  <c r="AF67" i="1" s="1"/>
  <c r="P67" i="1"/>
  <c r="AU67" i="1" l="1"/>
  <c r="AV67" i="1" s="1"/>
  <c r="AE67" i="1"/>
  <c r="AG67" i="1" s="1"/>
  <c r="AH67" i="1" s="1"/>
  <c r="F67" i="1" l="1"/>
  <c r="K67" i="1" s="1"/>
  <c r="L67" i="1" s="1"/>
  <c r="I67" i="1" l="1"/>
  <c r="M67" i="1" s="1"/>
  <c r="H67" i="1" s="1"/>
  <c r="E68" i="1" s="1"/>
  <c r="R68" i="1" s="1"/>
  <c r="J68" i="1"/>
  <c r="C68" i="1" l="1"/>
  <c r="D68" i="1"/>
  <c r="O68" i="1" s="1"/>
  <c r="AC68" i="1" s="1"/>
  <c r="S68" i="1"/>
  <c r="AR68" i="1" s="1"/>
  <c r="U69" i="1" l="1"/>
  <c r="AI69" i="1" s="1"/>
  <c r="AJ69" i="1" s="1" a="1"/>
  <c r="AJ69" i="1" s="1"/>
  <c r="AQ68" i="1"/>
  <c r="Q68" i="1"/>
  <c r="AD68" i="1"/>
  <c r="N68" i="1"/>
  <c r="AP68" i="1" s="1"/>
  <c r="V69" i="1" l="1" a="1"/>
  <c r="V69" i="1" s="1"/>
  <c r="AT68" i="1"/>
  <c r="AS68" i="1"/>
  <c r="P68" i="1"/>
  <c r="AB68" i="1"/>
  <c r="AF68" i="1" s="1"/>
  <c r="AU68" i="1" l="1"/>
  <c r="AV68" i="1" s="1"/>
  <c r="AE68" i="1"/>
  <c r="AG68" i="1" s="1"/>
  <c r="AH68" i="1" s="1"/>
  <c r="F68" i="1" s="1"/>
  <c r="K68" i="1" s="1"/>
  <c r="L68" i="1" s="1"/>
  <c r="J69" i="1" l="1"/>
  <c r="I68" i="1"/>
  <c r="M68" i="1" s="1"/>
  <c r="H68" i="1" s="1"/>
  <c r="E69" i="1" s="1"/>
  <c r="S69" i="1" s="1"/>
  <c r="D69" i="1" l="1"/>
  <c r="C69" i="1"/>
  <c r="N69" i="1" s="1"/>
  <c r="AB69" i="1" s="1"/>
  <c r="R69" i="1"/>
  <c r="AR69" i="1" s="1"/>
  <c r="AP69" i="1" l="1"/>
  <c r="U70" i="1"/>
  <c r="P69" i="1"/>
  <c r="AD69" i="1"/>
  <c r="O69" i="1"/>
  <c r="AC69" i="1" s="1"/>
  <c r="AF69" i="1" l="1"/>
  <c r="Q69" i="1"/>
  <c r="AE69" i="1"/>
  <c r="AQ69" i="1"/>
  <c r="AT69" i="1" s="1"/>
  <c r="AG69" i="1" l="1"/>
  <c r="AH69" i="1" s="1"/>
  <c r="AS69" i="1"/>
  <c r="AI70" i="1"/>
  <c r="AJ70" i="1" s="1" a="1"/>
  <c r="AJ70" i="1" s="1"/>
  <c r="V70" i="1" a="1"/>
  <c r="V70" i="1" s="1"/>
  <c r="AU69" i="1" l="1"/>
  <c r="AV69" i="1" s="1"/>
  <c r="F69" i="1" s="1"/>
  <c r="K69" i="1" s="1"/>
  <c r="L69" i="1" s="1"/>
  <c r="I69" i="1" l="1"/>
  <c r="M69" i="1" s="1"/>
  <c r="H69" i="1" s="1"/>
  <c r="E70" i="1" s="1"/>
  <c r="S70" i="1" s="1"/>
  <c r="J70" i="1"/>
  <c r="R70" i="1" l="1"/>
  <c r="AD70" i="1" s="1"/>
  <c r="C70" i="1"/>
  <c r="N70" i="1" s="1"/>
  <c r="P70" i="1" s="1"/>
  <c r="D70" i="1"/>
  <c r="AR70" i="1" l="1"/>
  <c r="U71" i="1"/>
  <c r="O70" i="1"/>
  <c r="AQ70" i="1" s="1"/>
  <c r="AP70" i="1"/>
  <c r="AB70" i="1"/>
  <c r="AT70" i="1" l="1"/>
  <c r="AC70" i="1"/>
  <c r="AE70" i="1" s="1"/>
  <c r="Q70" i="1"/>
  <c r="AS70" i="1"/>
  <c r="AU70" i="1" l="1"/>
  <c r="AV70" i="1" s="1"/>
  <c r="AF70" i="1"/>
  <c r="V71" i="1" a="1"/>
  <c r="V71" i="1" s="1"/>
  <c r="AI71" i="1"/>
  <c r="AJ71" i="1" s="1" a="1"/>
  <c r="AJ71" i="1" s="1"/>
  <c r="AG70" i="1" l="1"/>
  <c r="AH70" i="1" s="1"/>
  <c r="F70" i="1" s="1"/>
  <c r="I70" i="1" s="1"/>
  <c r="J71" i="1" l="1"/>
  <c r="K70" i="1"/>
  <c r="L70" i="1" s="1"/>
  <c r="M70" i="1" s="1"/>
  <c r="H70" i="1" s="1"/>
  <c r="E71" i="1" s="1"/>
  <c r="R71" i="1" s="1"/>
  <c r="D71" i="1" l="1"/>
  <c r="O71" i="1" s="1"/>
  <c r="S71" i="1"/>
  <c r="AD71" i="1" s="1"/>
  <c r="C71" i="1"/>
  <c r="U72" i="1" l="1"/>
  <c r="AR71" i="1"/>
  <c r="N71" i="1"/>
  <c r="AB71" i="1" s="1"/>
  <c r="AC71" i="1"/>
  <c r="Q71" i="1"/>
  <c r="AQ71" i="1"/>
  <c r="P71" i="1" l="1"/>
  <c r="AP71" i="1"/>
  <c r="AT71" i="1" s="1"/>
  <c r="AE71" i="1"/>
  <c r="AF71" i="1"/>
  <c r="AG71" i="1" l="1"/>
  <c r="AH71" i="1" s="1"/>
  <c r="AS71" i="1"/>
  <c r="AU71" i="1" l="1"/>
  <c r="AV71" i="1" s="1"/>
  <c r="F71" i="1" s="1"/>
  <c r="V72" i="1" a="1"/>
  <c r="V72" i="1" s="1"/>
  <c r="AI72" i="1"/>
  <c r="AJ72" i="1" s="1" a="1"/>
  <c r="AJ72" i="1" s="1"/>
  <c r="I71" i="1" l="1"/>
  <c r="K71" i="1"/>
  <c r="L71" i="1" s="1"/>
  <c r="J72" i="1"/>
  <c r="M71" i="1" l="1"/>
  <c r="H71" i="1" s="1"/>
  <c r="E72" i="1" s="1"/>
  <c r="D72" i="1" l="1"/>
  <c r="R72" i="1"/>
  <c r="C72" i="1"/>
  <c r="S72" i="1"/>
  <c r="U73" i="1" l="1"/>
  <c r="AD72" i="1"/>
  <c r="AR72" i="1"/>
  <c r="N72" i="1"/>
  <c r="O72" i="1"/>
  <c r="P72" i="1" l="1"/>
  <c r="AB72" i="1"/>
  <c r="AP72" i="1"/>
  <c r="AQ72" i="1"/>
  <c r="Q72" i="1"/>
  <c r="AC72" i="1"/>
  <c r="AS72" i="1" l="1"/>
  <c r="AT72" i="1"/>
  <c r="AF72" i="1"/>
  <c r="AE72" i="1"/>
  <c r="AG72" i="1" l="1"/>
  <c r="AH72" i="1" s="1"/>
  <c r="AU72" i="1"/>
  <c r="AV72" i="1" s="1"/>
  <c r="F72" i="1" l="1"/>
  <c r="I72" i="1" l="1"/>
  <c r="K72" i="1"/>
  <c r="L72" i="1" s="1"/>
  <c r="J73" i="1"/>
  <c r="V73" i="1" a="1"/>
  <c r="V73" i="1" s="1"/>
  <c r="AI73" i="1"/>
  <c r="AJ73" i="1" s="1" a="1"/>
  <c r="AJ73" i="1" s="1"/>
  <c r="M72" i="1" l="1"/>
  <c r="H72" i="1" s="1"/>
  <c r="E73" i="1" s="1"/>
  <c r="S73" i="1" s="1"/>
  <c r="D73" i="1" l="1"/>
  <c r="C73" i="1"/>
  <c r="N73" i="1" s="1"/>
  <c r="P73" i="1" s="1"/>
  <c r="R73" i="1"/>
  <c r="AR73" i="1" s="1"/>
  <c r="O73" i="1" l="1"/>
  <c r="AC73" i="1" s="1"/>
  <c r="U74" i="1"/>
  <c r="AB73" i="1"/>
  <c r="AP73" i="1"/>
  <c r="AD73" i="1"/>
  <c r="AF73" i="1" l="1"/>
  <c r="AE73" i="1"/>
  <c r="Q73" i="1"/>
  <c r="AQ73" i="1"/>
  <c r="AS73" i="1" s="1"/>
  <c r="AI74" i="1"/>
  <c r="AJ74" i="1" s="1" a="1"/>
  <c r="AJ74" i="1" s="1"/>
  <c r="AG73" i="1" l="1"/>
  <c r="AH73" i="1" s="1"/>
  <c r="AT73" i="1"/>
  <c r="V74" i="1" a="1"/>
  <c r="V74" i="1" s="1"/>
  <c r="AU73" i="1" l="1"/>
  <c r="AV73" i="1" s="1"/>
  <c r="F73" i="1" s="1"/>
  <c r="J74" i="1" s="1"/>
  <c r="K73" i="1" l="1"/>
  <c r="L73" i="1" s="1"/>
  <c r="I73" i="1"/>
  <c r="M73" i="1" l="1"/>
  <c r="H73" i="1" s="1"/>
  <c r="E74" i="1" s="1"/>
  <c r="R74" i="1" s="1"/>
  <c r="C74" i="1" l="1"/>
  <c r="D74" i="1"/>
  <c r="O74" i="1" s="1"/>
  <c r="AC74" i="1" s="1"/>
  <c r="S74" i="1"/>
  <c r="AR74" i="1" s="1"/>
  <c r="AQ74" i="1" l="1"/>
  <c r="U75" i="1"/>
  <c r="N74" i="1"/>
  <c r="P74" i="1" s="1"/>
  <c r="AD74" i="1"/>
  <c r="Q74" i="1"/>
  <c r="AP74" i="1" l="1"/>
  <c r="AS74" i="1" s="1"/>
  <c r="AB74" i="1"/>
  <c r="AF74" i="1" s="1"/>
  <c r="AI75" i="1"/>
  <c r="AJ75" i="1" s="1" a="1"/>
  <c r="AJ75" i="1" s="1"/>
  <c r="V75" i="1" a="1"/>
  <c r="V75" i="1" s="1"/>
  <c r="AE74" i="1" l="1"/>
  <c r="AT74" i="1"/>
  <c r="AG74" i="1" l="1"/>
  <c r="AH74" i="1" s="1"/>
  <c r="AU74" i="1"/>
  <c r="AV74" i="1" s="1"/>
  <c r="F74" i="1" l="1"/>
  <c r="J75" i="1" s="1"/>
  <c r="I74" i="1" l="1"/>
  <c r="K74" i="1"/>
  <c r="L74" i="1" s="1"/>
  <c r="M74" i="1" l="1"/>
  <c r="H74" i="1" s="1"/>
  <c r="E75" i="1" s="1"/>
  <c r="R75" i="1" s="1"/>
  <c r="S75" i="1" l="1"/>
  <c r="AR75" i="1" s="1"/>
  <c r="D75" i="1"/>
  <c r="O75" i="1" s="1"/>
  <c r="AQ75" i="1" s="1"/>
  <c r="C75" i="1"/>
  <c r="AD75" i="1" l="1"/>
  <c r="U76" i="1"/>
  <c r="Q75" i="1"/>
  <c r="AC75" i="1"/>
  <c r="N75" i="1"/>
  <c r="AB75" i="1" s="1"/>
  <c r="AP75" i="1" l="1"/>
  <c r="AT75" i="1" s="1"/>
  <c r="P75" i="1"/>
  <c r="AF75" i="1"/>
  <c r="AE75" i="1"/>
  <c r="AI76" i="1"/>
  <c r="AJ76" i="1" s="1" a="1"/>
  <c r="AJ76" i="1" s="1"/>
  <c r="V76" i="1" a="1"/>
  <c r="V76" i="1" s="1"/>
  <c r="AS75" i="1" l="1"/>
  <c r="AU75" i="1" s="1"/>
  <c r="AV75" i="1" s="1"/>
  <c r="AG75" i="1"/>
  <c r="AH75" i="1" s="1"/>
  <c r="F75" i="1" l="1"/>
  <c r="K75" i="1" s="1"/>
  <c r="L75" i="1" s="1"/>
  <c r="I75" i="1" l="1"/>
  <c r="M75" i="1" s="1"/>
  <c r="H75" i="1" s="1"/>
  <c r="E76" i="1" s="1"/>
  <c r="C76" i="1" s="1"/>
  <c r="J76" i="1"/>
  <c r="S76" i="1" l="1"/>
  <c r="N76" i="1" s="1"/>
  <c r="AB76" i="1" s="1"/>
  <c r="D76" i="1"/>
  <c r="U77" i="1" s="1"/>
  <c r="R76" i="1"/>
  <c r="AD76" i="1" l="1"/>
  <c r="AR76" i="1"/>
  <c r="O76" i="1"/>
  <c r="Q76" i="1" s="1"/>
  <c r="AP76" i="1"/>
  <c r="P76" i="1"/>
  <c r="AI77" i="1"/>
  <c r="AJ77" i="1" s="1" a="1"/>
  <c r="AJ77" i="1" s="1"/>
  <c r="AQ76" i="1" l="1"/>
  <c r="AS76" i="1" s="1"/>
  <c r="AC76" i="1"/>
  <c r="AE76" i="1" s="1"/>
  <c r="V77" i="1" a="1"/>
  <c r="V77" i="1" s="1"/>
  <c r="AF76" i="1" l="1"/>
  <c r="AT76" i="1"/>
  <c r="AG76" i="1" l="1"/>
  <c r="AH76" i="1" s="1"/>
  <c r="AU76" i="1"/>
  <c r="AV76" i="1" s="1"/>
  <c r="F76" i="1" l="1"/>
  <c r="I76" i="1" s="1"/>
  <c r="J77" i="1" l="1"/>
  <c r="K76" i="1"/>
  <c r="L76" i="1" s="1"/>
  <c r="M76" i="1" s="1"/>
  <c r="H76" i="1" s="1"/>
  <c r="E77" i="1" s="1"/>
  <c r="S77" i="1" s="1"/>
  <c r="R77" i="1" l="1"/>
  <c r="AR77" i="1" s="1"/>
  <c r="C77" i="1"/>
  <c r="N77" i="1" s="1"/>
  <c r="AP77" i="1" s="1"/>
  <c r="D77" i="1"/>
  <c r="AD77" i="1" l="1"/>
  <c r="O77" i="1"/>
  <c r="AQ77" i="1" s="1"/>
  <c r="AT77" i="1" s="1"/>
  <c r="P77" i="1"/>
  <c r="AB77" i="1"/>
  <c r="U78" i="1"/>
  <c r="V78" i="1" s="1" a="1"/>
  <c r="V78" i="1" s="1"/>
  <c r="AC77" i="1" l="1"/>
  <c r="AF77" i="1" s="1"/>
  <c r="Q77" i="1"/>
  <c r="AS77" i="1"/>
  <c r="AI78" i="1"/>
  <c r="AJ78" i="1" s="1" a="1"/>
  <c r="AJ78" i="1" s="1"/>
  <c r="AU77" i="1"/>
  <c r="AV77" i="1" s="1"/>
  <c r="AE77" i="1" l="1"/>
  <c r="AG77" i="1" s="1"/>
  <c r="AH77" i="1" s="1"/>
  <c r="F77" i="1" s="1"/>
  <c r="I77" i="1" l="1"/>
  <c r="J78" i="1"/>
  <c r="K77" i="1"/>
  <c r="L77" i="1" s="1"/>
  <c r="M77" i="1" l="1"/>
  <c r="H77" i="1" s="1"/>
  <c r="E78" i="1" s="1"/>
  <c r="S78" i="1" s="1"/>
  <c r="R78" i="1" l="1"/>
  <c r="AD78" i="1" s="1"/>
  <c r="D78" i="1"/>
  <c r="C78" i="1"/>
  <c r="N78" i="1" s="1"/>
  <c r="AB78" i="1" s="1"/>
  <c r="AR78" i="1" l="1"/>
  <c r="O78" i="1"/>
  <c r="AQ78" i="1" s="1"/>
  <c r="AP78" i="1"/>
  <c r="U79" i="1"/>
  <c r="P78" i="1"/>
  <c r="AC78" i="1" l="1"/>
  <c r="AE78" i="1" s="1"/>
  <c r="Q78" i="1"/>
  <c r="AS78" i="1"/>
  <c r="AT78" i="1"/>
  <c r="AI79" i="1"/>
  <c r="AJ79" i="1" s="1" a="1"/>
  <c r="AJ79" i="1" s="1"/>
  <c r="V79" i="1" a="1"/>
  <c r="V79" i="1" s="1"/>
  <c r="AF78" i="1" l="1"/>
  <c r="AG78" i="1" s="1"/>
  <c r="AH78" i="1" s="1"/>
  <c r="AU78" i="1"/>
  <c r="AV78" i="1" s="1"/>
  <c r="F78" i="1" l="1"/>
  <c r="K78" i="1" s="1"/>
  <c r="L78" i="1" s="1"/>
  <c r="J79" i="1" l="1"/>
  <c r="I78" i="1"/>
  <c r="M78" i="1" s="1"/>
  <c r="H78" i="1" s="1"/>
  <c r="E79" i="1" s="1"/>
  <c r="C79" i="1" s="1"/>
  <c r="R79" i="1" l="1"/>
  <c r="S79" i="1"/>
  <c r="N79" i="1" s="1"/>
  <c r="P79" i="1" s="1"/>
  <c r="D79" i="1"/>
  <c r="U80" i="1" s="1"/>
  <c r="AI80" i="1" s="1"/>
  <c r="AJ80" i="1" s="1" a="1"/>
  <c r="AJ80" i="1" s="1"/>
  <c r="AB79" i="1" l="1"/>
  <c r="AP79" i="1"/>
  <c r="AD79" i="1"/>
  <c r="AR79" i="1"/>
  <c r="O79" i="1"/>
  <c r="AQ79" i="1" s="1"/>
  <c r="AT79" i="1" s="1"/>
  <c r="V80" i="1" a="1"/>
  <c r="V80" i="1" s="1"/>
  <c r="AS79" i="1"/>
  <c r="Q79" i="1"/>
  <c r="AC79" i="1" l="1"/>
  <c r="AU79" i="1"/>
  <c r="AV79" i="1" s="1"/>
  <c r="AF79" i="1" l="1"/>
  <c r="AE79" i="1"/>
  <c r="AG79" i="1" l="1"/>
  <c r="AH79" i="1" s="1"/>
  <c r="F79" i="1" s="1"/>
  <c r="J80" i="1" s="1"/>
  <c r="I79" i="1" l="1"/>
  <c r="K79" i="1"/>
  <c r="L79" i="1" s="1"/>
  <c r="M79" i="1" l="1"/>
  <c r="H79" i="1" s="1"/>
  <c r="E80" i="1" s="1"/>
  <c r="D80" i="1" s="1"/>
  <c r="R80" i="1" l="1"/>
  <c r="O80" i="1" s="1"/>
  <c r="AQ80" i="1" s="1"/>
  <c r="S80" i="1"/>
  <c r="C80" i="1"/>
  <c r="U81" i="1" s="1"/>
  <c r="AI81" i="1" s="1"/>
  <c r="AJ81" i="1" s="1" a="1"/>
  <c r="AJ81" i="1" s="1"/>
  <c r="Q80" i="1" l="1"/>
  <c r="AC80" i="1"/>
  <c r="AD80" i="1"/>
  <c r="AR80" i="1"/>
  <c r="N80" i="1"/>
  <c r="AB80" i="1" s="1"/>
  <c r="AF80" i="1" s="1"/>
  <c r="V81" i="1" a="1"/>
  <c r="V81" i="1" s="1"/>
  <c r="P80" i="1"/>
  <c r="AP80" i="1"/>
  <c r="AT80" i="1" s="1"/>
  <c r="AE80" i="1" l="1"/>
  <c r="AG80" i="1" s="1"/>
  <c r="AH80" i="1" s="1"/>
  <c r="AS80" i="1"/>
  <c r="AU80" i="1" s="1"/>
  <c r="AV80" i="1" s="1"/>
  <c r="F80" i="1" l="1"/>
  <c r="J81" i="1" s="1"/>
  <c r="I80" i="1" l="1"/>
  <c r="K80" i="1"/>
  <c r="L80" i="1" s="1"/>
  <c r="M80" i="1" l="1"/>
  <c r="H80" i="1" s="1"/>
  <c r="E81" i="1" s="1"/>
  <c r="S81" i="1" s="1"/>
  <c r="R81" i="1" l="1"/>
  <c r="AD81" i="1" s="1"/>
  <c r="D81" i="1"/>
  <c r="C81" i="1"/>
  <c r="U82" i="1" l="1"/>
  <c r="V82" i="1" s="1" a="1"/>
  <c r="V82" i="1" s="1"/>
  <c r="AR81" i="1"/>
  <c r="N81" i="1"/>
  <c r="AP81" i="1" s="1"/>
  <c r="O81" i="1"/>
  <c r="AQ81" i="1" s="1"/>
  <c r="AI82" i="1" l="1"/>
  <c r="AJ82" i="1" s="1" a="1"/>
  <c r="AJ82" i="1" s="1"/>
  <c r="P81" i="1"/>
  <c r="AB81" i="1"/>
  <c r="Q81" i="1"/>
  <c r="AC81" i="1"/>
  <c r="AS81" i="1"/>
  <c r="AT81" i="1"/>
  <c r="AF81" i="1"/>
  <c r="AU81" i="1" l="1"/>
  <c r="AV81" i="1" s="1"/>
  <c r="AE81" i="1"/>
  <c r="AG81" i="1" s="1"/>
  <c r="AH81" i="1" s="1"/>
  <c r="F81" i="1" s="1"/>
  <c r="K81" i="1" s="1"/>
  <c r="L81" i="1" s="1"/>
  <c r="I81" i="1" l="1"/>
  <c r="M81" i="1" s="1"/>
  <c r="H81" i="1" s="1"/>
  <c r="E82" i="1" s="1"/>
  <c r="S82" i="1" s="1"/>
  <c r="J82" i="1"/>
  <c r="C82" i="1" l="1"/>
  <c r="D82" i="1"/>
  <c r="R82" i="1"/>
  <c r="AR82" i="1" s="1"/>
  <c r="O82" i="1" l="1"/>
  <c r="AQ82" i="1" s="1"/>
  <c r="U83" i="1"/>
  <c r="AI83" i="1" s="1"/>
  <c r="AJ83" i="1" s="1" a="1"/>
  <c r="AJ83" i="1" s="1"/>
  <c r="AD82" i="1"/>
  <c r="N82" i="1"/>
  <c r="AP82" i="1" s="1"/>
  <c r="AB82" i="1" l="1"/>
  <c r="AC82" i="1"/>
  <c r="Q82" i="1"/>
  <c r="AT82" i="1"/>
  <c r="P82" i="1"/>
  <c r="AS82" i="1"/>
  <c r="V83" i="1" a="1"/>
  <c r="V83" i="1" s="1"/>
  <c r="AU82" i="1" l="1"/>
  <c r="AV82" i="1" s="1"/>
  <c r="AE82" i="1"/>
  <c r="AF82" i="1"/>
  <c r="AG82" i="1" l="1"/>
  <c r="AH82" i="1" s="1"/>
  <c r="F82" i="1" s="1"/>
  <c r="J83" i="1" s="1"/>
  <c r="K82" i="1" l="1"/>
  <c r="L82" i="1" s="1"/>
  <c r="I82" i="1"/>
  <c r="M82" i="1" l="1"/>
  <c r="H82" i="1" s="1"/>
  <c r="E83" i="1" s="1"/>
  <c r="R83" i="1" s="1"/>
  <c r="D83" i="1" l="1"/>
  <c r="O83" i="1" s="1"/>
  <c r="Q83" i="1" s="1"/>
  <c r="C83" i="1"/>
  <c r="S83" i="1"/>
  <c r="AR83" i="1" s="1"/>
  <c r="U84" i="1" l="1"/>
  <c r="V84" i="1" s="1" a="1"/>
  <c r="V84" i="1" s="1"/>
  <c r="AC83" i="1"/>
  <c r="AQ83" i="1"/>
  <c r="N83" i="1"/>
  <c r="AP83" i="1" s="1"/>
  <c r="AD83" i="1"/>
  <c r="AT83" i="1" l="1"/>
  <c r="AI84" i="1"/>
  <c r="AJ84" i="1" s="1" a="1"/>
  <c r="AJ84" i="1" s="1"/>
  <c r="AB83" i="1"/>
  <c r="AE83" i="1" s="1"/>
  <c r="P83" i="1"/>
  <c r="AS83" i="1"/>
  <c r="AU83" i="1" l="1"/>
  <c r="AV83" i="1" s="1"/>
  <c r="AF83" i="1"/>
  <c r="AG83" i="1" l="1"/>
  <c r="AH83" i="1" s="1"/>
  <c r="F83" i="1" s="1"/>
  <c r="I83" i="1" s="1"/>
  <c r="J84" i="1" l="1"/>
  <c r="K83" i="1"/>
  <c r="L83" i="1" s="1"/>
  <c r="M83" i="1" s="1"/>
  <c r="H83" i="1" s="1"/>
  <c r="E84" i="1" s="1"/>
  <c r="D84" i="1" s="1"/>
  <c r="R84" i="1" l="1"/>
  <c r="O84" i="1" s="1"/>
  <c r="Q84" i="1" s="1"/>
  <c r="S84" i="1"/>
  <c r="C84" i="1"/>
  <c r="U85" i="1" s="1"/>
  <c r="V85" i="1" s="1" a="1"/>
  <c r="V85" i="1" s="1"/>
  <c r="AD84" i="1" l="1"/>
  <c r="AR84" i="1"/>
  <c r="AQ84" i="1"/>
  <c r="AC84" i="1"/>
  <c r="N84" i="1"/>
  <c r="AB84" i="1" s="1"/>
  <c r="AI85" i="1"/>
  <c r="AJ85" i="1" s="1" a="1"/>
  <c r="AJ85" i="1" s="1"/>
  <c r="AF84" i="1" l="1"/>
  <c r="P84" i="1"/>
  <c r="AP84" i="1"/>
  <c r="AT84" i="1" s="1"/>
  <c r="AE84" i="1"/>
  <c r="AG84" i="1" l="1"/>
  <c r="AH84" i="1" s="1"/>
  <c r="AS84" i="1"/>
  <c r="AU84" i="1" l="1"/>
  <c r="AV84" i="1" s="1"/>
  <c r="F84" i="1" s="1"/>
  <c r="J85" i="1" s="1"/>
  <c r="I84" i="1" l="1"/>
  <c r="K84" i="1"/>
  <c r="L84" i="1" s="1"/>
  <c r="M84" i="1" l="1"/>
  <c r="H84" i="1" s="1"/>
  <c r="E85" i="1" s="1"/>
  <c r="R85" i="1" s="1"/>
  <c r="D85" i="1" l="1"/>
  <c r="O85" i="1" s="1"/>
  <c r="S85" i="1"/>
  <c r="AD85" i="1" s="1"/>
  <c r="C85" i="1"/>
  <c r="AQ85" i="1" l="1"/>
  <c r="Q85" i="1"/>
  <c r="AC85" i="1"/>
  <c r="AR85" i="1"/>
  <c r="N85" i="1"/>
  <c r="AB85" i="1" s="1"/>
  <c r="U86" i="1"/>
  <c r="V86" i="1" s="1" a="1"/>
  <c r="V86" i="1" s="1"/>
  <c r="AF85" i="1" l="1"/>
  <c r="P85" i="1"/>
  <c r="AP85" i="1"/>
  <c r="AT85" i="1" s="1"/>
  <c r="AE85" i="1"/>
  <c r="AI86" i="1"/>
  <c r="AJ86" i="1" s="1" a="1"/>
  <c r="AJ86" i="1" s="1"/>
  <c r="AG85" i="1" l="1"/>
  <c r="AH85" i="1" s="1"/>
  <c r="AS85" i="1"/>
  <c r="AU85" i="1" l="1"/>
  <c r="AV85" i="1" s="1"/>
  <c r="F85" i="1" s="1"/>
  <c r="K85" i="1" s="1"/>
  <c r="L85" i="1" s="1"/>
  <c r="I85" i="1" l="1"/>
  <c r="M85" i="1" s="1"/>
  <c r="H85" i="1" s="1"/>
  <c r="E86" i="1" s="1"/>
  <c r="R86" i="1" s="1"/>
  <c r="J86" i="1"/>
  <c r="D86" i="1" l="1"/>
  <c r="O86" i="1" s="1"/>
  <c r="AC86" i="1" s="1"/>
  <c r="S86" i="1"/>
  <c r="AD86" i="1" s="1"/>
  <c r="C86" i="1"/>
  <c r="AQ86" i="1" l="1"/>
  <c r="Q86" i="1"/>
  <c r="AR86" i="1"/>
  <c r="N86" i="1"/>
  <c r="AP86" i="1" s="1"/>
  <c r="U87" i="1"/>
  <c r="V87" i="1" s="1" a="1"/>
  <c r="V87" i="1" s="1"/>
  <c r="AS86" i="1" l="1"/>
  <c r="AB86" i="1"/>
  <c r="AF86" i="1" s="1"/>
  <c r="P86" i="1"/>
  <c r="AI87" i="1"/>
  <c r="AJ87" i="1" s="1" a="1"/>
  <c r="AJ87" i="1" s="1"/>
  <c r="AT86" i="1"/>
  <c r="AU86" i="1" l="1"/>
  <c r="AV86" i="1" s="1"/>
  <c r="AE86" i="1"/>
  <c r="AG86" i="1" l="1"/>
  <c r="AH86" i="1" s="1"/>
  <c r="F86" i="1" s="1"/>
  <c r="I86" i="1" s="1"/>
  <c r="J87" i="1" l="1"/>
  <c r="K86" i="1"/>
  <c r="L86" i="1" s="1"/>
  <c r="M86" i="1" s="1"/>
  <c r="H86" i="1" s="1"/>
  <c r="E87" i="1" s="1"/>
  <c r="S87" i="1" s="1"/>
  <c r="R87" i="1" l="1"/>
  <c r="AD87" i="1" s="1"/>
  <c r="C87" i="1"/>
  <c r="N87" i="1" s="1"/>
  <c r="AP87" i="1" s="1"/>
  <c r="D87" i="1"/>
  <c r="AR87" i="1" l="1"/>
  <c r="O87" i="1"/>
  <c r="AC87" i="1" s="1"/>
  <c r="P87" i="1"/>
  <c r="AB87" i="1"/>
  <c r="U88" i="1"/>
  <c r="AE87" i="1" l="1"/>
  <c r="AF87" i="1"/>
  <c r="Q87" i="1"/>
  <c r="AQ87" i="1"/>
  <c r="AS87" i="1" s="1"/>
  <c r="V88" i="1" a="1"/>
  <c r="V88" i="1" s="1"/>
  <c r="AI88" i="1"/>
  <c r="AJ88" i="1" s="1" a="1"/>
  <c r="AJ88" i="1" s="1"/>
  <c r="AG87" i="1" l="1"/>
  <c r="AH87" i="1" s="1"/>
  <c r="AT87" i="1"/>
  <c r="AU87" i="1" l="1"/>
  <c r="AV87" i="1" s="1"/>
  <c r="F87" i="1" s="1"/>
  <c r="K87" i="1" s="1"/>
  <c r="L87" i="1" s="1"/>
  <c r="J88" i="1" l="1"/>
  <c r="I87" i="1"/>
  <c r="M87" i="1" s="1"/>
  <c r="H87" i="1" s="1"/>
  <c r="E88" i="1" s="1"/>
  <c r="R88" i="1" s="1"/>
  <c r="S88" i="1" l="1"/>
  <c r="AR88" i="1" s="1"/>
  <c r="C88" i="1"/>
  <c r="D88" i="1"/>
  <c r="O88" i="1" s="1"/>
  <c r="AD88" i="1" l="1"/>
  <c r="N88" i="1"/>
  <c r="AP88" i="1" s="1"/>
  <c r="U89" i="1"/>
  <c r="AC88" i="1"/>
  <c r="Q88" i="1"/>
  <c r="AQ88" i="1"/>
  <c r="P88" i="1" l="1"/>
  <c r="AB88" i="1"/>
  <c r="AE88" i="1" s="1"/>
  <c r="AT88" i="1"/>
  <c r="AS88" i="1"/>
  <c r="V89" i="1" a="1"/>
  <c r="V89" i="1" s="1"/>
  <c r="AI89" i="1"/>
  <c r="AJ89" i="1" s="1" a="1"/>
  <c r="AJ89" i="1" s="1"/>
  <c r="AU88" i="1" l="1"/>
  <c r="AV88" i="1" s="1"/>
  <c r="AF88" i="1"/>
  <c r="AG88" i="1" l="1"/>
  <c r="AH88" i="1" s="1"/>
  <c r="F88" i="1" s="1"/>
  <c r="K88" i="1" l="1"/>
  <c r="L88" i="1" s="1"/>
  <c r="J89" i="1"/>
  <c r="I88" i="1"/>
  <c r="M88" i="1" l="1"/>
  <c r="H88" i="1" s="1"/>
  <c r="E89" i="1" s="1"/>
  <c r="S89" i="1" s="1"/>
  <c r="C89" i="1" l="1"/>
  <c r="N89" i="1" s="1"/>
  <c r="AP89" i="1" s="1"/>
  <c r="R89" i="1"/>
  <c r="AR89" i="1" s="1"/>
  <c r="D89" i="1"/>
  <c r="O89" i="1" l="1"/>
  <c r="Q89" i="1" s="1"/>
  <c r="U90" i="1"/>
  <c r="V90" i="1" s="1" a="1"/>
  <c r="V90" i="1" s="1"/>
  <c r="AD89" i="1"/>
  <c r="AB89" i="1"/>
  <c r="P89" i="1"/>
  <c r="AQ89" i="1" l="1"/>
  <c r="AT89" i="1" s="1"/>
  <c r="AC89" i="1"/>
  <c r="AE89" i="1" s="1"/>
  <c r="AI90" i="1"/>
  <c r="AJ90" i="1" s="1" a="1"/>
  <c r="AJ90" i="1" s="1"/>
  <c r="AS89" i="1" l="1"/>
  <c r="AF89" i="1"/>
  <c r="AG89" i="1" l="1"/>
  <c r="AH89" i="1" s="1"/>
  <c r="AU89" i="1"/>
  <c r="AV89" i="1" s="1"/>
  <c r="F89" i="1" l="1"/>
  <c r="I89" i="1" s="1"/>
  <c r="J90" i="1" l="1"/>
  <c r="K89" i="1"/>
  <c r="L89" i="1" s="1"/>
  <c r="M89" i="1" s="1"/>
  <c r="H89" i="1" s="1"/>
  <c r="E90" i="1" s="1"/>
  <c r="R90" i="1" s="1"/>
  <c r="D90" i="1" l="1"/>
  <c r="O90" i="1" s="1"/>
  <c r="AC90" i="1" s="1"/>
  <c r="C90" i="1"/>
  <c r="S90" i="1"/>
  <c r="AR90" i="1" s="1"/>
  <c r="AQ90" i="1" l="1"/>
  <c r="Q90" i="1"/>
  <c r="U91" i="1"/>
  <c r="AI91" i="1" s="1"/>
  <c r="AJ91" i="1" s="1" a="1"/>
  <c r="AJ91" i="1" s="1"/>
  <c r="N90" i="1"/>
  <c r="AB90" i="1" s="1"/>
  <c r="AD90" i="1"/>
  <c r="P90" i="1" l="1"/>
  <c r="V91" i="1" a="1"/>
  <c r="V91" i="1" s="1"/>
  <c r="AP90" i="1"/>
  <c r="AT90" i="1" s="1"/>
  <c r="AF90" i="1"/>
  <c r="AE90" i="1"/>
  <c r="AS90" i="1" l="1"/>
  <c r="AU90" i="1" s="1"/>
  <c r="AV90" i="1" s="1"/>
  <c r="AG90" i="1"/>
  <c r="AH90" i="1" s="1"/>
  <c r="F90" i="1" l="1"/>
  <c r="J91" i="1" s="1"/>
  <c r="I90" i="1" l="1"/>
  <c r="K90" i="1"/>
  <c r="L90" i="1" s="1"/>
  <c r="M90" i="1" l="1"/>
  <c r="H90" i="1" s="1"/>
  <c r="E91" i="1" s="1"/>
  <c r="S91" i="1" s="1"/>
  <c r="D91" i="1" l="1"/>
  <c r="C91" i="1"/>
  <c r="N91" i="1" s="1"/>
  <c r="AB91" i="1" s="1"/>
  <c r="R91" i="1"/>
  <c r="AR91" i="1" s="1"/>
  <c r="U92" i="1" l="1"/>
  <c r="V92" i="1" s="1" a="1"/>
  <c r="V92" i="1" s="1"/>
  <c r="P91" i="1"/>
  <c r="AP91" i="1"/>
  <c r="AD91" i="1"/>
  <c r="O91" i="1"/>
  <c r="Q91" i="1" s="1"/>
  <c r="AI92" i="1" l="1"/>
  <c r="AJ92" i="1" s="1" a="1"/>
  <c r="AJ92" i="1" s="1"/>
  <c r="AC91" i="1"/>
  <c r="AE91" i="1" s="1"/>
  <c r="AQ91" i="1"/>
  <c r="AS91" i="1" s="1"/>
  <c r="AT91" i="1" l="1"/>
  <c r="AU91" i="1" s="1"/>
  <c r="AV91" i="1" s="1"/>
  <c r="AF91" i="1"/>
  <c r="AG91" i="1" s="1"/>
  <c r="AH91" i="1" s="1"/>
  <c r="F91" i="1" l="1"/>
  <c r="K91" i="1" s="1"/>
  <c r="L91" i="1" s="1"/>
  <c r="I91" i="1" l="1"/>
  <c r="M91" i="1" s="1"/>
  <c r="H91" i="1" s="1"/>
  <c r="E92" i="1" s="1"/>
  <c r="R92" i="1" s="1"/>
  <c r="J92" i="1"/>
  <c r="S92" i="1" l="1"/>
  <c r="AR92" i="1" s="1"/>
  <c r="D92" i="1"/>
  <c r="O92" i="1" s="1"/>
  <c r="Q92" i="1" s="1"/>
  <c r="C92" i="1"/>
  <c r="AD92" i="1" l="1"/>
  <c r="U93" i="1"/>
  <c r="AI93" i="1" s="1"/>
  <c r="AJ93" i="1" s="1" a="1"/>
  <c r="AJ93" i="1" s="1"/>
  <c r="N92" i="1"/>
  <c r="AP92" i="1" s="1"/>
  <c r="AQ92" i="1"/>
  <c r="AC92" i="1"/>
  <c r="V93" i="1" l="1" a="1"/>
  <c r="V93" i="1" s="1"/>
  <c r="AB92" i="1"/>
  <c r="AF92" i="1" s="1"/>
  <c r="P92" i="1"/>
  <c r="AS92" i="1"/>
  <c r="AT92" i="1"/>
  <c r="AU92" i="1" l="1"/>
  <c r="AV92" i="1" s="1"/>
  <c r="AE92" i="1"/>
  <c r="AG92" i="1" s="1"/>
  <c r="AH92" i="1" s="1"/>
  <c r="F92" i="1" l="1"/>
  <c r="I92" i="1" s="1"/>
  <c r="J93" i="1" l="1"/>
  <c r="K92" i="1"/>
  <c r="L92" i="1" s="1"/>
  <c r="M92" i="1" s="1"/>
  <c r="H92" i="1" s="1"/>
  <c r="E93" i="1" s="1"/>
  <c r="R93" i="1" s="1"/>
  <c r="S93" i="1" l="1"/>
  <c r="AR93" i="1" s="1"/>
  <c r="D93" i="1"/>
  <c r="O93" i="1" s="1"/>
  <c r="Q93" i="1" s="1"/>
  <c r="C93" i="1"/>
  <c r="N93" i="1" l="1"/>
  <c r="AP93" i="1" s="1"/>
  <c r="AD93" i="1"/>
  <c r="U94" i="1"/>
  <c r="V94" i="1" s="1" a="1"/>
  <c r="V94" i="1" s="1"/>
  <c r="AQ93" i="1"/>
  <c r="AC93" i="1"/>
  <c r="AS93" i="1" l="1"/>
  <c r="AB93" i="1"/>
  <c r="AE93" i="1" s="1"/>
  <c r="AT93" i="1"/>
  <c r="P93" i="1"/>
  <c r="AI94" i="1"/>
  <c r="AJ94" i="1" s="1" a="1"/>
  <c r="AJ94" i="1" s="1"/>
  <c r="AF93" i="1" l="1"/>
  <c r="AU93" i="1"/>
  <c r="AV93" i="1" s="1"/>
  <c r="AG93" i="1"/>
  <c r="AH93" i="1" s="1"/>
  <c r="F93" i="1" l="1"/>
  <c r="J94" i="1" s="1"/>
  <c r="I93" i="1" l="1"/>
  <c r="K93" i="1"/>
  <c r="L93" i="1" s="1"/>
  <c r="M93" i="1" l="1"/>
  <c r="H93" i="1" s="1"/>
  <c r="E94" i="1" s="1"/>
  <c r="R94" i="1" s="1"/>
  <c r="C94" i="1" l="1"/>
  <c r="S94" i="1"/>
  <c r="AR94" i="1" s="1"/>
  <c r="D94" i="1"/>
  <c r="O94" i="1" s="1"/>
  <c r="AC94" i="1" s="1"/>
  <c r="AD94" i="1" l="1"/>
  <c r="U95" i="1"/>
  <c r="V95" i="1" s="1" a="1"/>
  <c r="V95" i="1" s="1"/>
  <c r="N94" i="1"/>
  <c r="AP94" i="1" s="1"/>
  <c r="Q94" i="1"/>
  <c r="AQ94" i="1"/>
  <c r="AT94" i="1" l="1"/>
  <c r="AI95" i="1"/>
  <c r="AJ95" i="1" s="1" a="1"/>
  <c r="AJ95" i="1" s="1"/>
  <c r="P94" i="1"/>
  <c r="AS94" i="1"/>
  <c r="AU94" i="1" s="1"/>
  <c r="AV94" i="1" s="1"/>
  <c r="AB94" i="1"/>
  <c r="AE94" i="1" s="1"/>
  <c r="AF94" i="1" l="1"/>
  <c r="AG94" i="1" s="1"/>
  <c r="AH94" i="1" s="1"/>
  <c r="F94" i="1" s="1"/>
  <c r="I94" i="1" s="1"/>
  <c r="K94" i="1" l="1"/>
  <c r="L94" i="1" s="1"/>
  <c r="M94" i="1" s="1"/>
  <c r="H94" i="1" s="1"/>
  <c r="E95" i="1" s="1"/>
  <c r="R95" i="1" s="1"/>
  <c r="J95" i="1"/>
  <c r="C95" i="1" l="1"/>
  <c r="S95" i="1"/>
  <c r="AD95" i="1" s="1"/>
  <c r="D95" i="1"/>
  <c r="O95" i="1" s="1"/>
  <c r="Q95" i="1" s="1"/>
  <c r="AR95" i="1" l="1"/>
  <c r="U96" i="1"/>
  <c r="AI96" i="1" s="1"/>
  <c r="AJ96" i="1" s="1" a="1"/>
  <c r="AJ96" i="1" s="1"/>
  <c r="N95" i="1"/>
  <c r="AP95" i="1" s="1"/>
  <c r="AC95" i="1"/>
  <c r="AQ95" i="1"/>
  <c r="V96" i="1" l="1" a="1"/>
  <c r="V96" i="1" s="1"/>
  <c r="AT95" i="1"/>
  <c r="AS95" i="1"/>
  <c r="P95" i="1"/>
  <c r="AB95" i="1"/>
  <c r="AE95" i="1" s="1"/>
  <c r="AU95" i="1" l="1"/>
  <c r="AV95" i="1" s="1"/>
  <c r="AF95" i="1"/>
  <c r="AG95" i="1" l="1"/>
  <c r="AH95" i="1" s="1"/>
  <c r="F95" i="1" s="1"/>
  <c r="I95" i="1" s="1"/>
  <c r="J96" i="1" l="1"/>
  <c r="K95" i="1"/>
  <c r="L95" i="1" s="1"/>
  <c r="M95" i="1" s="1"/>
  <c r="H95" i="1" s="1"/>
  <c r="E96" i="1" s="1"/>
  <c r="R96" i="1" s="1"/>
  <c r="C96" i="1" l="1"/>
  <c r="S96" i="1"/>
  <c r="AR96" i="1" s="1"/>
  <c r="D96" i="1"/>
  <c r="O96" i="1" s="1"/>
  <c r="Q96" i="1" s="1"/>
  <c r="N96" i="1" l="1"/>
  <c r="AP96" i="1" s="1"/>
  <c r="AD96" i="1"/>
  <c r="U97" i="1"/>
  <c r="V97" i="1" s="1" a="1"/>
  <c r="V97" i="1" s="1"/>
  <c r="AC96" i="1"/>
  <c r="AQ96" i="1"/>
  <c r="AB96" i="1" l="1"/>
  <c r="AE96" i="1" s="1"/>
  <c r="AS96" i="1"/>
  <c r="P96" i="1"/>
  <c r="AI97" i="1"/>
  <c r="AJ97" i="1" s="1" a="1"/>
  <c r="AJ97" i="1" s="1"/>
  <c r="AT96" i="1"/>
  <c r="AU96" i="1" l="1"/>
  <c r="AV96" i="1" s="1"/>
  <c r="AF96" i="1"/>
  <c r="AG96" i="1" l="1"/>
  <c r="AH96" i="1" s="1"/>
  <c r="F96" i="1" s="1"/>
  <c r="I96" i="1" s="1"/>
  <c r="J97" i="1" l="1"/>
  <c r="K96" i="1"/>
  <c r="L96" i="1" s="1"/>
  <c r="M96" i="1" s="1"/>
  <c r="H96" i="1" s="1"/>
  <c r="E97" i="1" s="1"/>
  <c r="S97" i="1" s="1"/>
  <c r="R97" i="1" l="1"/>
  <c r="AD97" i="1" s="1"/>
  <c r="C97" i="1"/>
  <c r="N97" i="1" s="1"/>
  <c r="AP97" i="1" s="1"/>
  <c r="D97" i="1"/>
  <c r="AR97" i="1" l="1"/>
  <c r="O97" i="1"/>
  <c r="Q97" i="1" s="1"/>
  <c r="P97" i="1"/>
  <c r="U98" i="1"/>
  <c r="V98" i="1" s="1" a="1"/>
  <c r="V98" i="1" s="1"/>
  <c r="AB97" i="1"/>
  <c r="AQ97" i="1" l="1"/>
  <c r="AT97" i="1" s="1"/>
  <c r="AC97" i="1"/>
  <c r="AF97" i="1" s="1"/>
  <c r="AI98" i="1"/>
  <c r="AJ98" i="1" s="1" a="1"/>
  <c r="AJ98" i="1" s="1"/>
  <c r="AE97" i="1" l="1"/>
  <c r="AS97" i="1"/>
  <c r="AG97" i="1" l="1"/>
  <c r="AH97" i="1" s="1"/>
  <c r="AU97" i="1"/>
  <c r="AV97" i="1" s="1"/>
  <c r="F97" i="1" l="1"/>
  <c r="J98" i="1" s="1"/>
  <c r="I97" i="1" l="1"/>
  <c r="K97" i="1"/>
  <c r="L97" i="1" s="1"/>
  <c r="M97" i="1" l="1"/>
  <c r="H97" i="1" s="1"/>
  <c r="E98" i="1" s="1"/>
  <c r="S98" i="1" s="1"/>
  <c r="R98" i="1" l="1"/>
  <c r="AR98" i="1" s="1"/>
  <c r="C98" i="1"/>
  <c r="N98" i="1" s="1"/>
  <c r="P98" i="1" s="1"/>
  <c r="D98" i="1"/>
  <c r="AP98" i="1" l="1"/>
  <c r="AB98" i="1"/>
  <c r="AD98" i="1"/>
  <c r="O98" i="1"/>
  <c r="AQ98" i="1" s="1"/>
  <c r="U99" i="1"/>
  <c r="V99" i="1" s="1" a="1"/>
  <c r="V99" i="1" s="1"/>
  <c r="Q98" i="1" l="1"/>
  <c r="AC98" i="1"/>
  <c r="AS98" i="1"/>
  <c r="AT98" i="1"/>
  <c r="AF98" i="1"/>
  <c r="AI99" i="1"/>
  <c r="AJ99" i="1" s="1" a="1"/>
  <c r="AJ99" i="1" s="1"/>
  <c r="AE98" i="1"/>
  <c r="AU98" i="1" l="1"/>
  <c r="AV98" i="1" s="1"/>
  <c r="AG98" i="1"/>
  <c r="AH98" i="1" s="1"/>
  <c r="F98" i="1" l="1"/>
  <c r="I98" i="1" s="1"/>
  <c r="J99" i="1" l="1"/>
  <c r="K98" i="1"/>
  <c r="L98" i="1" s="1"/>
  <c r="M98" i="1" s="1"/>
  <c r="H98" i="1" s="1"/>
  <c r="E99" i="1" s="1"/>
  <c r="R99" i="1" s="1"/>
  <c r="D99" i="1" l="1"/>
  <c r="O99" i="1" s="1"/>
  <c r="AC99" i="1" s="1"/>
  <c r="C99" i="1"/>
  <c r="S99" i="1"/>
  <c r="AR99" i="1" s="1"/>
  <c r="Q99" i="1" l="1"/>
  <c r="AQ99" i="1"/>
  <c r="U100" i="1"/>
  <c r="AD99" i="1"/>
  <c r="N99" i="1"/>
  <c r="AB99" i="1" s="1"/>
  <c r="AF99" i="1" s="1"/>
  <c r="V100" i="1" a="1"/>
  <c r="V100" i="1" s="1"/>
  <c r="AI100" i="1"/>
  <c r="AJ100" i="1" s="1" a="1"/>
  <c r="AJ100" i="1" s="1"/>
  <c r="AP99" i="1" l="1"/>
  <c r="AS99" i="1" s="1"/>
  <c r="P99" i="1"/>
  <c r="AE99" i="1"/>
  <c r="AG99" i="1" s="1"/>
  <c r="AH99" i="1" s="1"/>
  <c r="AT99" i="1"/>
  <c r="AU99" i="1" l="1"/>
  <c r="AV99" i="1" s="1"/>
  <c r="F99" i="1" s="1"/>
  <c r="J100" i="1" s="1"/>
  <c r="I99" i="1" l="1"/>
  <c r="K99" i="1"/>
  <c r="L99" i="1" s="1"/>
  <c r="M99" i="1" l="1"/>
  <c r="H99" i="1" s="1"/>
  <c r="E100" i="1" s="1"/>
  <c r="S100" i="1" s="1"/>
  <c r="D100" i="1" l="1"/>
  <c r="C100" i="1"/>
  <c r="N100" i="1" s="1"/>
  <c r="P100" i="1" s="1"/>
  <c r="R100" i="1"/>
  <c r="AR100" i="1" s="1"/>
  <c r="U101" i="1" l="1"/>
  <c r="V101" i="1" s="1" a="1"/>
  <c r="V101" i="1" s="1"/>
  <c r="AB100" i="1"/>
  <c r="AP100" i="1"/>
  <c r="O100" i="1"/>
  <c r="AC100" i="1" s="1"/>
  <c r="AD100" i="1"/>
  <c r="AI101" i="1" l="1"/>
  <c r="AJ101" i="1" s="1" a="1"/>
  <c r="AJ101" i="1" s="1"/>
  <c r="AF100" i="1"/>
  <c r="AE100" i="1"/>
  <c r="AQ100" i="1"/>
  <c r="AT100" i="1" s="1"/>
  <c r="Q100" i="1"/>
  <c r="AG100" i="1" l="1"/>
  <c r="AH100" i="1" s="1"/>
  <c r="AS100" i="1"/>
  <c r="AU100" i="1" l="1"/>
  <c r="AV100" i="1" s="1"/>
  <c r="F100" i="1" s="1"/>
  <c r="J101" i="1" s="1"/>
  <c r="K100" i="1" l="1"/>
  <c r="L100" i="1" s="1"/>
  <c r="I100" i="1"/>
  <c r="M100" i="1" l="1"/>
  <c r="H100" i="1" s="1"/>
  <c r="E101" i="1" s="1"/>
  <c r="R101" i="1" s="1"/>
  <c r="D101" i="1" l="1"/>
  <c r="O101" i="1" s="1"/>
  <c r="AC101" i="1" s="1"/>
  <c r="C101" i="1"/>
  <c r="S101" i="1"/>
  <c r="AR101" i="1" s="1"/>
  <c r="AD101" i="1" l="1"/>
  <c r="Q101" i="1"/>
  <c r="U102" i="1"/>
  <c r="AQ101" i="1"/>
  <c r="N101" i="1"/>
  <c r="AB101" i="1" s="1"/>
  <c r="AF101" i="1" l="1"/>
  <c r="AP101" i="1"/>
  <c r="AS101" i="1" s="1"/>
  <c r="P101" i="1"/>
  <c r="AE101" i="1"/>
  <c r="AI102" i="1"/>
  <c r="AJ102" i="1" s="1" a="1"/>
  <c r="AJ102" i="1" s="1"/>
  <c r="V102" i="1" a="1"/>
  <c r="V102" i="1" s="1"/>
  <c r="AG101" i="1" l="1"/>
  <c r="AH101" i="1" s="1"/>
  <c r="AT101" i="1"/>
  <c r="AU101" i="1" l="1"/>
  <c r="AV101" i="1" s="1"/>
  <c r="F101" i="1" s="1"/>
  <c r="I101" i="1" s="1"/>
  <c r="J102" i="1" l="1"/>
  <c r="K101" i="1"/>
  <c r="L101" i="1" s="1"/>
  <c r="M101" i="1" s="1"/>
  <c r="H101" i="1" s="1"/>
  <c r="E102" i="1" s="1"/>
  <c r="R102" i="1" s="1"/>
  <c r="C102" i="1" l="1"/>
  <c r="D102" i="1"/>
  <c r="O102" i="1" s="1"/>
  <c r="AC102" i="1" s="1"/>
  <c r="S102" i="1"/>
  <c r="AR102" i="1" s="1"/>
  <c r="AQ102" i="1" l="1"/>
  <c r="U103" i="1"/>
  <c r="AI103" i="1" s="1"/>
  <c r="AJ103" i="1" s="1" a="1"/>
  <c r="AJ103" i="1" s="1"/>
  <c r="Q102" i="1"/>
  <c r="AD102" i="1"/>
  <c r="N102" i="1"/>
  <c r="P102" i="1" s="1"/>
  <c r="V103" i="1" l="1" a="1"/>
  <c r="V103" i="1" s="1"/>
  <c r="AB102" i="1"/>
  <c r="AE102" i="1" s="1"/>
  <c r="AP102" i="1"/>
  <c r="AS102" i="1" s="1"/>
  <c r="AF102" i="1" l="1"/>
  <c r="AT102" i="1"/>
  <c r="AG102" i="1" l="1"/>
  <c r="AH102" i="1" s="1"/>
  <c r="AU102" i="1"/>
  <c r="AV102" i="1" s="1"/>
  <c r="F102" i="1" l="1"/>
  <c r="K102" i="1" s="1"/>
  <c r="L102" i="1" s="1"/>
  <c r="I102" i="1" l="1"/>
  <c r="M102" i="1" s="1"/>
  <c r="H102" i="1" s="1"/>
  <c r="E103" i="1" s="1"/>
  <c r="S103" i="1" s="1"/>
  <c r="J103" i="1"/>
  <c r="R103" i="1" l="1"/>
  <c r="AD103" i="1" s="1"/>
  <c r="C103" i="1"/>
  <c r="N103" i="1" s="1"/>
  <c r="AB103" i="1" s="1"/>
  <c r="D103" i="1"/>
  <c r="O103" i="1" l="1"/>
  <c r="AC103" i="1" s="1"/>
  <c r="AF103" i="1" s="1"/>
  <c r="AR103" i="1"/>
  <c r="P103" i="1"/>
  <c r="AP103" i="1"/>
  <c r="U104" i="1"/>
  <c r="Q103" i="1" l="1"/>
  <c r="AE103" i="1"/>
  <c r="AG103" i="1" s="1"/>
  <c r="AH103" i="1" s="1"/>
  <c r="AQ103" i="1"/>
  <c r="AS103" i="1" s="1"/>
  <c r="AT103" i="1" l="1"/>
  <c r="AU103" i="1" s="1"/>
  <c r="AV103" i="1" s="1"/>
  <c r="F103" i="1" s="1"/>
  <c r="V104" i="1" a="1"/>
  <c r="V104" i="1" s="1"/>
  <c r="AI104" i="1"/>
  <c r="AJ104" i="1" s="1" a="1"/>
  <c r="AJ104" i="1" s="1"/>
  <c r="I103" i="1" l="1"/>
  <c r="J104" i="1"/>
  <c r="K103" i="1"/>
  <c r="L103" i="1" s="1"/>
  <c r="M103" i="1" l="1"/>
  <c r="H103" i="1" s="1"/>
  <c r="E104" i="1" s="1"/>
  <c r="S104" i="1" s="1"/>
  <c r="D104" i="1" l="1"/>
  <c r="R104" i="1"/>
  <c r="AD104" i="1" s="1"/>
  <c r="C104" i="1"/>
  <c r="N104" i="1" s="1"/>
  <c r="AP104" i="1" s="1"/>
  <c r="O104" i="1" l="1"/>
  <c r="AQ104" i="1" s="1"/>
  <c r="U105" i="1"/>
  <c r="P104" i="1"/>
  <c r="AR104" i="1"/>
  <c r="AB104" i="1"/>
  <c r="AT104" i="1" l="1"/>
  <c r="AC104" i="1"/>
  <c r="AF104" i="1" s="1"/>
  <c r="Q104" i="1"/>
  <c r="AS104" i="1"/>
  <c r="AU104" i="1" l="1"/>
  <c r="AV104" i="1" s="1"/>
  <c r="AE104" i="1"/>
  <c r="AG104" i="1" s="1"/>
  <c r="AH104" i="1" s="1"/>
  <c r="F104" i="1" s="1"/>
  <c r="J105" i="1" s="1"/>
  <c r="V105" i="1" a="1"/>
  <c r="V105" i="1" s="1"/>
  <c r="AI105" i="1"/>
  <c r="AJ105" i="1" s="1" a="1"/>
  <c r="AJ105" i="1" s="1"/>
  <c r="I104" i="1" l="1"/>
  <c r="K104" i="1"/>
  <c r="L104" i="1" s="1"/>
  <c r="M104" i="1" l="1"/>
  <c r="H104" i="1" s="1"/>
  <c r="E105" i="1" s="1"/>
  <c r="S105" i="1" s="1"/>
  <c r="D105" i="1" l="1"/>
  <c r="C105" i="1"/>
  <c r="N105" i="1" s="1"/>
  <c r="P105" i="1" s="1"/>
  <c r="R105" i="1"/>
  <c r="AR105" i="1" s="1"/>
  <c r="AB105" i="1" l="1"/>
  <c r="AP105" i="1"/>
  <c r="O105" i="1"/>
  <c r="AC105" i="1" s="1"/>
  <c r="U106" i="1"/>
  <c r="V106" i="1" s="1" a="1"/>
  <c r="V106" i="1" s="1"/>
  <c r="AD105" i="1"/>
  <c r="AF105" i="1" l="1"/>
  <c r="AQ105" i="1"/>
  <c r="AT105" i="1" s="1"/>
  <c r="AE105" i="1"/>
  <c r="Q105" i="1"/>
  <c r="AI106" i="1"/>
  <c r="AJ106" i="1" s="1" a="1"/>
  <c r="AJ106" i="1" s="1"/>
  <c r="AG105" i="1" l="1"/>
  <c r="AH105" i="1" s="1"/>
  <c r="AS105" i="1"/>
  <c r="AU105" i="1" l="1"/>
  <c r="AV105" i="1" s="1"/>
  <c r="F105" i="1" s="1"/>
  <c r="I105" i="1" s="1"/>
  <c r="K105" i="1" l="1"/>
  <c r="L105" i="1" s="1"/>
  <c r="M105" i="1" s="1"/>
  <c r="H105" i="1" s="1"/>
  <c r="E106" i="1" s="1"/>
  <c r="R106" i="1" s="1"/>
  <c r="J106" i="1"/>
  <c r="D106" i="1" l="1"/>
  <c r="O106" i="1" s="1"/>
  <c r="AQ106" i="1" s="1"/>
  <c r="C106" i="1"/>
  <c r="S106" i="1"/>
  <c r="AR106" i="1" s="1"/>
  <c r="U107" i="1" l="1"/>
  <c r="AI107" i="1" s="1"/>
  <c r="AJ107" i="1" s="1" a="1"/>
  <c r="AJ107" i="1" s="1"/>
  <c r="Q106" i="1"/>
  <c r="AC106" i="1"/>
  <c r="AD106" i="1"/>
  <c r="N106" i="1"/>
  <c r="AP106" i="1" s="1"/>
  <c r="AT106" i="1" s="1"/>
  <c r="V107" i="1" l="1" a="1"/>
  <c r="V107" i="1" s="1"/>
  <c r="P106" i="1"/>
  <c r="AS106" i="1"/>
  <c r="AB106" i="1"/>
  <c r="AF106" i="1" s="1"/>
  <c r="AU106" i="1" l="1"/>
  <c r="AV106" i="1" s="1"/>
  <c r="AE106" i="1"/>
  <c r="AG106" i="1" l="1"/>
  <c r="AH106" i="1" s="1"/>
  <c r="F106" i="1" s="1"/>
  <c r="K106" i="1" l="1"/>
  <c r="L106" i="1" s="1"/>
  <c r="J107" i="1"/>
  <c r="I106" i="1"/>
  <c r="M106" i="1" l="1"/>
  <c r="H106" i="1" s="1"/>
  <c r="E107" i="1" s="1"/>
  <c r="R107" i="1" s="1"/>
  <c r="S107" i="1" l="1"/>
  <c r="AR107" i="1" s="1"/>
  <c r="C107" i="1"/>
  <c r="D107" i="1"/>
  <c r="O107" i="1" s="1"/>
  <c r="AC107" i="1" s="1"/>
  <c r="AD107" i="1" l="1"/>
  <c r="N107" i="1"/>
  <c r="AP107" i="1" s="1"/>
  <c r="U108" i="1"/>
  <c r="V108" i="1" s="1" a="1"/>
  <c r="V108" i="1" s="1"/>
  <c r="AQ107" i="1"/>
  <c r="Q107" i="1"/>
  <c r="AB107" i="1"/>
  <c r="P107" i="1"/>
  <c r="AT107" i="1" l="1"/>
  <c r="AI108" i="1"/>
  <c r="AJ108" i="1" s="1" a="1"/>
  <c r="AJ108" i="1" s="1"/>
  <c r="AE107" i="1"/>
  <c r="AF107" i="1"/>
  <c r="AS107" i="1"/>
  <c r="AU107" i="1" s="1"/>
  <c r="AV107" i="1" s="1"/>
  <c r="AG107" i="1" l="1"/>
  <c r="AH107" i="1" s="1"/>
  <c r="F107" i="1" s="1"/>
  <c r="K107" i="1" s="1"/>
  <c r="L107" i="1" s="1"/>
  <c r="J108" i="1" l="1"/>
  <c r="I107" i="1"/>
  <c r="M107" i="1" s="1"/>
  <c r="H107" i="1" s="1"/>
  <c r="E108" i="1" s="1"/>
  <c r="R108" i="1" l="1"/>
  <c r="C108" i="1"/>
  <c r="D108" i="1"/>
  <c r="S108" i="1"/>
  <c r="U109" i="1" l="1"/>
  <c r="O108" i="1"/>
  <c r="Q108" i="1" s="1"/>
  <c r="AD108" i="1"/>
  <c r="N108" i="1"/>
  <c r="AB108" i="1" s="1"/>
  <c r="AR108" i="1"/>
  <c r="P108" i="1" l="1"/>
  <c r="AQ108" i="1"/>
  <c r="AC108" i="1"/>
  <c r="AP108" i="1"/>
  <c r="AF108" i="1"/>
  <c r="AE108" i="1"/>
  <c r="AT108" i="1"/>
  <c r="V109" i="1" a="1"/>
  <c r="V109" i="1" s="1"/>
  <c r="AI109" i="1"/>
  <c r="AJ109" i="1" s="1" a="1"/>
  <c r="AJ109" i="1" s="1"/>
  <c r="AS108" i="1" l="1"/>
  <c r="AU108" i="1" s="1"/>
  <c r="AV108" i="1" s="1"/>
  <c r="AG108" i="1"/>
  <c r="AH108" i="1" s="1"/>
  <c r="F108" i="1" l="1"/>
  <c r="I108" i="1" s="1"/>
  <c r="J109" i="1" l="1"/>
  <c r="K108" i="1"/>
  <c r="L108" i="1" s="1"/>
  <c r="M108" i="1" s="1"/>
  <c r="H108" i="1" s="1"/>
  <c r="E109" i="1" s="1"/>
  <c r="S109" i="1" s="1"/>
  <c r="R109" i="1" l="1"/>
  <c r="AR109" i="1" s="1"/>
  <c r="D109" i="1"/>
  <c r="C109" i="1"/>
  <c r="N109" i="1" s="1"/>
  <c r="AB109" i="1" s="1"/>
  <c r="AD109" i="1" l="1"/>
  <c r="O109" i="1"/>
  <c r="Q109" i="1" s="1"/>
  <c r="P109" i="1"/>
  <c r="AP109" i="1"/>
  <c r="U110" i="1"/>
  <c r="AQ109" i="1"/>
  <c r="AT109" i="1" s="1"/>
  <c r="AC109" i="1"/>
  <c r="AF109" i="1" l="1"/>
  <c r="AE109" i="1"/>
  <c r="AS109" i="1"/>
  <c r="AG109" i="1" l="1"/>
  <c r="AH109" i="1" s="1"/>
  <c r="AU109" i="1"/>
  <c r="AV109" i="1" s="1"/>
  <c r="AI110" i="1"/>
  <c r="AJ110" i="1" s="1" a="1"/>
  <c r="AJ110" i="1" s="1"/>
  <c r="V110" i="1" a="1"/>
  <c r="V110" i="1" s="1"/>
  <c r="F109" i="1" l="1"/>
  <c r="I109" i="1" s="1"/>
  <c r="J110" i="1" l="1"/>
  <c r="K109" i="1"/>
  <c r="L109" i="1" s="1"/>
  <c r="M109" i="1" s="1"/>
  <c r="H109" i="1" s="1"/>
  <c r="E110" i="1" s="1"/>
  <c r="S110" i="1" s="1"/>
  <c r="D110" i="1" l="1"/>
  <c r="C110" i="1"/>
  <c r="N110" i="1" s="1"/>
  <c r="R110" i="1"/>
  <c r="AD110" i="1" s="1"/>
  <c r="U111" i="1" l="1"/>
  <c r="O110" i="1"/>
  <c r="AC110" i="1" s="1"/>
  <c r="AR110" i="1"/>
  <c r="AP110" i="1"/>
  <c r="P110" i="1"/>
  <c r="AB110" i="1"/>
  <c r="AQ110" i="1" l="1"/>
  <c r="AS110" i="1" s="1"/>
  <c r="Q110" i="1"/>
  <c r="AE110" i="1"/>
  <c r="AF110" i="1"/>
  <c r="AG110" i="1" l="1"/>
  <c r="AH110" i="1" s="1"/>
  <c r="AT110" i="1"/>
  <c r="AU110" i="1" l="1"/>
  <c r="AV110" i="1" s="1"/>
  <c r="F110" i="1" s="1"/>
  <c r="I110" i="1" l="1"/>
  <c r="K110" i="1"/>
  <c r="L110" i="1" s="1"/>
  <c r="J111" i="1"/>
  <c r="AI111" i="1"/>
  <c r="AJ111" i="1" s="1" a="1"/>
  <c r="AJ111" i="1" s="1"/>
  <c r="V111" i="1" a="1"/>
  <c r="V111" i="1" s="1"/>
  <c r="M110" i="1" l="1"/>
  <c r="H110" i="1" s="1"/>
  <c r="E111" i="1" s="1"/>
  <c r="R111" i="1" l="1"/>
  <c r="S111" i="1"/>
  <c r="D111" i="1"/>
  <c r="C111" i="1"/>
  <c r="U112" i="1" l="1"/>
  <c r="N111" i="1"/>
  <c r="O111" i="1"/>
  <c r="AD111" i="1"/>
  <c r="AR111" i="1"/>
  <c r="AQ111" i="1" l="1"/>
  <c r="Q111" i="1"/>
  <c r="AC111" i="1"/>
  <c r="AB111" i="1"/>
  <c r="P111" i="1"/>
  <c r="AP111" i="1"/>
  <c r="AE111" i="1" l="1"/>
  <c r="AT111" i="1"/>
  <c r="AS111" i="1"/>
  <c r="AF111" i="1"/>
  <c r="AI112" i="1"/>
  <c r="AJ112" i="1" s="1" a="1"/>
  <c r="AU111" i="1" l="1"/>
  <c r="AV111" i="1" s="1"/>
  <c r="AG111" i="1"/>
  <c r="AH111" i="1" s="1"/>
  <c r="V112" i="1" a="1"/>
  <c r="V112" i="1" s="1"/>
  <c r="AJ112" i="1"/>
  <c r="F111" i="1" l="1"/>
  <c r="K111" i="1" l="1"/>
  <c r="L111" i="1" s="1"/>
  <c r="J112" i="1"/>
  <c r="I111" i="1"/>
  <c r="M111" i="1" l="1"/>
  <c r="H111" i="1" s="1"/>
  <c r="E112" i="1" s="1"/>
  <c r="R112" i="1" s="1"/>
  <c r="S112" i="1" l="1"/>
  <c r="AR112" i="1" s="1"/>
  <c r="D112" i="1"/>
  <c r="O112" i="1" s="1"/>
  <c r="Q112" i="1" s="1"/>
  <c r="C112" i="1"/>
  <c r="AD112" i="1" l="1"/>
  <c r="N112" i="1"/>
  <c r="P112" i="1" s="1"/>
  <c r="AQ112" i="1"/>
  <c r="AC112" i="1"/>
  <c r="U113" i="1"/>
  <c r="AI113" i="1" s="1"/>
  <c r="AJ113" i="1" s="1" a="1"/>
  <c r="AJ113" i="1" s="1"/>
  <c r="AB112" i="1" l="1"/>
  <c r="AF112" i="1" s="1"/>
  <c r="AP112" i="1"/>
  <c r="AT112" i="1" s="1"/>
  <c r="V113" i="1" a="1"/>
  <c r="V113" i="1" s="1"/>
  <c r="AE112" i="1" l="1"/>
  <c r="AS112" i="1"/>
  <c r="AG112" i="1" l="1"/>
  <c r="AH112" i="1" s="1"/>
  <c r="AU112" i="1"/>
  <c r="AV112" i="1" s="1"/>
  <c r="F112" i="1" l="1"/>
  <c r="J113" i="1" s="1"/>
  <c r="K112" i="1" l="1"/>
  <c r="L112" i="1" s="1"/>
  <c r="I112" i="1"/>
  <c r="M112" i="1" l="1"/>
  <c r="H112" i="1" s="1"/>
  <c r="E113" i="1" s="1"/>
  <c r="R113" i="1" s="1"/>
  <c r="S113" i="1" l="1"/>
  <c r="AR113" i="1" s="1"/>
  <c r="D113" i="1"/>
  <c r="O113" i="1" s="1"/>
  <c r="AQ113" i="1" s="1"/>
  <c r="C113" i="1"/>
  <c r="AD113" i="1" l="1"/>
  <c r="N113" i="1"/>
  <c r="AP113" i="1" s="1"/>
  <c r="AT113" i="1" s="1"/>
  <c r="AC113" i="1"/>
  <c r="Q113" i="1"/>
  <c r="U114" i="1"/>
  <c r="AI114" i="1" s="1"/>
  <c r="AJ114" i="1" s="1" a="1"/>
  <c r="AJ114" i="1" s="1"/>
  <c r="P113" i="1" l="1"/>
  <c r="AB113" i="1"/>
  <c r="AE113" i="1" s="1"/>
  <c r="V114" i="1" a="1"/>
  <c r="V114" i="1" s="1"/>
  <c r="AS113" i="1"/>
  <c r="AU113" i="1" s="1"/>
  <c r="AV113" i="1" s="1"/>
  <c r="AF113" i="1"/>
  <c r="AG113" i="1" l="1"/>
  <c r="AH113" i="1" s="1"/>
  <c r="F113" i="1" s="1"/>
  <c r="K113" i="1" s="1"/>
  <c r="L113" i="1" s="1"/>
  <c r="J114" i="1" l="1"/>
  <c r="I113" i="1"/>
  <c r="M113" i="1" s="1"/>
  <c r="H113" i="1" s="1"/>
  <c r="E114" i="1" s="1"/>
  <c r="R114" i="1" s="1"/>
  <c r="D114" i="1" l="1"/>
  <c r="O114" i="1" s="1"/>
  <c r="AQ114" i="1" s="1"/>
  <c r="S114" i="1"/>
  <c r="AR114" i="1" s="1"/>
  <c r="C114" i="1"/>
  <c r="Q114" i="1" l="1"/>
  <c r="AC114" i="1"/>
  <c r="AD114" i="1"/>
  <c r="N114" i="1"/>
  <c r="AB114" i="1" s="1"/>
  <c r="U115" i="1"/>
  <c r="AE114" i="1" l="1"/>
  <c r="P114" i="1"/>
  <c r="AP114" i="1"/>
  <c r="AF114" i="1"/>
  <c r="AG114" i="1" l="1"/>
  <c r="AH114" i="1" s="1"/>
  <c r="AS114" i="1"/>
  <c r="AT114" i="1"/>
  <c r="AU114" i="1" l="1"/>
  <c r="AV114" i="1" s="1"/>
  <c r="F114" i="1" s="1"/>
  <c r="V115" i="1" a="1"/>
  <c r="V115" i="1" s="1"/>
  <c r="AI115" i="1"/>
  <c r="AJ115" i="1" s="1" a="1"/>
  <c r="AJ115" i="1" s="1"/>
  <c r="I114" i="1" l="1"/>
  <c r="K114" i="1"/>
  <c r="L114" i="1" s="1"/>
  <c r="J115" i="1"/>
  <c r="M114" i="1" l="1"/>
  <c r="H114" i="1" s="1"/>
  <c r="E115" i="1" s="1"/>
  <c r="S115" i="1" s="1"/>
  <c r="R115" i="1" l="1"/>
  <c r="AR115" i="1" s="1"/>
  <c r="D115" i="1"/>
  <c r="C115" i="1"/>
  <c r="N115" i="1" s="1"/>
  <c r="P115" i="1" s="1"/>
  <c r="O115" i="1" l="1"/>
  <c r="AC115" i="1" s="1"/>
  <c r="AD115" i="1"/>
  <c r="AB115" i="1"/>
  <c r="AP115" i="1"/>
  <c r="U116" i="1"/>
  <c r="AE115" i="1" l="1"/>
  <c r="AQ115" i="1"/>
  <c r="AT115" i="1" s="1"/>
  <c r="AF115" i="1"/>
  <c r="Q115" i="1"/>
  <c r="AG115" i="1" l="1"/>
  <c r="AH115" i="1" s="1"/>
  <c r="AS115" i="1"/>
  <c r="V116" i="1" a="1"/>
  <c r="V116" i="1" s="1"/>
  <c r="AI116" i="1"/>
  <c r="AJ116" i="1" s="1" a="1"/>
  <c r="AJ116" i="1" s="1"/>
  <c r="AU115" i="1" l="1"/>
  <c r="AV115" i="1" s="1"/>
  <c r="F115" i="1" s="1"/>
  <c r="K115" i="1" s="1"/>
  <c r="L115" i="1" s="1"/>
  <c r="J116" i="1" l="1"/>
  <c r="I115" i="1"/>
  <c r="M115" i="1" s="1"/>
  <c r="H115" i="1" s="1"/>
  <c r="E116" i="1" s="1"/>
  <c r="R116" i="1" s="1"/>
  <c r="S116" i="1" l="1"/>
  <c r="AD116" i="1" s="1"/>
  <c r="C116" i="1"/>
  <c r="D116" i="1"/>
  <c r="O116" i="1" s="1"/>
  <c r="Q116" i="1" s="1"/>
  <c r="N116" i="1" l="1"/>
  <c r="AP116" i="1" s="1"/>
  <c r="AQ116" i="1"/>
  <c r="U117" i="1"/>
  <c r="AR116" i="1"/>
  <c r="AC116" i="1"/>
  <c r="AT116" i="1" l="1"/>
  <c r="AS116" i="1"/>
  <c r="P116" i="1"/>
  <c r="AB116" i="1"/>
  <c r="AF116" i="1" s="1"/>
  <c r="V117" i="1" a="1"/>
  <c r="V117" i="1" s="1"/>
  <c r="AU116" i="1" l="1"/>
  <c r="AV116" i="1" s="1"/>
  <c r="AE116" i="1"/>
  <c r="AI117" i="1"/>
  <c r="AJ117" i="1" s="1" a="1"/>
  <c r="AJ117" i="1" s="1"/>
  <c r="AG116" i="1" l="1"/>
  <c r="AH116" i="1" s="1"/>
  <c r="F116" i="1" s="1"/>
  <c r="K116" i="1" s="1"/>
  <c r="L116" i="1" s="1"/>
  <c r="J117" i="1" l="1"/>
  <c r="I116" i="1"/>
  <c r="M116" i="1" s="1"/>
  <c r="H116" i="1" s="1"/>
  <c r="E117" i="1" s="1"/>
  <c r="R117" i="1" s="1"/>
  <c r="D117" i="1" l="1"/>
  <c r="O117" i="1" s="1"/>
  <c r="AC117" i="1" s="1"/>
  <c r="C117" i="1"/>
  <c r="S117" i="1"/>
  <c r="AR117" i="1" s="1"/>
  <c r="AQ117" i="1" l="1"/>
  <c r="Q117" i="1"/>
  <c r="U118" i="1"/>
  <c r="V118" i="1" s="1" a="1"/>
  <c r="V118" i="1" s="1"/>
  <c r="N117" i="1"/>
  <c r="AB117" i="1" s="1"/>
  <c r="AD117" i="1"/>
  <c r="AI118" i="1" l="1"/>
  <c r="AJ118" i="1" s="1" a="1"/>
  <c r="AJ118" i="1" s="1"/>
  <c r="AE117" i="1"/>
  <c r="P117" i="1"/>
  <c r="AP117" i="1"/>
  <c r="AT117" i="1" s="1"/>
  <c r="AF117" i="1"/>
  <c r="AG117" i="1" l="1"/>
  <c r="AH117" i="1" s="1"/>
  <c r="AS117" i="1"/>
  <c r="AU117" i="1" l="1"/>
  <c r="AV117" i="1" s="1"/>
  <c r="F117" i="1" s="1"/>
  <c r="J118" i="1" s="1"/>
  <c r="I117" i="1" l="1"/>
  <c r="K117" i="1"/>
  <c r="L117" i="1" s="1"/>
  <c r="M117" i="1" l="1"/>
  <c r="H117" i="1" s="1"/>
  <c r="E118" i="1" s="1"/>
  <c r="R118" i="1" s="1"/>
  <c r="S118" i="1" l="1"/>
  <c r="AR118" i="1" s="1"/>
  <c r="D118" i="1"/>
  <c r="O118" i="1" s="1"/>
  <c r="AQ118" i="1" s="1"/>
  <c r="C118" i="1"/>
  <c r="AD118" i="1" l="1"/>
  <c r="AC118" i="1"/>
  <c r="U119" i="1"/>
  <c r="AI119" i="1" s="1"/>
  <c r="AJ119" i="1" s="1" a="1"/>
  <c r="AJ119" i="1" s="1"/>
  <c r="Q118" i="1"/>
  <c r="N118" i="1"/>
  <c r="AP118" i="1" s="1"/>
  <c r="AS118" i="1" s="1"/>
  <c r="V119" i="1" l="1" a="1"/>
  <c r="V119" i="1" s="1"/>
  <c r="P118" i="1"/>
  <c r="AB118" i="1"/>
  <c r="AF118" i="1" s="1"/>
  <c r="AT118" i="1"/>
  <c r="AU118" i="1" l="1"/>
  <c r="AV118" i="1" s="1"/>
  <c r="AE118" i="1"/>
  <c r="AG118" i="1" l="1"/>
  <c r="AH118" i="1" s="1"/>
  <c r="F118" i="1" s="1"/>
  <c r="K118" i="1" l="1"/>
  <c r="L118" i="1" s="1"/>
  <c r="I118" i="1"/>
  <c r="J119" i="1"/>
  <c r="M118" i="1" l="1"/>
  <c r="H118" i="1" s="1"/>
  <c r="E119" i="1" s="1"/>
  <c r="R119" i="1" s="1"/>
  <c r="S119" i="1" l="1"/>
  <c r="AD119" i="1" s="1"/>
  <c r="C119" i="1"/>
  <c r="D119" i="1"/>
  <c r="O119" i="1" s="1"/>
  <c r="N119" i="1" l="1"/>
  <c r="AP119" i="1" s="1"/>
  <c r="AR119" i="1"/>
  <c r="Q119" i="1"/>
  <c r="AQ119" i="1"/>
  <c r="AC119" i="1"/>
  <c r="U120" i="1"/>
  <c r="V120" i="1" s="1" a="1"/>
  <c r="V120" i="1" s="1"/>
  <c r="AT119" i="1" l="1"/>
  <c r="AB119" i="1"/>
  <c r="AF119" i="1" s="1"/>
  <c r="P119" i="1"/>
  <c r="AS119" i="1"/>
  <c r="AI120" i="1"/>
  <c r="AJ120" i="1" s="1" a="1"/>
  <c r="AJ120" i="1" s="1"/>
  <c r="AE119" i="1" l="1"/>
  <c r="AG119" i="1" s="1"/>
  <c r="AH119" i="1" s="1"/>
  <c r="AU119" i="1"/>
  <c r="AV119" i="1" s="1"/>
  <c r="F119" i="1" l="1"/>
  <c r="K119" i="1" s="1"/>
  <c r="L119" i="1" s="1"/>
  <c r="J120" i="1" l="1"/>
  <c r="I119" i="1"/>
  <c r="M119" i="1" s="1"/>
  <c r="H119" i="1" s="1"/>
  <c r="E120" i="1" s="1"/>
  <c r="S120" i="1" s="1"/>
  <c r="C120" i="1" l="1"/>
  <c r="N120" i="1" s="1"/>
  <c r="AP120" i="1" s="1"/>
  <c r="R120" i="1"/>
  <c r="AD120" i="1" s="1"/>
  <c r="D120" i="1"/>
  <c r="P120" i="1" l="1"/>
  <c r="AB120" i="1"/>
  <c r="U121" i="1"/>
  <c r="AI121" i="1" s="1"/>
  <c r="AJ121" i="1" s="1" a="1"/>
  <c r="AJ121" i="1" s="1"/>
  <c r="O120" i="1"/>
  <c r="Q120" i="1" s="1"/>
  <c r="AR120" i="1"/>
  <c r="V121" i="1" l="1" a="1"/>
  <c r="V121" i="1" s="1"/>
  <c r="AC120" i="1"/>
  <c r="AF120" i="1" s="1"/>
  <c r="AQ120" i="1"/>
  <c r="AE120" i="1" l="1"/>
  <c r="AG120" i="1" s="1"/>
  <c r="AH120" i="1" s="1"/>
  <c r="AS120" i="1"/>
  <c r="AT120" i="1"/>
  <c r="AU120" i="1" l="1"/>
  <c r="AV120" i="1" s="1"/>
  <c r="F120" i="1" s="1"/>
  <c r="K120" i="1" s="1"/>
  <c r="L120" i="1" s="1"/>
  <c r="J121" i="1" l="1"/>
  <c r="I120" i="1"/>
  <c r="M120" i="1" s="1"/>
  <c r="H120" i="1" s="1"/>
  <c r="E121" i="1" s="1"/>
  <c r="S121" i="1" s="1"/>
  <c r="C121" i="1" l="1"/>
  <c r="N121" i="1" s="1"/>
  <c r="AB121" i="1" s="1"/>
  <c r="D121" i="1"/>
  <c r="R121" i="1"/>
  <c r="AR121" i="1" s="1"/>
  <c r="AP121" i="1" l="1"/>
  <c r="P121" i="1"/>
  <c r="U122" i="1"/>
  <c r="AD121" i="1"/>
  <c r="O121" i="1"/>
  <c r="Q121" i="1" s="1"/>
  <c r="AQ121" i="1" l="1"/>
  <c r="AT121" i="1" s="1"/>
  <c r="AC121" i="1"/>
  <c r="V122" i="1" a="1"/>
  <c r="V122" i="1" s="1"/>
  <c r="AI122" i="1"/>
  <c r="AJ122" i="1" s="1" a="1"/>
  <c r="AJ122" i="1" s="1"/>
  <c r="AS121" i="1" l="1"/>
  <c r="AU121" i="1" s="1"/>
  <c r="AV121" i="1" s="1"/>
  <c r="AF121" i="1"/>
  <c r="AE121" i="1"/>
  <c r="AG121" i="1" l="1"/>
  <c r="AH121" i="1" s="1"/>
  <c r="F121" i="1" s="1"/>
  <c r="K121" i="1" l="1"/>
  <c r="L121" i="1" s="1"/>
  <c r="J122" i="1"/>
  <c r="I121" i="1"/>
  <c r="M121" i="1" l="1"/>
  <c r="H121" i="1" s="1"/>
  <c r="E122" i="1" s="1"/>
  <c r="D122" i="1" s="1"/>
  <c r="C122" i="1" l="1"/>
  <c r="U123" i="1" s="1"/>
  <c r="S122" i="1"/>
  <c r="R122" i="1"/>
  <c r="O122" i="1" s="1"/>
  <c r="AC122" i="1" s="1"/>
  <c r="AQ122" i="1" l="1"/>
  <c r="Q122" i="1"/>
  <c r="AR122" i="1"/>
  <c r="AD122" i="1"/>
  <c r="N122" i="1"/>
  <c r="P122" i="1" l="1"/>
  <c r="AB122" i="1"/>
  <c r="AF122" i="1" s="1"/>
  <c r="AP122" i="1"/>
  <c r="V123" i="1" a="1"/>
  <c r="V123" i="1" s="1"/>
  <c r="AI123" i="1"/>
  <c r="AJ123" i="1" s="1" a="1"/>
  <c r="AJ123" i="1" s="1"/>
  <c r="AE122" i="1" l="1"/>
  <c r="AG122" i="1" s="1"/>
  <c r="AH122" i="1" s="1"/>
  <c r="AT122" i="1"/>
  <c r="AS122" i="1"/>
  <c r="AU122" i="1" l="1"/>
  <c r="AV122" i="1" s="1"/>
  <c r="F122" i="1" s="1"/>
  <c r="J123" i="1" l="1"/>
  <c r="K122" i="1"/>
  <c r="L122" i="1" s="1"/>
  <c r="I122" i="1"/>
  <c r="M122" i="1" l="1"/>
  <c r="H122" i="1" s="1"/>
  <c r="E123" i="1" s="1"/>
  <c r="S123" i="1" s="1"/>
  <c r="C123" i="1" l="1"/>
  <c r="N123" i="1" s="1"/>
  <c r="AB123" i="1" s="1"/>
  <c r="R123" i="1"/>
  <c r="AR123" i="1" s="1"/>
  <c r="D123" i="1"/>
  <c r="O123" i="1" l="1"/>
  <c r="AQ123" i="1" s="1"/>
  <c r="U124" i="1"/>
  <c r="AI124" i="1" s="1"/>
  <c r="AJ124" i="1" s="1" a="1"/>
  <c r="AJ124" i="1" s="1"/>
  <c r="AD123" i="1"/>
  <c r="AP123" i="1"/>
  <c r="P123" i="1"/>
  <c r="V124" i="1" l="1" a="1"/>
  <c r="V124" i="1" s="1"/>
  <c r="AT123" i="1"/>
  <c r="AS123" i="1"/>
  <c r="AC123" i="1"/>
  <c r="AF123" i="1" s="1"/>
  <c r="Q123" i="1"/>
  <c r="AU123" i="1" l="1"/>
  <c r="AV123" i="1" s="1"/>
  <c r="AE123" i="1"/>
  <c r="AG123" i="1" s="1"/>
  <c r="AH123" i="1" s="1"/>
  <c r="F123" i="1" l="1"/>
  <c r="I123" i="1" s="1"/>
  <c r="K123" i="1" l="1"/>
  <c r="L123" i="1" s="1"/>
  <c r="M123" i="1" s="1"/>
  <c r="H123" i="1" s="1"/>
  <c r="E124" i="1" s="1"/>
  <c r="S124" i="1" s="1"/>
  <c r="J124" i="1"/>
  <c r="R124" i="1" l="1"/>
  <c r="AR124" i="1" s="1"/>
  <c r="C124" i="1"/>
  <c r="N124" i="1" s="1"/>
  <c r="AP124" i="1" s="1"/>
  <c r="D124" i="1"/>
  <c r="AD124" i="1" l="1"/>
  <c r="O124" i="1"/>
  <c r="Q124" i="1" s="1"/>
  <c r="U125" i="1"/>
  <c r="AQ124" i="1"/>
  <c r="AT124" i="1" s="1"/>
  <c r="AC124" i="1"/>
  <c r="AB124" i="1"/>
  <c r="P124" i="1"/>
  <c r="AS124" i="1" l="1"/>
  <c r="AE124" i="1"/>
  <c r="AF124" i="1"/>
  <c r="AG124" i="1" l="1"/>
  <c r="AH124" i="1" s="1"/>
  <c r="AU124" i="1"/>
  <c r="AV124" i="1" s="1"/>
  <c r="V125" i="1" a="1"/>
  <c r="V125" i="1" s="1"/>
  <c r="AI125" i="1"/>
  <c r="AJ125" i="1" s="1" a="1"/>
  <c r="AJ125" i="1" s="1"/>
  <c r="F124" i="1" l="1"/>
  <c r="I124" i="1" s="1"/>
  <c r="J125" i="1" l="1"/>
  <c r="K124" i="1"/>
  <c r="L124" i="1" s="1"/>
  <c r="M124" i="1" s="1"/>
  <c r="H124" i="1" s="1"/>
  <c r="E125" i="1" s="1"/>
  <c r="S125" i="1" l="1"/>
  <c r="D125" i="1"/>
  <c r="R125" i="1"/>
  <c r="C125" i="1"/>
  <c r="U126" i="1" l="1"/>
  <c r="N125" i="1"/>
  <c r="AP125" i="1" s="1"/>
  <c r="O125" i="1"/>
  <c r="AC125" i="1" s="1"/>
  <c r="AD125" i="1"/>
  <c r="AR125" i="1"/>
  <c r="AB125" i="1" l="1"/>
  <c r="AF125" i="1" s="1"/>
  <c r="P125" i="1"/>
  <c r="AQ125" i="1"/>
  <c r="AT125" i="1" s="1"/>
  <c r="Q125" i="1"/>
  <c r="AE125" i="1" l="1"/>
  <c r="AS125" i="1"/>
  <c r="AG125" i="1" l="1"/>
  <c r="AH125" i="1" s="1"/>
  <c r="AU125" i="1"/>
  <c r="AV125" i="1" s="1"/>
  <c r="AI126" i="1"/>
  <c r="AJ126" i="1" s="1" a="1"/>
  <c r="AJ126" i="1" s="1"/>
  <c r="V126" i="1" a="1"/>
  <c r="V126" i="1" s="1"/>
  <c r="F125" i="1" l="1"/>
  <c r="J126" i="1" s="1"/>
  <c r="K125" i="1" l="1"/>
  <c r="L125" i="1" s="1"/>
  <c r="I125" i="1"/>
  <c r="M125" i="1" l="1"/>
  <c r="H125" i="1" s="1"/>
  <c r="E126" i="1" s="1"/>
  <c r="R126" i="1" s="1"/>
  <c r="D126" i="1" l="1"/>
  <c r="O126" i="1" s="1"/>
  <c r="AQ126" i="1" s="1"/>
  <c r="C126" i="1"/>
  <c r="S126" i="1"/>
  <c r="AD126" i="1" s="1"/>
  <c r="U127" i="1" l="1"/>
  <c r="AR126" i="1"/>
  <c r="N126" i="1"/>
  <c r="AB126" i="1" s="1"/>
  <c r="Q126" i="1"/>
  <c r="AC126" i="1"/>
  <c r="AP126" i="1" l="1"/>
  <c r="AT126" i="1" s="1"/>
  <c r="V127" i="1" s="1" a="1"/>
  <c r="V127" i="1" s="1"/>
  <c r="P126" i="1"/>
  <c r="AF126" i="1"/>
  <c r="AI127" i="1"/>
  <c r="AJ127" i="1" s="1" a="1"/>
  <c r="AJ127" i="1" s="1"/>
  <c r="AE126" i="1"/>
  <c r="AS126" i="1" l="1"/>
  <c r="AU126" i="1" s="1"/>
  <c r="AV126" i="1" s="1"/>
  <c r="AG126" i="1"/>
  <c r="AH126" i="1" s="1"/>
  <c r="F126" i="1" l="1"/>
  <c r="I126" i="1" s="1"/>
  <c r="K126" i="1" l="1"/>
  <c r="L126" i="1" s="1"/>
  <c r="M126" i="1" s="1"/>
  <c r="H126" i="1" s="1"/>
  <c r="E127" i="1" s="1"/>
  <c r="R127" i="1" s="1"/>
  <c r="J127" i="1"/>
  <c r="C127" i="1" l="1"/>
  <c r="S127" i="1"/>
  <c r="AD127" i="1" s="1"/>
  <c r="D127" i="1"/>
  <c r="O127" i="1" s="1"/>
  <c r="Q127" i="1" s="1"/>
  <c r="N127" i="1" l="1"/>
  <c r="P127" i="1" s="1"/>
  <c r="AQ127" i="1"/>
  <c r="AC127" i="1"/>
  <c r="U128" i="1"/>
  <c r="AR127" i="1"/>
  <c r="AB127" i="1" l="1"/>
  <c r="AF127" i="1" s="1"/>
  <c r="AP127" i="1"/>
  <c r="AT127" i="1" s="1"/>
  <c r="AI128" i="1"/>
  <c r="AJ128" i="1" s="1" a="1"/>
  <c r="AJ128" i="1" s="1"/>
  <c r="V128" i="1" a="1"/>
  <c r="V128" i="1" s="1"/>
  <c r="AS127" i="1" l="1"/>
  <c r="AE127" i="1"/>
  <c r="AG127" i="1" l="1"/>
  <c r="AH127" i="1" s="1"/>
  <c r="AU127" i="1"/>
  <c r="AV127" i="1" s="1"/>
  <c r="F127" i="1" l="1"/>
  <c r="I127" i="1" s="1"/>
  <c r="J128" i="1" l="1"/>
  <c r="K127" i="1"/>
  <c r="L127" i="1" s="1"/>
  <c r="M127" i="1" s="1"/>
  <c r="H127" i="1" s="1"/>
  <c r="E128" i="1" s="1"/>
  <c r="R128" i="1" s="1"/>
  <c r="C128" i="1" l="1"/>
  <c r="D128" i="1"/>
  <c r="O128" i="1" s="1"/>
  <c r="AC128" i="1" s="1"/>
  <c r="S128" i="1"/>
  <c r="AR128" i="1" s="1"/>
  <c r="N128" i="1" l="1"/>
  <c r="P128" i="1" s="1"/>
  <c r="AD128" i="1"/>
  <c r="U129" i="1"/>
  <c r="V129" i="1" s="1" a="1"/>
  <c r="V129" i="1" s="1"/>
  <c r="Q128" i="1"/>
  <c r="AQ128" i="1"/>
  <c r="AI129" i="1" l="1"/>
  <c r="AJ129" i="1" s="1" a="1"/>
  <c r="AJ129" i="1" s="1"/>
  <c r="AB128" i="1"/>
  <c r="AE128" i="1" s="1"/>
  <c r="AP128" i="1"/>
  <c r="AS128" i="1" s="1"/>
  <c r="AF128" i="1" l="1"/>
  <c r="AG128" i="1" s="1"/>
  <c r="AH128" i="1" s="1"/>
  <c r="AT128" i="1"/>
  <c r="AU128" i="1" s="1"/>
  <c r="AV128" i="1" s="1"/>
  <c r="F128" i="1" l="1"/>
  <c r="K128" i="1" s="1"/>
  <c r="L128" i="1" s="1"/>
  <c r="I128" i="1" l="1"/>
  <c r="M128" i="1" s="1"/>
  <c r="H128" i="1" s="1"/>
  <c r="E129" i="1" s="1"/>
  <c r="J129" i="1"/>
  <c r="S129" i="1" l="1"/>
  <c r="C129" i="1"/>
  <c r="D129" i="1"/>
  <c r="R129" i="1"/>
  <c r="AR129" i="1" l="1"/>
  <c r="N129" i="1"/>
  <c r="AB129" i="1" s="1"/>
  <c r="O129" i="1"/>
  <c r="AC129" i="1" s="1"/>
  <c r="U130" i="1"/>
  <c r="AI130" i="1" s="1"/>
  <c r="AJ130" i="1" s="1" a="1"/>
  <c r="AJ130" i="1" s="1"/>
  <c r="AD129" i="1"/>
  <c r="AE129" i="1" l="1"/>
  <c r="AF129" i="1"/>
  <c r="P129" i="1"/>
  <c r="AP129" i="1"/>
  <c r="Q129" i="1"/>
  <c r="AQ129" i="1"/>
  <c r="AG129" i="1" l="1"/>
  <c r="AH129" i="1" s="1"/>
  <c r="AS129" i="1"/>
  <c r="AT129" i="1"/>
  <c r="V130" i="1" s="1" a="1"/>
  <c r="V130" i="1" s="1"/>
  <c r="AU129" i="1" l="1"/>
  <c r="AV129" i="1" s="1"/>
  <c r="F129" i="1" s="1"/>
  <c r="I129" i="1" s="1"/>
  <c r="K129" i="1" l="1"/>
  <c r="L129" i="1" s="1"/>
  <c r="M129" i="1" s="1"/>
  <c r="H129" i="1" s="1"/>
  <c r="E130" i="1" s="1"/>
  <c r="R130" i="1" s="1"/>
  <c r="J130" i="1"/>
  <c r="S130" i="1" l="1"/>
  <c r="AD130" i="1" s="1"/>
  <c r="D130" i="1"/>
  <c r="O130" i="1" s="1"/>
  <c r="Q130" i="1" s="1"/>
  <c r="C130" i="1"/>
  <c r="AR130" i="1" l="1"/>
  <c r="U131" i="1"/>
  <c r="AI131" i="1" s="1"/>
  <c r="AJ131" i="1" s="1" a="1"/>
  <c r="AJ131" i="1" s="1"/>
  <c r="N130" i="1"/>
  <c r="AB130" i="1" s="1"/>
  <c r="AQ130" i="1"/>
  <c r="AC130" i="1"/>
  <c r="V131" i="1" l="1" a="1"/>
  <c r="V131" i="1" s="1"/>
  <c r="AP130" i="1"/>
  <c r="AS130" i="1" s="1"/>
  <c r="P130" i="1"/>
  <c r="AF130" i="1"/>
  <c r="AE130" i="1"/>
  <c r="AT130" i="1" l="1"/>
  <c r="AU130" i="1" s="1"/>
  <c r="AV130" i="1" s="1"/>
  <c r="AG130" i="1"/>
  <c r="AH130" i="1" s="1"/>
  <c r="F130" i="1" l="1"/>
  <c r="I130" i="1" s="1"/>
  <c r="K130" i="1" l="1"/>
  <c r="L130" i="1" s="1"/>
  <c r="M130" i="1" s="1"/>
  <c r="H130" i="1" s="1"/>
  <c r="E131" i="1" s="1"/>
  <c r="C131" i="1" s="1"/>
  <c r="J131" i="1"/>
  <c r="D131" i="1" l="1"/>
  <c r="U132" i="1" s="1"/>
  <c r="V132" i="1" s="1" a="1"/>
  <c r="V132" i="1" s="1"/>
  <c r="R131" i="1"/>
  <c r="S131" i="1"/>
  <c r="N131" i="1" s="1"/>
  <c r="P131" i="1" s="1"/>
  <c r="AI132" i="1" l="1"/>
  <c r="AJ132" i="1" s="1" a="1"/>
  <c r="AJ132" i="1" s="1"/>
  <c r="O131" i="1"/>
  <c r="AQ131" i="1" s="1"/>
  <c r="AR131" i="1"/>
  <c r="AB131" i="1"/>
  <c r="AP131" i="1"/>
  <c r="AD131" i="1"/>
  <c r="Q131" i="1" l="1"/>
  <c r="AC131" i="1"/>
  <c r="AF131" i="1" s="1"/>
  <c r="AT131" i="1"/>
  <c r="AS131" i="1"/>
  <c r="AU131" i="1" s="1"/>
  <c r="AV131" i="1" s="1"/>
  <c r="AE131" i="1" l="1"/>
  <c r="AG131" i="1" s="1"/>
  <c r="AH131" i="1" s="1"/>
  <c r="F131" i="1" s="1"/>
  <c r="I131" i="1" s="1"/>
  <c r="J132" i="1" l="1"/>
  <c r="K131" i="1"/>
  <c r="L131" i="1" s="1"/>
  <c r="M131" i="1" s="1"/>
  <c r="H131" i="1" s="1"/>
  <c r="E132" i="1" s="1"/>
  <c r="R132" i="1" s="1"/>
  <c r="C132" i="1" l="1"/>
  <c r="D132" i="1"/>
  <c r="O132" i="1" s="1"/>
  <c r="AC132" i="1" s="1"/>
  <c r="S132" i="1"/>
  <c r="AR132" i="1" s="1"/>
  <c r="U133" i="1" l="1"/>
  <c r="V133" i="1" s="1" a="1"/>
  <c r="V133" i="1" s="1"/>
  <c r="Q132" i="1"/>
  <c r="AQ132" i="1"/>
  <c r="AD132" i="1"/>
  <c r="N132" i="1"/>
  <c r="P132" i="1" s="1"/>
  <c r="AP132" i="1" l="1"/>
  <c r="AT132" i="1" s="1"/>
  <c r="AI133" i="1" s="1"/>
  <c r="AJ133" i="1" s="1" a="1"/>
  <c r="AJ133" i="1" s="1"/>
  <c r="AB132" i="1"/>
  <c r="AE132" i="1" s="1"/>
  <c r="AF132" i="1" l="1"/>
  <c r="AS132" i="1"/>
  <c r="AG132" i="1" l="1"/>
  <c r="AH132" i="1" s="1"/>
  <c r="AU132" i="1"/>
  <c r="AV132" i="1" s="1"/>
  <c r="F132" i="1" l="1"/>
  <c r="I132" i="1" s="1"/>
  <c r="K132" i="1" l="1"/>
  <c r="L132" i="1" s="1"/>
  <c r="M132" i="1" s="1"/>
  <c r="H132" i="1" s="1"/>
  <c r="E133" i="1" s="1"/>
  <c r="R133" i="1" s="1"/>
  <c r="J133" i="1"/>
  <c r="S133" i="1" l="1"/>
  <c r="AR133" i="1" s="1"/>
  <c r="D133" i="1"/>
  <c r="O133" i="1" s="1"/>
  <c r="AQ133" i="1" s="1"/>
  <c r="C133" i="1"/>
  <c r="AD133" i="1" l="1"/>
  <c r="U134" i="1"/>
  <c r="AI134" i="1" s="1"/>
  <c r="AJ134" i="1" s="1" a="1"/>
  <c r="AJ134" i="1" s="1"/>
  <c r="N133" i="1"/>
  <c r="AB133" i="1" s="1"/>
  <c r="Q133" i="1"/>
  <c r="AC133" i="1"/>
  <c r="AP133" i="1" l="1"/>
  <c r="AS133" i="1" s="1"/>
  <c r="P133" i="1"/>
  <c r="AF133" i="1"/>
  <c r="V134" i="1" a="1"/>
  <c r="V134" i="1" s="1"/>
  <c r="AE133" i="1"/>
  <c r="AT133" i="1" l="1"/>
  <c r="AU133" i="1" s="1"/>
  <c r="AV133" i="1" s="1"/>
  <c r="AG133" i="1"/>
  <c r="AH133" i="1" s="1"/>
  <c r="F133" i="1" l="1"/>
  <c r="I133" i="1" s="1"/>
  <c r="K133" i="1" l="1"/>
  <c r="L133" i="1" s="1"/>
  <c r="M133" i="1" s="1"/>
  <c r="H133" i="1" s="1"/>
  <c r="E134" i="1" s="1"/>
  <c r="D134" i="1" s="1"/>
  <c r="J134" i="1"/>
  <c r="S134" i="1" l="1"/>
  <c r="R134" i="1"/>
  <c r="O134" i="1" s="1"/>
  <c r="AQ134" i="1" s="1"/>
  <c r="C134" i="1"/>
  <c r="U135" i="1" s="1"/>
  <c r="AI135" i="1" s="1"/>
  <c r="AJ135" i="1" s="1" a="1"/>
  <c r="AJ135" i="1" s="1"/>
  <c r="AC134" i="1" l="1"/>
  <c r="AD134" i="1"/>
  <c r="AR134" i="1"/>
  <c r="V135" i="1" a="1"/>
  <c r="V135" i="1" s="1"/>
  <c r="N134" i="1"/>
  <c r="AB134" i="1" s="1"/>
  <c r="Q134" i="1"/>
  <c r="AF134" i="1" l="1"/>
  <c r="AE134" i="1"/>
  <c r="P134" i="1"/>
  <c r="AP134" i="1"/>
  <c r="AS134" i="1" s="1"/>
  <c r="AG134" i="1" l="1"/>
  <c r="AH134" i="1" s="1"/>
  <c r="AT134" i="1"/>
  <c r="AU134" i="1" s="1"/>
  <c r="AV134" i="1" s="1"/>
  <c r="F134" i="1" l="1"/>
  <c r="K134" i="1" s="1"/>
  <c r="L134" i="1" s="1"/>
  <c r="J135" i="1" l="1"/>
  <c r="I134" i="1"/>
  <c r="M134" i="1" s="1"/>
  <c r="H134" i="1" s="1"/>
  <c r="E135" i="1" s="1"/>
  <c r="D135" i="1" s="1"/>
  <c r="R135" i="1" l="1"/>
  <c r="O135" i="1" s="1"/>
  <c r="AQ135" i="1" s="1"/>
  <c r="S135" i="1"/>
  <c r="C135" i="1"/>
  <c r="U136" i="1" s="1"/>
  <c r="AI136" i="1" s="1"/>
  <c r="AJ136" i="1" s="1" a="1"/>
  <c r="AJ136" i="1" s="1"/>
  <c r="AC135" i="1" l="1"/>
  <c r="AD135" i="1"/>
  <c r="Q135" i="1"/>
  <c r="AR135" i="1"/>
  <c r="N135" i="1"/>
  <c r="AP135" i="1" s="1"/>
  <c r="AT135" i="1" s="1"/>
  <c r="V136" i="1" s="1" a="1"/>
  <c r="V136" i="1" s="1"/>
  <c r="AS135" i="1" l="1"/>
  <c r="AU135" i="1" s="1"/>
  <c r="AV135" i="1" s="1"/>
  <c r="AB135" i="1"/>
  <c r="AF135" i="1" s="1"/>
  <c r="P135" i="1"/>
  <c r="AE135" i="1" l="1"/>
  <c r="AG135" i="1" s="1"/>
  <c r="AH135" i="1" s="1"/>
  <c r="F135" i="1" s="1"/>
  <c r="I135" i="1" s="1"/>
  <c r="J136" i="1" l="1"/>
  <c r="K135" i="1"/>
  <c r="L135" i="1" s="1"/>
  <c r="M135" i="1" s="1"/>
  <c r="H135" i="1" s="1"/>
  <c r="E136" i="1" s="1"/>
  <c r="S136" i="1" s="1"/>
  <c r="D136" i="1" l="1"/>
  <c r="C136" i="1"/>
  <c r="N136" i="1" s="1"/>
  <c r="P136" i="1" s="1"/>
  <c r="R136" i="1"/>
  <c r="AR136" i="1" s="1"/>
  <c r="AB136" i="1" l="1"/>
  <c r="U137" i="1"/>
  <c r="AI137" i="1" s="1"/>
  <c r="AJ137" i="1" s="1" a="1"/>
  <c r="AJ137" i="1" s="1"/>
  <c r="AP136" i="1"/>
  <c r="AD136" i="1"/>
  <c r="O136" i="1"/>
  <c r="AQ136" i="1" s="1"/>
  <c r="AT136" i="1" l="1"/>
  <c r="V137" i="1" a="1"/>
  <c r="V137" i="1" s="1"/>
  <c r="AS136" i="1"/>
  <c r="Q136" i="1"/>
  <c r="AC136" i="1"/>
  <c r="AF136" i="1" s="1"/>
  <c r="AU136" i="1" l="1"/>
  <c r="AV136" i="1" s="1"/>
  <c r="AE136" i="1"/>
  <c r="AG136" i="1" l="1"/>
  <c r="AH136" i="1" s="1"/>
  <c r="F136" i="1" s="1"/>
  <c r="J137" i="1" s="1"/>
  <c r="I136" i="1" l="1"/>
  <c r="K136" i="1"/>
  <c r="L136" i="1" s="1"/>
  <c r="M136" i="1" l="1"/>
  <c r="H136" i="1" s="1"/>
  <c r="E137" i="1" s="1"/>
  <c r="S137" i="1" s="1"/>
  <c r="C137" i="1" l="1"/>
  <c r="N137" i="1" s="1"/>
  <c r="AP137" i="1" s="1"/>
  <c r="R137" i="1"/>
  <c r="AD137" i="1" s="1"/>
  <c r="D137" i="1"/>
  <c r="P137" i="1" l="1"/>
  <c r="AB137" i="1"/>
  <c r="U138" i="1"/>
  <c r="AI138" i="1" s="1"/>
  <c r="AJ138" i="1" s="1" a="1"/>
  <c r="AJ138" i="1" s="1"/>
  <c r="O137" i="1"/>
  <c r="Q137" i="1" s="1"/>
  <c r="AR137" i="1"/>
  <c r="V138" i="1" l="1" a="1"/>
  <c r="V138" i="1" s="1"/>
  <c r="AQ137" i="1"/>
  <c r="AS137" i="1" s="1"/>
  <c r="AC137" i="1"/>
  <c r="AE137" i="1" s="1"/>
  <c r="AT137" i="1" l="1"/>
  <c r="AF137" i="1"/>
  <c r="AG137" i="1" l="1"/>
  <c r="AH137" i="1" s="1"/>
  <c r="AU137" i="1"/>
  <c r="AV137" i="1" s="1"/>
  <c r="F137" i="1" l="1"/>
  <c r="K137" i="1" s="1"/>
  <c r="L137" i="1" s="1"/>
  <c r="I137" i="1" l="1"/>
  <c r="M137" i="1" s="1"/>
  <c r="H137" i="1" s="1"/>
  <c r="E138" i="1" s="1"/>
  <c r="C138" i="1" s="1"/>
  <c r="J138" i="1"/>
  <c r="R138" i="1" l="1"/>
  <c r="S138" i="1"/>
  <c r="N138" i="1" s="1"/>
  <c r="P138" i="1" s="1"/>
  <c r="D138" i="1"/>
  <c r="O138" i="1" l="1"/>
  <c r="AC138" i="1" s="1"/>
  <c r="AR138" i="1"/>
  <c r="AB138" i="1"/>
  <c r="AD138" i="1"/>
  <c r="U139" i="1"/>
  <c r="AI139" i="1" s="1"/>
  <c r="AJ139" i="1" s="1" a="1"/>
  <c r="AJ139" i="1" s="1"/>
  <c r="AP138" i="1"/>
  <c r="AQ138" i="1" l="1"/>
  <c r="AT138" i="1" s="1"/>
  <c r="Q138" i="1"/>
  <c r="AF138" i="1"/>
  <c r="AE138" i="1"/>
  <c r="V139" i="1" a="1"/>
  <c r="V139" i="1" s="1"/>
  <c r="AG138" i="1" l="1"/>
  <c r="AH138" i="1" s="1"/>
  <c r="AS138" i="1"/>
  <c r="AU138" i="1" s="1"/>
  <c r="AV138" i="1" s="1"/>
  <c r="F138" i="1" l="1"/>
  <c r="I138" i="1" s="1"/>
  <c r="J139" i="1" l="1"/>
  <c r="K138" i="1"/>
  <c r="L138" i="1" s="1"/>
  <c r="M138" i="1" s="1"/>
  <c r="H138" i="1" s="1"/>
  <c r="E139" i="1" s="1"/>
  <c r="S139" i="1" s="1"/>
  <c r="R139" i="1" l="1"/>
  <c r="AR139" i="1" s="1"/>
  <c r="C139" i="1"/>
  <c r="N139" i="1" s="1"/>
  <c r="P139" i="1" s="1"/>
  <c r="D139" i="1"/>
  <c r="U140" i="1" l="1"/>
  <c r="AI140" i="1" s="1"/>
  <c r="AJ140" i="1" s="1" a="1"/>
  <c r="AJ140" i="1" s="1"/>
  <c r="AB139" i="1"/>
  <c r="AD139" i="1"/>
  <c r="AP139" i="1"/>
  <c r="O139" i="1"/>
  <c r="Q139" i="1" s="1"/>
  <c r="V140" i="1" l="1" a="1"/>
  <c r="V140" i="1" s="1"/>
  <c r="AQ139" i="1"/>
  <c r="AS139" i="1" s="1"/>
  <c r="AC139" i="1"/>
  <c r="AE139" i="1" s="1"/>
  <c r="AT139" i="1" l="1"/>
  <c r="AF139" i="1"/>
  <c r="AG139" i="1" l="1"/>
  <c r="AH139" i="1" s="1"/>
  <c r="AU139" i="1"/>
  <c r="AV139" i="1" s="1"/>
  <c r="F139" i="1" l="1"/>
  <c r="K139" i="1" s="1"/>
  <c r="L139" i="1" s="1"/>
  <c r="J140" i="1" l="1"/>
  <c r="I139" i="1"/>
  <c r="M139" i="1" s="1"/>
  <c r="H139" i="1" s="1"/>
  <c r="E140" i="1" s="1"/>
  <c r="R140" i="1" s="1"/>
  <c r="C140" i="1" l="1"/>
  <c r="S140" i="1"/>
  <c r="AR140" i="1" s="1"/>
  <c r="D140" i="1"/>
  <c r="O140" i="1" s="1"/>
  <c r="AC140" i="1" s="1"/>
  <c r="N140" i="1" l="1"/>
  <c r="AP140" i="1" s="1"/>
  <c r="AD140" i="1"/>
  <c r="U141" i="1"/>
  <c r="AI141" i="1" s="1"/>
  <c r="AJ141" i="1" s="1" a="1"/>
  <c r="AJ141" i="1" s="1"/>
  <c r="Q140" i="1"/>
  <c r="AQ140" i="1"/>
  <c r="P140" i="1" l="1"/>
  <c r="AB140" i="1"/>
  <c r="AF140" i="1" s="1"/>
  <c r="V141" i="1" a="1"/>
  <c r="V141" i="1" s="1"/>
  <c r="AS140" i="1"/>
  <c r="AT140" i="1"/>
  <c r="AE140" i="1" l="1"/>
  <c r="AG140" i="1" s="1"/>
  <c r="AH140" i="1" s="1"/>
  <c r="AU140" i="1"/>
  <c r="AV140" i="1" s="1"/>
  <c r="F140" i="1" l="1"/>
  <c r="I140" i="1" l="1"/>
  <c r="K140" i="1"/>
  <c r="L140" i="1" s="1"/>
  <c r="J141" i="1"/>
  <c r="M140" i="1" l="1"/>
  <c r="H140" i="1" s="1"/>
  <c r="E141" i="1" s="1"/>
  <c r="S141" i="1" s="1"/>
  <c r="D141" i="1" l="1"/>
  <c r="R141" i="1"/>
  <c r="AR141" i="1" s="1"/>
  <c r="C141" i="1"/>
  <c r="N141" i="1" s="1"/>
  <c r="P141" i="1" s="1"/>
  <c r="O141" i="1" l="1"/>
  <c r="AQ141" i="1" s="1"/>
  <c r="AD141" i="1"/>
  <c r="U142" i="1"/>
  <c r="V142" i="1" s="1" a="1"/>
  <c r="V142" i="1" s="1"/>
  <c r="AP141" i="1"/>
  <c r="AB141" i="1"/>
  <c r="AC141" i="1" l="1"/>
  <c r="AE141" i="1" s="1"/>
  <c r="AS141" i="1"/>
  <c r="AT141" i="1"/>
  <c r="Q141" i="1"/>
  <c r="AI142" i="1"/>
  <c r="AJ142" i="1" s="1" a="1"/>
  <c r="AJ142" i="1" s="1"/>
  <c r="AU141" i="1" l="1"/>
  <c r="AV141" i="1" s="1"/>
  <c r="AF141" i="1"/>
  <c r="AG141" i="1" l="1"/>
  <c r="AH141" i="1" s="1"/>
  <c r="F141" i="1" s="1"/>
  <c r="K141" i="1" s="1"/>
  <c r="L141" i="1" s="1"/>
  <c r="I141" i="1" l="1"/>
  <c r="M141" i="1" s="1"/>
  <c r="H141" i="1" s="1"/>
  <c r="E142" i="1" s="1"/>
  <c r="R142" i="1" s="1"/>
  <c r="J142" i="1"/>
  <c r="C142" i="1" l="1"/>
  <c r="S142" i="1"/>
  <c r="AR142" i="1" s="1"/>
  <c r="D142" i="1"/>
  <c r="O142" i="1" s="1"/>
  <c r="AC142" i="1" s="1"/>
  <c r="N142" i="1" l="1"/>
  <c r="P142" i="1" s="1"/>
  <c r="AD142" i="1"/>
  <c r="Q142" i="1"/>
  <c r="AQ142" i="1"/>
  <c r="U143" i="1"/>
  <c r="V143" i="1" s="1" a="1"/>
  <c r="V143" i="1" s="1"/>
  <c r="AP142" i="1" l="1"/>
  <c r="AT142" i="1" s="1"/>
  <c r="AB142" i="1"/>
  <c r="AE142" i="1" s="1"/>
  <c r="AI143" i="1"/>
  <c r="AJ143" i="1" s="1" a="1"/>
  <c r="AJ143" i="1" s="1"/>
  <c r="AS142" i="1" l="1"/>
  <c r="AF142" i="1"/>
  <c r="AG142" i="1" l="1"/>
  <c r="AH142" i="1" s="1"/>
  <c r="AU142" i="1"/>
  <c r="AV142" i="1" s="1"/>
  <c r="F142" i="1" l="1"/>
  <c r="K142" i="1" s="1"/>
  <c r="L142" i="1" s="1"/>
  <c r="I142" i="1" l="1"/>
  <c r="M142" i="1" s="1"/>
  <c r="H142" i="1" s="1"/>
  <c r="E143" i="1" s="1"/>
  <c r="J143" i="1"/>
  <c r="S143" i="1" l="1"/>
  <c r="R143" i="1"/>
  <c r="D143" i="1"/>
  <c r="C143" i="1"/>
  <c r="N143" i="1" l="1"/>
  <c r="P143" i="1" s="1"/>
  <c r="AD143" i="1"/>
  <c r="O143" i="1"/>
  <c r="Q143" i="1" s="1"/>
  <c r="U144" i="1"/>
  <c r="V144" i="1" s="1" a="1"/>
  <c r="V144" i="1" s="1"/>
  <c r="AR143" i="1"/>
  <c r="AB143" i="1" l="1"/>
  <c r="AP143" i="1"/>
  <c r="AQ143" i="1"/>
  <c r="AC143" i="1"/>
  <c r="AI144" i="1"/>
  <c r="AJ144" i="1" s="1" a="1"/>
  <c r="AJ144" i="1" s="1"/>
  <c r="AE143" i="1" l="1"/>
  <c r="AS143" i="1"/>
  <c r="AT143" i="1"/>
  <c r="AF143" i="1"/>
  <c r="AG143" i="1" l="1"/>
  <c r="AH143" i="1" s="1"/>
  <c r="AU143" i="1"/>
  <c r="AV143" i="1" s="1"/>
  <c r="F143" i="1" l="1"/>
  <c r="K143" i="1" s="1"/>
  <c r="L143" i="1" s="1"/>
  <c r="I143" i="1" l="1"/>
  <c r="J144" i="1"/>
  <c r="M143" i="1"/>
  <c r="H143" i="1" s="1"/>
  <c r="E144" i="1" s="1"/>
  <c r="S144" i="1" s="1"/>
  <c r="R144" i="1" l="1"/>
  <c r="AR144" i="1" s="1"/>
  <c r="D144" i="1"/>
  <c r="C144" i="1"/>
  <c r="N144" i="1" s="1"/>
  <c r="AB144" i="1" s="1"/>
  <c r="O144" i="1"/>
  <c r="Q144" i="1" s="1"/>
  <c r="AD144" i="1"/>
  <c r="AP144" i="1" l="1"/>
  <c r="U145" i="1"/>
  <c r="AI145" i="1" s="1"/>
  <c r="AJ145" i="1" s="1" a="1"/>
  <c r="AJ145" i="1" s="1"/>
  <c r="P144" i="1"/>
  <c r="V145" i="1" a="1"/>
  <c r="V145" i="1" s="1"/>
  <c r="AC144" i="1"/>
  <c r="AE144" i="1" s="1"/>
  <c r="AQ144" i="1"/>
  <c r="AS144" i="1" s="1"/>
  <c r="AT144" i="1" l="1"/>
  <c r="AU144" i="1" s="1"/>
  <c r="AV144" i="1" s="1"/>
  <c r="AF144" i="1"/>
  <c r="AG144" i="1" s="1"/>
  <c r="AH144" i="1" s="1"/>
  <c r="F144" i="1" l="1"/>
  <c r="I144" i="1" s="1"/>
  <c r="K144" i="1" l="1"/>
  <c r="L144" i="1" s="1"/>
  <c r="M144" i="1" s="1"/>
  <c r="H144" i="1" s="1"/>
  <c r="E145" i="1" s="1"/>
  <c r="R145" i="1" s="1"/>
  <c r="J145" i="1"/>
  <c r="S145" i="1" l="1"/>
  <c r="AD145" i="1" s="1"/>
  <c r="C145" i="1"/>
  <c r="D145" i="1"/>
  <c r="O145" i="1" s="1"/>
  <c r="AC145" i="1" s="1"/>
  <c r="AQ145" i="1" l="1"/>
  <c r="Q145" i="1"/>
  <c r="U146" i="1"/>
  <c r="V146" i="1" s="1" a="1"/>
  <c r="V146" i="1" s="1"/>
  <c r="AR145" i="1"/>
  <c r="N145" i="1"/>
  <c r="AP145" i="1" s="1"/>
  <c r="AT145" i="1" l="1"/>
  <c r="AI146" i="1"/>
  <c r="AJ146" i="1" s="1" a="1"/>
  <c r="AJ146" i="1" s="1"/>
  <c r="AS145" i="1"/>
  <c r="P145" i="1"/>
  <c r="AB145" i="1"/>
  <c r="AE145" i="1" s="1"/>
  <c r="AU145" i="1" l="1"/>
  <c r="AV145" i="1" s="1"/>
  <c r="AF145" i="1"/>
  <c r="AG145" i="1" s="1"/>
  <c r="AH145" i="1" s="1"/>
  <c r="F145" i="1" l="1"/>
  <c r="I145" i="1" s="1"/>
  <c r="K145" i="1" l="1"/>
  <c r="L145" i="1" s="1"/>
  <c r="M145" i="1" s="1"/>
  <c r="H145" i="1" s="1"/>
  <c r="E146" i="1" s="1"/>
  <c r="R146" i="1" s="1"/>
  <c r="J146" i="1"/>
  <c r="C146" i="1" l="1"/>
  <c r="S146" i="1"/>
  <c r="AD146" i="1" s="1"/>
  <c r="D146" i="1"/>
  <c r="O146" i="1" s="1"/>
  <c r="AQ146" i="1" s="1"/>
  <c r="AR146" i="1" l="1"/>
  <c r="N146" i="1"/>
  <c r="AP146" i="1" s="1"/>
  <c r="AC146" i="1"/>
  <c r="Q146" i="1"/>
  <c r="U147" i="1"/>
  <c r="V147" i="1" s="1" a="1"/>
  <c r="V147" i="1" s="1"/>
  <c r="AB146" i="1" l="1"/>
  <c r="AT146" i="1"/>
  <c r="AS146" i="1"/>
  <c r="AU146" i="1" s="1"/>
  <c r="AV146" i="1" s="1"/>
  <c r="P146" i="1"/>
  <c r="AE146" i="1"/>
  <c r="AI147" i="1"/>
  <c r="AJ147" i="1" s="1" a="1"/>
  <c r="AJ147" i="1" s="1"/>
  <c r="AF146" i="1"/>
  <c r="AG146" i="1" l="1"/>
  <c r="AH146" i="1" s="1"/>
  <c r="F146" i="1" s="1"/>
  <c r="J147" i="1" s="1"/>
  <c r="K146" i="1" l="1"/>
  <c r="L146" i="1" s="1"/>
  <c r="I146" i="1"/>
  <c r="M146" i="1" l="1"/>
  <c r="H146" i="1" s="1"/>
  <c r="E147" i="1" s="1"/>
  <c r="R147" i="1" s="1"/>
  <c r="C147" i="1" l="1"/>
  <c r="S147" i="1"/>
  <c r="AD147" i="1" s="1"/>
  <c r="D147" i="1"/>
  <c r="O147" i="1" s="1"/>
  <c r="Q147" i="1" s="1"/>
  <c r="AR147" i="1" l="1"/>
  <c r="U148" i="1"/>
  <c r="V148" i="1" s="1" a="1"/>
  <c r="V148" i="1" s="1"/>
  <c r="N147" i="1"/>
  <c r="AB147" i="1" s="1"/>
  <c r="AC147" i="1"/>
  <c r="AQ147" i="1"/>
  <c r="AF147" i="1" l="1"/>
  <c r="AI148" i="1"/>
  <c r="AJ148" i="1" s="1" a="1"/>
  <c r="AJ148" i="1" s="1"/>
  <c r="P147" i="1"/>
  <c r="AP147" i="1"/>
  <c r="AT147" i="1" s="1"/>
  <c r="AE147" i="1"/>
  <c r="AG147" i="1" l="1"/>
  <c r="AH147" i="1" s="1"/>
  <c r="AS147" i="1"/>
  <c r="AU147" i="1" l="1"/>
  <c r="AV147" i="1" s="1"/>
  <c r="F147" i="1" s="1"/>
  <c r="I147" i="1" s="1"/>
  <c r="J148" i="1" l="1"/>
  <c r="K147" i="1"/>
  <c r="L147" i="1" s="1"/>
  <c r="M147" i="1" s="1"/>
  <c r="H147" i="1" s="1"/>
  <c r="E148" i="1" s="1"/>
  <c r="S148" i="1" s="1"/>
  <c r="C148" i="1" l="1"/>
  <c r="N148" i="1" s="1"/>
  <c r="AB148" i="1" s="1"/>
  <c r="R148" i="1"/>
  <c r="AR148" i="1" s="1"/>
  <c r="D148" i="1"/>
  <c r="P148" i="1" l="1"/>
  <c r="AP148" i="1"/>
  <c r="O148" i="1"/>
  <c r="AC148" i="1" s="1"/>
  <c r="AD148" i="1"/>
  <c r="U149" i="1"/>
  <c r="AI149" i="1" s="1"/>
  <c r="AJ149" i="1" s="1" a="1"/>
  <c r="AJ149" i="1" s="1"/>
  <c r="AE148" i="1" l="1"/>
  <c r="Q148" i="1"/>
  <c r="AF148" i="1"/>
  <c r="V149" i="1" a="1"/>
  <c r="V149" i="1" s="1"/>
  <c r="AQ148" i="1"/>
  <c r="AS148" i="1" s="1"/>
  <c r="AG148" i="1" l="1"/>
  <c r="AH148" i="1" s="1"/>
  <c r="AT148" i="1"/>
  <c r="AU148" i="1" l="1"/>
  <c r="AV148" i="1" s="1"/>
  <c r="F148" i="1" s="1"/>
  <c r="J149" i="1" s="1"/>
  <c r="I148" i="1" l="1"/>
  <c r="K148" i="1"/>
  <c r="L148" i="1" s="1"/>
  <c r="M148" i="1" l="1"/>
  <c r="H148" i="1" s="1"/>
  <c r="E149" i="1" s="1"/>
  <c r="C149" i="1" s="1"/>
  <c r="S149" i="1" l="1"/>
  <c r="N149" i="1" s="1"/>
  <c r="P149" i="1" s="1"/>
  <c r="D149" i="1"/>
  <c r="U150" i="1" s="1"/>
  <c r="AI150" i="1" s="1"/>
  <c r="AJ150" i="1" s="1" a="1"/>
  <c r="AJ150" i="1" s="1"/>
  <c r="R149" i="1"/>
  <c r="AB149" i="1" l="1"/>
  <c r="AP149" i="1"/>
  <c r="AR149" i="1"/>
  <c r="AD149" i="1"/>
  <c r="O149" i="1"/>
  <c r="AC149" i="1" s="1"/>
  <c r="V150" i="1" a="1"/>
  <c r="V150" i="1" s="1"/>
  <c r="AF149" i="1" l="1"/>
  <c r="AQ149" i="1"/>
  <c r="AS149" i="1" s="1"/>
  <c r="Q149" i="1"/>
  <c r="AE149" i="1"/>
  <c r="AG149" i="1" l="1"/>
  <c r="AH149" i="1" s="1"/>
  <c r="AT149" i="1"/>
  <c r="AU149" i="1" l="1"/>
  <c r="AV149" i="1" s="1"/>
  <c r="F149" i="1" s="1"/>
  <c r="I149" i="1" s="1"/>
  <c r="J150" i="1" l="1"/>
  <c r="K149" i="1"/>
  <c r="L149" i="1" s="1"/>
  <c r="M149" i="1" s="1"/>
  <c r="H149" i="1" s="1"/>
  <c r="E150" i="1" s="1"/>
  <c r="R150" i="1" s="1"/>
  <c r="C150" i="1" l="1"/>
  <c r="D150" i="1"/>
  <c r="S150" i="1"/>
  <c r="AD150" i="1" s="1"/>
  <c r="U151" i="1" l="1"/>
  <c r="AI151" i="1" s="1"/>
  <c r="AJ151" i="1" s="1" a="1"/>
  <c r="AJ151" i="1" s="1"/>
  <c r="O150" i="1"/>
  <c r="Q150" i="1" s="1"/>
  <c r="AR150" i="1"/>
  <c r="N150" i="1"/>
  <c r="AP150" i="1" s="1"/>
  <c r="AC150" i="1" l="1"/>
  <c r="AQ150" i="1"/>
  <c r="AS150" i="1" s="1"/>
  <c r="P150" i="1"/>
  <c r="AB150" i="1"/>
  <c r="AT150" i="1" l="1"/>
  <c r="V151" i="1" s="1" a="1"/>
  <c r="V151" i="1" s="1"/>
  <c r="AF150" i="1"/>
  <c r="AE150" i="1"/>
  <c r="AG150" i="1" l="1"/>
  <c r="AH150" i="1" s="1"/>
  <c r="AU150" i="1"/>
  <c r="AV150" i="1" s="1"/>
  <c r="F150" i="1" l="1"/>
  <c r="K150" i="1" s="1"/>
  <c r="L150" i="1" s="1"/>
  <c r="I150" i="1" l="1"/>
  <c r="M150" i="1" s="1"/>
  <c r="H150" i="1" s="1"/>
  <c r="E151" i="1" s="1"/>
  <c r="R151" i="1" s="1"/>
  <c r="J151" i="1"/>
  <c r="S151" i="1" l="1"/>
  <c r="AR151" i="1" s="1"/>
  <c r="D151" i="1"/>
  <c r="O151" i="1" s="1"/>
  <c r="C151" i="1"/>
  <c r="N151" i="1" l="1"/>
  <c r="P151" i="1" s="1"/>
  <c r="AD151" i="1"/>
  <c r="U152" i="1"/>
  <c r="V152" i="1" s="1" a="1"/>
  <c r="V152" i="1" s="1"/>
  <c r="AQ151" i="1"/>
  <c r="Q151" i="1"/>
  <c r="AC151" i="1"/>
  <c r="AB151" i="1" l="1"/>
  <c r="AF151" i="1" s="1"/>
  <c r="AP151" i="1"/>
  <c r="AT151" i="1" s="1"/>
  <c r="AI152" i="1" s="1"/>
  <c r="AJ152" i="1" s="1" a="1"/>
  <c r="AJ152" i="1" s="1"/>
  <c r="AE151" i="1" l="1"/>
  <c r="AS151" i="1"/>
  <c r="AG151" i="1" l="1"/>
  <c r="AH151" i="1" s="1"/>
  <c r="AU151" i="1"/>
  <c r="AV151" i="1" s="1"/>
  <c r="F151" i="1" l="1"/>
  <c r="J152" i="1" s="1"/>
  <c r="I151" i="1" l="1"/>
  <c r="K151" i="1"/>
  <c r="L151" i="1" s="1"/>
  <c r="M151" i="1" l="1"/>
  <c r="H151" i="1" s="1"/>
  <c r="E152" i="1" s="1"/>
  <c r="C152" i="1" s="1"/>
  <c r="D152" i="1" l="1"/>
  <c r="U153" i="1" s="1"/>
  <c r="V153" i="1" s="1" a="1"/>
  <c r="V153" i="1" s="1"/>
  <c r="S152" i="1"/>
  <c r="N152" i="1" s="1"/>
  <c r="R152" i="1"/>
  <c r="O152" i="1" l="1"/>
  <c r="AQ152" i="1" s="1"/>
  <c r="AR152" i="1"/>
  <c r="AD152" i="1"/>
  <c r="AB152" i="1"/>
  <c r="AP152" i="1"/>
  <c r="P152" i="1"/>
  <c r="Q152" i="1" l="1"/>
  <c r="AC152" i="1"/>
  <c r="AF152" i="1" s="1"/>
  <c r="AT152" i="1"/>
  <c r="AI153" i="1" s="1"/>
  <c r="AJ153" i="1" s="1" a="1"/>
  <c r="AJ153" i="1" s="1"/>
  <c r="AS152" i="1"/>
  <c r="AE152" i="1" l="1"/>
  <c r="AG152" i="1" s="1"/>
  <c r="AH152" i="1" s="1"/>
  <c r="AU152" i="1"/>
  <c r="AV152" i="1" s="1"/>
  <c r="F152" i="1" l="1"/>
  <c r="J153" i="1" l="1"/>
  <c r="K152" i="1"/>
  <c r="L152" i="1" s="1"/>
  <c r="I152" i="1"/>
  <c r="M152" i="1" l="1"/>
  <c r="H152" i="1" s="1"/>
  <c r="E153" i="1" s="1"/>
  <c r="C153" i="1" s="1"/>
  <c r="D153" i="1" l="1"/>
  <c r="U154" i="1" s="1"/>
  <c r="V154" i="1" s="1" a="1"/>
  <c r="V154" i="1" s="1"/>
  <c r="S153" i="1"/>
  <c r="N153" i="1" s="1"/>
  <c r="P153" i="1" s="1"/>
  <c r="R153" i="1"/>
  <c r="AD153" i="1" l="1"/>
  <c r="AI154" i="1"/>
  <c r="AJ154" i="1" s="1" a="1"/>
  <c r="AJ154" i="1" s="1"/>
  <c r="O153" i="1"/>
  <c r="Q153" i="1" s="1"/>
  <c r="AP153" i="1"/>
  <c r="AB153" i="1"/>
  <c r="AR153" i="1"/>
  <c r="AC153" i="1" l="1"/>
  <c r="AF153" i="1" s="1"/>
  <c r="AQ153" i="1"/>
  <c r="AT153" i="1" s="1"/>
  <c r="AE153" i="1" l="1"/>
  <c r="AS153" i="1"/>
  <c r="AG153" i="1" l="1"/>
  <c r="AH153" i="1" s="1"/>
  <c r="AU153" i="1"/>
  <c r="AV153" i="1" s="1"/>
  <c r="F153" i="1" l="1"/>
  <c r="K153" i="1" s="1"/>
  <c r="L153" i="1" s="1"/>
  <c r="I153" i="1" l="1"/>
  <c r="M153" i="1" s="1"/>
  <c r="H153" i="1" s="1"/>
  <c r="E154" i="1" s="1"/>
  <c r="S154" i="1" s="1"/>
  <c r="J154" i="1"/>
  <c r="C154" i="1" l="1"/>
  <c r="N154" i="1" s="1"/>
  <c r="AB154" i="1" s="1"/>
  <c r="D154" i="1"/>
  <c r="R154" i="1"/>
  <c r="AD154" i="1" s="1"/>
  <c r="U155" i="1" l="1"/>
  <c r="AI155" i="1" s="1"/>
  <c r="AJ155" i="1" s="1" a="1"/>
  <c r="AJ155" i="1" s="1"/>
  <c r="AP154" i="1"/>
  <c r="P154" i="1"/>
  <c r="O154" i="1"/>
  <c r="AQ154" i="1" s="1"/>
  <c r="AR154" i="1"/>
  <c r="V155" i="1" l="1" a="1"/>
  <c r="V155" i="1" s="1"/>
  <c r="AC154" i="1"/>
  <c r="AE154" i="1" s="1"/>
  <c r="AS154" i="1"/>
  <c r="Q154" i="1"/>
  <c r="AT154" i="1"/>
  <c r="AU154" i="1" l="1"/>
  <c r="AV154" i="1" s="1"/>
  <c r="AF154" i="1"/>
  <c r="AG154" i="1" l="1"/>
  <c r="AH154" i="1" s="1"/>
  <c r="F154" i="1" s="1"/>
  <c r="I154" i="1" s="1"/>
  <c r="J155" i="1" l="1"/>
  <c r="K154" i="1"/>
  <c r="L154" i="1" s="1"/>
  <c r="M154" i="1" s="1"/>
  <c r="H154" i="1" s="1"/>
  <c r="E155" i="1" s="1"/>
  <c r="C155" i="1" s="1"/>
  <c r="R155" i="1" l="1"/>
  <c r="D155" i="1"/>
  <c r="U156" i="1" s="1"/>
  <c r="AI156" i="1" s="1"/>
  <c r="AJ156" i="1" s="1" a="1"/>
  <c r="AJ156" i="1" s="1"/>
  <c r="S155" i="1"/>
  <c r="N155" i="1" s="1"/>
  <c r="AB155" i="1" s="1"/>
  <c r="AD155" i="1" l="1"/>
  <c r="O155" i="1"/>
  <c r="AC155" i="1" s="1"/>
  <c r="V156" i="1" a="1"/>
  <c r="V156" i="1" s="1"/>
  <c r="AP155" i="1"/>
  <c r="P155" i="1"/>
  <c r="AR155" i="1"/>
  <c r="AF155" i="1" l="1"/>
  <c r="AQ155" i="1"/>
  <c r="AS155" i="1" s="1"/>
  <c r="Q155" i="1"/>
  <c r="AE155" i="1"/>
  <c r="AG155" i="1" l="1"/>
  <c r="AH155" i="1" s="1"/>
  <c r="AT155" i="1"/>
  <c r="AU155" i="1" l="1"/>
  <c r="AV155" i="1" s="1"/>
  <c r="F155" i="1" s="1"/>
  <c r="I155" i="1" s="1"/>
  <c r="K155" i="1" l="1"/>
  <c r="L155" i="1" s="1"/>
  <c r="M155" i="1" s="1"/>
  <c r="H155" i="1" s="1"/>
  <c r="E156" i="1" s="1"/>
  <c r="R156" i="1" s="1"/>
  <c r="J156" i="1"/>
  <c r="C156" i="1" l="1"/>
  <c r="S156" i="1"/>
  <c r="AD156" i="1" s="1"/>
  <c r="D156" i="1"/>
  <c r="O156" i="1" s="1"/>
  <c r="Q156" i="1" s="1"/>
  <c r="AR156" i="1" l="1"/>
  <c r="N156" i="1"/>
  <c r="AP156" i="1" s="1"/>
  <c r="U157" i="1"/>
  <c r="V157" i="1" s="1" a="1"/>
  <c r="V157" i="1" s="1"/>
  <c r="AC156" i="1"/>
  <c r="AQ156" i="1"/>
  <c r="AS156" i="1" l="1"/>
  <c r="P156" i="1"/>
  <c r="AB156" i="1"/>
  <c r="AF156" i="1" s="1"/>
  <c r="AI157" i="1"/>
  <c r="AJ157" i="1" s="1" a="1"/>
  <c r="AJ157" i="1" s="1"/>
  <c r="AT156" i="1"/>
  <c r="AU156" i="1" l="1"/>
  <c r="AV156" i="1" s="1"/>
  <c r="AE156" i="1"/>
  <c r="AG156" i="1" l="1"/>
  <c r="AH156" i="1" s="1"/>
  <c r="F156" i="1" s="1"/>
  <c r="I156" i="1" s="1"/>
  <c r="J157" i="1" l="1"/>
  <c r="K156" i="1"/>
  <c r="L156" i="1" s="1"/>
  <c r="M156" i="1" s="1"/>
  <c r="H156" i="1" s="1"/>
  <c r="E157" i="1" s="1"/>
  <c r="D157" i="1" s="1"/>
  <c r="S157" i="1" l="1"/>
  <c r="C157" i="1"/>
  <c r="U158" i="1" s="1"/>
  <c r="AI158" i="1" s="1"/>
  <c r="AJ158" i="1" s="1" a="1"/>
  <c r="AJ158" i="1" s="1"/>
  <c r="R157" i="1"/>
  <c r="O157" i="1" s="1"/>
  <c r="AC157" i="1" s="1"/>
  <c r="AD157" i="1" l="1"/>
  <c r="N157" i="1"/>
  <c r="P157" i="1" s="1"/>
  <c r="AQ157" i="1"/>
  <c r="Q157" i="1"/>
  <c r="AR157" i="1"/>
  <c r="V158" i="1" a="1"/>
  <c r="V158" i="1" s="1"/>
  <c r="AP157" i="1" l="1"/>
  <c r="AT157" i="1" s="1"/>
  <c r="AB157" i="1"/>
  <c r="AF157" i="1" s="1"/>
  <c r="AS157" i="1" l="1"/>
  <c r="AE157" i="1"/>
  <c r="AG157" i="1" l="1"/>
  <c r="AH157" i="1" s="1"/>
  <c r="AU157" i="1"/>
  <c r="AV157" i="1" s="1"/>
  <c r="F157" i="1" l="1"/>
  <c r="I157" i="1" s="1"/>
  <c r="J158" i="1" l="1"/>
  <c r="K157" i="1"/>
  <c r="L157" i="1" s="1"/>
  <c r="M157" i="1" s="1"/>
  <c r="H157" i="1" s="1"/>
  <c r="E158" i="1" s="1"/>
  <c r="D158" i="1" s="1"/>
  <c r="R158" i="1" l="1"/>
  <c r="O158" i="1" s="1"/>
  <c r="Q158" i="1" s="1"/>
  <c r="S158" i="1"/>
  <c r="C158" i="1"/>
  <c r="U159" i="1" s="1"/>
  <c r="AI159" i="1" s="1"/>
  <c r="AJ159" i="1" s="1" a="1"/>
  <c r="AJ159" i="1" s="1"/>
  <c r="AR158" i="1" l="1"/>
  <c r="AQ158" i="1"/>
  <c r="AD158" i="1"/>
  <c r="AC158" i="1"/>
  <c r="N158" i="1"/>
  <c r="AP158" i="1" s="1"/>
  <c r="V159" i="1" a="1"/>
  <c r="V159" i="1" s="1"/>
  <c r="AB158" i="1" l="1"/>
  <c r="AE158" i="1" s="1"/>
  <c r="AT158" i="1"/>
  <c r="AS158" i="1"/>
  <c r="P158" i="1"/>
  <c r="AU158" i="1" l="1"/>
  <c r="AV158" i="1" s="1"/>
  <c r="AF158" i="1"/>
  <c r="AG158" i="1" s="1"/>
  <c r="AH158" i="1" s="1"/>
  <c r="F158" i="1" l="1"/>
  <c r="K158" i="1" s="1"/>
  <c r="L158" i="1" s="1"/>
  <c r="I158" i="1" l="1"/>
  <c r="M158" i="1" s="1"/>
  <c r="H158" i="1" s="1"/>
  <c r="E159" i="1" s="1"/>
  <c r="J159" i="1"/>
  <c r="R159" i="1" l="1"/>
  <c r="S159" i="1"/>
  <c r="C159" i="1"/>
  <c r="D159" i="1"/>
  <c r="N159" i="1" l="1"/>
  <c r="AB159" i="1" s="1"/>
  <c r="U160" i="1"/>
  <c r="AI160" i="1" s="1"/>
  <c r="AJ160" i="1" s="1" a="1"/>
  <c r="AJ160" i="1" s="1"/>
  <c r="AD159" i="1"/>
  <c r="O159" i="1"/>
  <c r="AR159" i="1"/>
  <c r="AP159" i="1" l="1"/>
  <c r="P159" i="1"/>
  <c r="V160" i="1" a="1"/>
  <c r="V160" i="1" s="1"/>
  <c r="Q159" i="1"/>
  <c r="AC159" i="1"/>
  <c r="AF159" i="1" s="1"/>
  <c r="AQ159" i="1"/>
  <c r="AS159" i="1" l="1"/>
  <c r="AT159" i="1"/>
  <c r="AE159" i="1"/>
  <c r="AG159" i="1" s="1"/>
  <c r="AH159" i="1" s="1"/>
  <c r="AU159" i="1" l="1"/>
  <c r="AV159" i="1" s="1"/>
  <c r="F159" i="1" s="1"/>
  <c r="K159" i="1" s="1"/>
  <c r="L159" i="1" s="1"/>
  <c r="J160" i="1" l="1"/>
  <c r="I159" i="1"/>
  <c r="M159" i="1" s="1"/>
  <c r="H159" i="1" s="1"/>
  <c r="E160" i="1" s="1"/>
  <c r="C160" i="1" s="1"/>
  <c r="D160" i="1" l="1"/>
  <c r="U161" i="1" s="1"/>
  <c r="V161" i="1" s="1" a="1"/>
  <c r="V161" i="1" s="1"/>
  <c r="S160" i="1"/>
  <c r="N160" i="1" s="1"/>
  <c r="P160" i="1" s="1"/>
  <c r="R160" i="1"/>
  <c r="O160" i="1" l="1"/>
  <c r="AQ160" i="1" s="1"/>
  <c r="AP160" i="1"/>
  <c r="AB160" i="1"/>
  <c r="AD160" i="1"/>
  <c r="AR160" i="1"/>
  <c r="AT160" i="1" l="1"/>
  <c r="AI161" i="1" s="1"/>
  <c r="AJ161" i="1" s="1" a="1"/>
  <c r="AJ161" i="1" s="1"/>
  <c r="AS160" i="1"/>
  <c r="AC160" i="1"/>
  <c r="AF160" i="1" s="1"/>
  <c r="Q160" i="1"/>
  <c r="AE160" i="1"/>
  <c r="AU160" i="1" l="1"/>
  <c r="AV160" i="1" s="1"/>
  <c r="AG160" i="1"/>
  <c r="AH160" i="1" s="1"/>
  <c r="F160" i="1" l="1"/>
  <c r="I160" i="1" s="1"/>
  <c r="J161" i="1"/>
  <c r="K160" i="1" l="1"/>
  <c r="L160" i="1" s="1"/>
  <c r="M160" i="1" s="1"/>
  <c r="H160" i="1" s="1"/>
  <c r="E161" i="1" s="1"/>
  <c r="S161" i="1" s="1"/>
  <c r="R161" i="1" l="1"/>
  <c r="AD161" i="1" s="1"/>
  <c r="C161" i="1"/>
  <c r="N161" i="1" s="1"/>
  <c r="AP161" i="1" s="1"/>
  <c r="D161" i="1"/>
  <c r="O161" i="1" l="1"/>
  <c r="Q161" i="1" s="1"/>
  <c r="AR161" i="1"/>
  <c r="P161" i="1"/>
  <c r="AB161" i="1"/>
  <c r="U162" i="1"/>
  <c r="V162" i="1" s="1" a="1"/>
  <c r="V162" i="1" s="1"/>
  <c r="AC161" i="1" l="1"/>
  <c r="AF161" i="1" s="1"/>
  <c r="AQ161" i="1"/>
  <c r="AS161" i="1" s="1"/>
  <c r="AI162" i="1"/>
  <c r="AJ162" i="1" s="1" a="1"/>
  <c r="AJ162" i="1" s="1"/>
  <c r="AT161" i="1" l="1"/>
  <c r="AE161" i="1"/>
  <c r="AG161" i="1" l="1"/>
  <c r="AH161" i="1" s="1"/>
  <c r="AU161" i="1"/>
  <c r="AV161" i="1" s="1"/>
  <c r="F161" i="1" l="1"/>
  <c r="J162" i="1" s="1"/>
  <c r="K161" i="1" l="1"/>
  <c r="L161" i="1" s="1"/>
  <c r="I161" i="1"/>
  <c r="M161" i="1" l="1"/>
  <c r="H161" i="1" s="1"/>
  <c r="E162" i="1" s="1"/>
  <c r="S162" i="1" s="1"/>
  <c r="C162" i="1" l="1"/>
  <c r="N162" i="1" s="1"/>
  <c r="P162" i="1" s="1"/>
  <c r="D162" i="1"/>
  <c r="R162" i="1"/>
  <c r="AR162" i="1" s="1"/>
  <c r="U163" i="1" l="1"/>
  <c r="V163" i="1" s="1" a="1"/>
  <c r="V163" i="1" s="1"/>
  <c r="AB162" i="1"/>
  <c r="AP162" i="1"/>
  <c r="O162" i="1"/>
  <c r="AQ162" i="1" s="1"/>
  <c r="AD162" i="1"/>
  <c r="AI163" i="1" l="1"/>
  <c r="AJ163" i="1" s="1" a="1"/>
  <c r="AJ163" i="1" s="1"/>
  <c r="AT162" i="1"/>
  <c r="AC162" i="1"/>
  <c r="AF162" i="1" s="1"/>
  <c r="AS162" i="1"/>
  <c r="Q162" i="1"/>
  <c r="AE162" i="1" l="1"/>
  <c r="AG162" i="1" s="1"/>
  <c r="AH162" i="1" s="1"/>
  <c r="AU162" i="1"/>
  <c r="AV162" i="1" s="1"/>
  <c r="F162" i="1" l="1"/>
  <c r="J163" i="1" s="1"/>
  <c r="I162" i="1" l="1"/>
  <c r="K162" i="1"/>
  <c r="L162" i="1" s="1"/>
  <c r="M162" i="1" l="1"/>
  <c r="H162" i="1" s="1"/>
  <c r="E163" i="1" s="1"/>
  <c r="R163" i="1" s="1"/>
  <c r="D163" i="1" l="1"/>
  <c r="O163" i="1" s="1"/>
  <c r="AQ163" i="1" s="1"/>
  <c r="S163" i="1"/>
  <c r="AD163" i="1" s="1"/>
  <c r="C163" i="1"/>
  <c r="N163" i="1" l="1"/>
  <c r="P163" i="1" s="1"/>
  <c r="AR163" i="1"/>
  <c r="Q163" i="1"/>
  <c r="U164" i="1"/>
  <c r="V164" i="1" s="1" a="1"/>
  <c r="V164" i="1" s="1"/>
  <c r="AC163" i="1"/>
  <c r="AI164" i="1" l="1"/>
  <c r="AJ164" i="1" s="1" a="1"/>
  <c r="AJ164" i="1" s="1"/>
  <c r="AB163" i="1"/>
  <c r="AF163" i="1" s="1"/>
  <c r="AP163" i="1"/>
  <c r="AT163" i="1" s="1"/>
  <c r="AS163" i="1" l="1"/>
  <c r="AU163" i="1" s="1"/>
  <c r="AV163" i="1" s="1"/>
  <c r="AE163" i="1"/>
  <c r="AG163" i="1" s="1"/>
  <c r="AH163" i="1" s="1"/>
  <c r="F163" i="1" l="1"/>
  <c r="K163" i="1" s="1"/>
  <c r="L163" i="1" s="1"/>
  <c r="J164" i="1" l="1"/>
  <c r="I163" i="1"/>
  <c r="M163" i="1" s="1"/>
  <c r="H163" i="1" s="1"/>
  <c r="E164" i="1" s="1"/>
  <c r="S164" i="1" s="1"/>
  <c r="R164" i="1" l="1"/>
  <c r="AD164" i="1" s="1"/>
  <c r="D164" i="1"/>
  <c r="C164" i="1"/>
  <c r="N164" i="1" s="1"/>
  <c r="AB164" i="1" s="1"/>
  <c r="AP164" i="1" l="1"/>
  <c r="P164" i="1"/>
  <c r="U165" i="1"/>
  <c r="AI165" i="1" s="1"/>
  <c r="AJ165" i="1" s="1" a="1"/>
  <c r="AJ165" i="1" s="1"/>
  <c r="O164" i="1"/>
  <c r="AC164" i="1" s="1"/>
  <c r="AF164" i="1" s="1"/>
  <c r="AR164" i="1"/>
  <c r="V165" i="1" l="1" a="1"/>
  <c r="V165" i="1" s="1"/>
  <c r="AQ164" i="1"/>
  <c r="AT164" i="1" s="1"/>
  <c r="AE164" i="1"/>
  <c r="AG164" i="1" s="1"/>
  <c r="AH164" i="1" s="1"/>
  <c r="Q164" i="1"/>
  <c r="AS164" i="1" l="1"/>
  <c r="AU164" i="1" s="1"/>
  <c r="AV164" i="1" s="1"/>
  <c r="F164" i="1" s="1"/>
  <c r="K164" i="1" l="1"/>
  <c r="L164" i="1" s="1"/>
  <c r="J165" i="1"/>
  <c r="I164" i="1"/>
  <c r="M164" i="1" l="1"/>
  <c r="H164" i="1" s="1"/>
  <c r="E165" i="1" s="1"/>
  <c r="R165" i="1" s="1"/>
  <c r="D165" i="1" l="1"/>
  <c r="O165" i="1" s="1"/>
  <c r="AQ165" i="1" s="1"/>
  <c r="C165" i="1"/>
  <c r="S165" i="1"/>
  <c r="AD165" i="1" s="1"/>
  <c r="Q165" i="1" l="1"/>
  <c r="AC165" i="1"/>
  <c r="U166" i="1"/>
  <c r="V166" i="1" s="1" a="1"/>
  <c r="V166" i="1" s="1"/>
  <c r="N165" i="1"/>
  <c r="AP165" i="1" s="1"/>
  <c r="AR165" i="1"/>
  <c r="P165" i="1" l="1"/>
  <c r="AB165" i="1"/>
  <c r="AE165" i="1" s="1"/>
  <c r="AS165" i="1"/>
  <c r="AT165" i="1"/>
  <c r="AI166" i="1"/>
  <c r="AJ166" i="1" s="1" a="1"/>
  <c r="AJ166" i="1" s="1"/>
  <c r="AU165" i="1" l="1"/>
  <c r="AV165" i="1" s="1"/>
  <c r="AF165" i="1"/>
  <c r="AG165" i="1" s="1"/>
  <c r="AH165" i="1" s="1"/>
  <c r="F165" i="1" l="1"/>
  <c r="K165" i="1" s="1"/>
  <c r="L165" i="1" s="1"/>
  <c r="J166" i="1" l="1"/>
  <c r="I165" i="1"/>
  <c r="M165" i="1" s="1"/>
  <c r="H165" i="1" s="1"/>
  <c r="E166" i="1" s="1"/>
  <c r="R166" i="1" s="1"/>
  <c r="D166" i="1" l="1"/>
  <c r="O166" i="1" s="1"/>
  <c r="Q166" i="1" s="1"/>
  <c r="S166" i="1"/>
  <c r="AR166" i="1" s="1"/>
  <c r="C166" i="1"/>
  <c r="U167" i="1" l="1"/>
  <c r="AI167" i="1" s="1"/>
  <c r="AJ167" i="1" s="1" a="1"/>
  <c r="AJ167" i="1" s="1"/>
  <c r="AC166" i="1"/>
  <c r="AQ166" i="1"/>
  <c r="AD166" i="1"/>
  <c r="N166" i="1"/>
  <c r="AP166" i="1" s="1"/>
  <c r="AT166" i="1" s="1"/>
  <c r="V167" i="1" l="1" a="1"/>
  <c r="V167" i="1" s="1"/>
  <c r="P166" i="1"/>
  <c r="AB166" i="1"/>
  <c r="AE166" i="1" s="1"/>
  <c r="AS166" i="1"/>
  <c r="AU166" i="1" s="1"/>
  <c r="AV166" i="1" s="1"/>
  <c r="AF166" i="1" l="1"/>
  <c r="AG166" i="1" s="1"/>
  <c r="AH166" i="1" s="1"/>
  <c r="F166" i="1" s="1"/>
  <c r="I166" i="1" s="1"/>
  <c r="K166" i="1" l="1"/>
  <c r="L166" i="1" s="1"/>
  <c r="M166" i="1" s="1"/>
  <c r="H166" i="1" s="1"/>
  <c r="E167" i="1" s="1"/>
  <c r="R167" i="1" s="1"/>
  <c r="J167" i="1"/>
  <c r="S167" i="1" l="1"/>
  <c r="AR167" i="1" s="1"/>
  <c r="C167" i="1"/>
  <c r="D167" i="1"/>
  <c r="O167" i="1" s="1"/>
  <c r="AQ167" i="1" s="1"/>
  <c r="N167" i="1" l="1"/>
  <c r="P167" i="1" s="1"/>
  <c r="AD167" i="1"/>
  <c r="AC167" i="1"/>
  <c r="Q167" i="1"/>
  <c r="U168" i="1"/>
  <c r="V168" i="1" s="1" a="1"/>
  <c r="V168" i="1" s="1"/>
  <c r="AB167" i="1" l="1"/>
  <c r="AF167" i="1" s="1"/>
  <c r="AP167" i="1"/>
  <c r="AS167" i="1" s="1"/>
  <c r="AI168" i="1"/>
  <c r="AJ168" i="1" s="1" a="1"/>
  <c r="AJ168" i="1" s="1"/>
  <c r="AE167" i="1" l="1"/>
  <c r="AG167" i="1" s="1"/>
  <c r="AH167" i="1" s="1"/>
  <c r="AT167" i="1"/>
  <c r="AU167" i="1" s="1"/>
  <c r="AV167" i="1" s="1"/>
  <c r="F167" i="1" l="1"/>
  <c r="I167" i="1" s="1"/>
  <c r="J168" i="1" l="1"/>
  <c r="K167" i="1"/>
  <c r="L167" i="1" s="1"/>
  <c r="M167" i="1" s="1"/>
  <c r="H167" i="1" s="1"/>
  <c r="E168" i="1" s="1"/>
  <c r="S168" i="1" s="1"/>
  <c r="D168" i="1" l="1"/>
  <c r="C168" i="1"/>
  <c r="N168" i="1" s="1"/>
  <c r="AP168" i="1" s="1"/>
  <c r="R168" i="1"/>
  <c r="AD168" i="1" s="1"/>
  <c r="O168" i="1" l="1"/>
  <c r="AQ168" i="1" s="1"/>
  <c r="U169" i="1"/>
  <c r="AI169" i="1" s="1"/>
  <c r="AJ169" i="1" s="1" a="1"/>
  <c r="AJ169" i="1" s="1"/>
  <c r="AB168" i="1"/>
  <c r="P168" i="1"/>
  <c r="AR168" i="1"/>
  <c r="Q168" i="1" l="1"/>
  <c r="AC168" i="1"/>
  <c r="AS168" i="1"/>
  <c r="AT168" i="1"/>
  <c r="V169" i="1" a="1"/>
  <c r="V169" i="1" s="1"/>
  <c r="AF168" i="1"/>
  <c r="AU168" i="1"/>
  <c r="AV168" i="1" s="1"/>
  <c r="AE168" i="1"/>
  <c r="AG168" i="1" l="1"/>
  <c r="AH168" i="1" s="1"/>
  <c r="F168" i="1" s="1"/>
  <c r="K168" i="1" s="1"/>
  <c r="L168" i="1" s="1"/>
  <c r="J169" i="1" l="1"/>
  <c r="I168" i="1"/>
  <c r="M168" i="1" s="1"/>
  <c r="H168" i="1" s="1"/>
  <c r="E169" i="1" s="1"/>
  <c r="C169" i="1" s="1"/>
  <c r="S169" i="1" l="1"/>
  <c r="N169" i="1" s="1"/>
  <c r="AP169" i="1" s="1"/>
  <c r="D169" i="1"/>
  <c r="U170" i="1" s="1"/>
  <c r="V170" i="1" s="1" a="1"/>
  <c r="V170" i="1" s="1"/>
  <c r="R169" i="1"/>
  <c r="AR169" i="1" l="1"/>
  <c r="O169" i="1"/>
  <c r="Q169" i="1" s="1"/>
  <c r="AD169" i="1"/>
  <c r="AB169" i="1"/>
  <c r="P169" i="1"/>
  <c r="AI170" i="1"/>
  <c r="AJ170" i="1" s="1" a="1"/>
  <c r="AJ170" i="1" s="1"/>
  <c r="AQ169" i="1" l="1"/>
  <c r="AT169" i="1" s="1"/>
  <c r="AC169" i="1"/>
  <c r="AE169" i="1" s="1"/>
  <c r="AF169" i="1" l="1"/>
  <c r="AS169" i="1"/>
  <c r="AG169" i="1" l="1"/>
  <c r="AH169" i="1" s="1"/>
  <c r="AU169" i="1"/>
  <c r="AV169" i="1" s="1"/>
  <c r="F169" i="1" l="1"/>
  <c r="I169" i="1" s="1"/>
  <c r="K169" i="1" l="1"/>
  <c r="L169" i="1" s="1"/>
  <c r="M169" i="1" s="1"/>
  <c r="H169" i="1" s="1"/>
  <c r="E170" i="1" s="1"/>
  <c r="R170" i="1" s="1"/>
  <c r="J170" i="1"/>
  <c r="D170" i="1" l="1"/>
  <c r="O170" i="1" s="1"/>
  <c r="Q170" i="1" s="1"/>
  <c r="C170" i="1"/>
  <c r="S170" i="1"/>
  <c r="AD170" i="1" s="1"/>
  <c r="U171" i="1" l="1"/>
  <c r="AI171" i="1" s="1"/>
  <c r="AJ171" i="1" s="1" a="1"/>
  <c r="AJ171" i="1" s="1"/>
  <c r="N170" i="1"/>
  <c r="P170" i="1" s="1"/>
  <c r="AC170" i="1"/>
  <c r="AQ170" i="1"/>
  <c r="AR170" i="1"/>
  <c r="V171" i="1" l="1" a="1"/>
  <c r="V171" i="1" s="1"/>
  <c r="AB170" i="1"/>
  <c r="AE170" i="1" s="1"/>
  <c r="AP170" i="1"/>
  <c r="AT170" i="1" s="1"/>
  <c r="AF170" i="1" l="1"/>
  <c r="AG170" i="1" s="1"/>
  <c r="AH170" i="1" s="1"/>
  <c r="AS170" i="1"/>
  <c r="AU170" i="1" s="1"/>
  <c r="AV170" i="1" s="1"/>
  <c r="F170" i="1" l="1"/>
  <c r="K170" i="1" s="1"/>
  <c r="L170" i="1" s="1"/>
  <c r="J171" i="1" l="1"/>
  <c r="I170" i="1"/>
  <c r="M170" i="1" s="1"/>
  <c r="H170" i="1" s="1"/>
  <c r="E171" i="1" s="1"/>
  <c r="S171" i="1" s="1"/>
  <c r="R171" i="1" l="1"/>
  <c r="AD171" i="1" s="1"/>
  <c r="D171" i="1"/>
  <c r="C171" i="1"/>
  <c r="N171" i="1" s="1"/>
  <c r="AB171" i="1" s="1"/>
  <c r="U172" i="1" l="1"/>
  <c r="AI172" i="1" s="1"/>
  <c r="AJ172" i="1" s="1" a="1"/>
  <c r="AJ172" i="1" s="1"/>
  <c r="AR171" i="1"/>
  <c r="O171" i="1"/>
  <c r="AC171" i="1" s="1"/>
  <c r="AF171" i="1" s="1"/>
  <c r="P171" i="1"/>
  <c r="AP171" i="1"/>
  <c r="AE171" i="1" l="1"/>
  <c r="AG171" i="1" s="1"/>
  <c r="AH171" i="1" s="1"/>
  <c r="AQ171" i="1"/>
  <c r="AS171" i="1" s="1"/>
  <c r="V172" i="1" a="1"/>
  <c r="V172" i="1" s="1"/>
  <c r="Q171" i="1"/>
  <c r="AT171" i="1" l="1"/>
  <c r="AU171" i="1" s="1"/>
  <c r="AV171" i="1" s="1"/>
  <c r="F171" i="1" s="1"/>
  <c r="I171" i="1" l="1"/>
  <c r="J172" i="1"/>
  <c r="K171" i="1"/>
  <c r="L171" i="1" s="1"/>
  <c r="M171" i="1" l="1"/>
  <c r="H171" i="1" s="1"/>
  <c r="E172" i="1" s="1"/>
  <c r="D172" i="1" s="1"/>
  <c r="R172" i="1" l="1"/>
  <c r="O172" i="1" s="1"/>
  <c r="AQ172" i="1" s="1"/>
  <c r="C172" i="1"/>
  <c r="U173" i="1" s="1"/>
  <c r="AI173" i="1" s="1"/>
  <c r="AJ173" i="1" s="1" a="1"/>
  <c r="AJ173" i="1" s="1"/>
  <c r="S172" i="1"/>
  <c r="AC172" i="1" l="1"/>
  <c r="AD172" i="1"/>
  <c r="AR172" i="1"/>
  <c r="Q172" i="1"/>
  <c r="N172" i="1"/>
  <c r="P172" i="1" s="1"/>
  <c r="V173" i="1" a="1"/>
  <c r="V173" i="1" s="1"/>
  <c r="AP172" i="1" l="1"/>
  <c r="AS172" i="1" s="1"/>
  <c r="AB172" i="1"/>
  <c r="AE172" i="1" s="1"/>
  <c r="AT172" i="1" l="1"/>
  <c r="AU172" i="1" s="1"/>
  <c r="AV172" i="1" s="1"/>
  <c r="AF172" i="1"/>
  <c r="AG172" i="1" s="1"/>
  <c r="AH172" i="1" s="1"/>
  <c r="F172" i="1" l="1"/>
  <c r="K172" i="1" s="1"/>
  <c r="L172" i="1" s="1"/>
  <c r="I172" i="1" l="1"/>
  <c r="M172" i="1" s="1"/>
  <c r="H172" i="1" s="1"/>
  <c r="E173" i="1" s="1"/>
  <c r="S173" i="1" s="1"/>
  <c r="J173" i="1"/>
  <c r="D173" i="1" l="1"/>
  <c r="C173" i="1"/>
  <c r="N173" i="1" s="1"/>
  <c r="AB173" i="1" s="1"/>
  <c r="R173" i="1"/>
  <c r="AD173" i="1" s="1"/>
  <c r="U174" i="1" l="1"/>
  <c r="AI174" i="1" s="1"/>
  <c r="AJ174" i="1" s="1" a="1"/>
  <c r="AJ174" i="1" s="1"/>
  <c r="AR173" i="1"/>
  <c r="O173" i="1"/>
  <c r="AC173" i="1" s="1"/>
  <c r="AF173" i="1" s="1"/>
  <c r="P173" i="1"/>
  <c r="AP173" i="1"/>
  <c r="V174" i="1" l="1" a="1"/>
  <c r="V174" i="1" s="1"/>
  <c r="Q173" i="1"/>
  <c r="AQ173" i="1"/>
  <c r="AS173" i="1" s="1"/>
  <c r="AE173" i="1"/>
  <c r="AG173" i="1" s="1"/>
  <c r="AH173" i="1" s="1"/>
  <c r="AT173" i="1"/>
  <c r="AU173" i="1" l="1"/>
  <c r="AV173" i="1" s="1"/>
  <c r="F173" i="1" s="1"/>
  <c r="K173" i="1" l="1"/>
  <c r="L173" i="1" s="1"/>
  <c r="I173" i="1"/>
  <c r="J174" i="1"/>
  <c r="M173" i="1" l="1"/>
  <c r="H173" i="1" s="1"/>
  <c r="E174" i="1" s="1"/>
  <c r="S174" i="1" s="1"/>
  <c r="R174" i="1" l="1"/>
  <c r="AR174" i="1" s="1"/>
  <c r="D174" i="1"/>
  <c r="C174" i="1"/>
  <c r="N174" i="1" s="1"/>
  <c r="AB174" i="1" s="1"/>
  <c r="O174" i="1"/>
  <c r="AQ174" i="1" s="1"/>
  <c r="AD174" i="1" l="1"/>
  <c r="AP174" i="1"/>
  <c r="AS174" i="1" s="1"/>
  <c r="P174" i="1"/>
  <c r="U175" i="1"/>
  <c r="AI175" i="1" s="1"/>
  <c r="AJ175" i="1" s="1" a="1"/>
  <c r="AJ175" i="1" s="1"/>
  <c r="Q174" i="1"/>
  <c r="AC174" i="1"/>
  <c r="AE174" i="1" s="1"/>
  <c r="V175" i="1" l="1" a="1"/>
  <c r="V175" i="1" s="1"/>
  <c r="AT174" i="1"/>
  <c r="AF174" i="1"/>
  <c r="AG174" i="1" s="1"/>
  <c r="AH174" i="1" s="1"/>
  <c r="AU174" i="1"/>
  <c r="AV174" i="1" s="1"/>
  <c r="F174" i="1" l="1"/>
  <c r="K174" i="1" s="1"/>
  <c r="L174" i="1" s="1"/>
  <c r="I174" i="1" l="1"/>
  <c r="M174" i="1" s="1"/>
  <c r="H174" i="1" s="1"/>
  <c r="E175" i="1" s="1"/>
  <c r="S175" i="1" s="1"/>
  <c r="J175" i="1"/>
  <c r="D175" i="1" l="1"/>
  <c r="R175" i="1"/>
  <c r="AR175" i="1" s="1"/>
  <c r="C175" i="1"/>
  <c r="N175" i="1" s="1"/>
  <c r="AB175" i="1" s="1"/>
  <c r="AP175" i="1" l="1"/>
  <c r="O175" i="1"/>
  <c r="AC175" i="1" s="1"/>
  <c r="U176" i="1"/>
  <c r="AI176" i="1" s="1"/>
  <c r="AJ176" i="1" s="1" a="1"/>
  <c r="AJ176" i="1" s="1"/>
  <c r="P175" i="1"/>
  <c r="AD175" i="1"/>
  <c r="AE175" i="1" l="1"/>
  <c r="Q175" i="1"/>
  <c r="AF175" i="1"/>
  <c r="AG175" i="1" s="1"/>
  <c r="AH175" i="1" s="1"/>
  <c r="V176" i="1" a="1"/>
  <c r="V176" i="1" s="1"/>
  <c r="AQ175" i="1"/>
  <c r="AS175" i="1" s="1"/>
  <c r="AT175" i="1" l="1"/>
  <c r="AU175" i="1" s="1"/>
  <c r="AV175" i="1" s="1"/>
  <c r="F175" i="1" s="1"/>
  <c r="K175" i="1" s="1"/>
  <c r="L175" i="1" s="1"/>
  <c r="J176" i="1" l="1"/>
  <c r="I175" i="1"/>
  <c r="M175" i="1" s="1"/>
  <c r="H175" i="1" s="1"/>
  <c r="E176" i="1" s="1"/>
  <c r="D176" i="1" s="1"/>
  <c r="C176" i="1" l="1"/>
  <c r="U177" i="1" s="1"/>
  <c r="V177" i="1" s="1" a="1"/>
  <c r="V177" i="1" s="1"/>
  <c r="R176" i="1"/>
  <c r="O176" i="1" s="1"/>
  <c r="Q176" i="1" s="1"/>
  <c r="S176" i="1"/>
  <c r="N176" i="1" l="1"/>
  <c r="P176" i="1" s="1"/>
  <c r="AD176" i="1"/>
  <c r="AR176" i="1"/>
  <c r="AC176" i="1"/>
  <c r="AQ176" i="1"/>
  <c r="AB176" i="1" l="1"/>
  <c r="AF176" i="1" s="1"/>
  <c r="AP176" i="1"/>
  <c r="AS176" i="1" s="1"/>
  <c r="AE176" i="1" l="1"/>
  <c r="AT176" i="1"/>
  <c r="AI177" i="1" s="1"/>
  <c r="AJ177" i="1" s="1" a="1"/>
  <c r="AJ177" i="1" s="1"/>
  <c r="AG176" i="1" l="1"/>
  <c r="AH176" i="1" s="1"/>
  <c r="AU176" i="1"/>
  <c r="AV176" i="1" s="1"/>
  <c r="F176" i="1" l="1"/>
  <c r="I176" i="1" s="1"/>
  <c r="J177" i="1" l="1"/>
  <c r="K176" i="1"/>
  <c r="L176" i="1" s="1"/>
  <c r="M176" i="1" s="1"/>
  <c r="H176" i="1" s="1"/>
  <c r="E177" i="1" s="1"/>
  <c r="R177" i="1" s="1"/>
  <c r="S177" i="1" l="1"/>
  <c r="AR177" i="1" s="1"/>
  <c r="C177" i="1"/>
  <c r="D177" i="1"/>
  <c r="O177" i="1" s="1"/>
  <c r="Q177" i="1" s="1"/>
  <c r="AC177" i="1" l="1"/>
  <c r="N177" i="1"/>
  <c r="P177" i="1" s="1"/>
  <c r="AD177" i="1"/>
  <c r="U178" i="1"/>
  <c r="AI178" i="1" s="1"/>
  <c r="AJ178" i="1" s="1" a="1"/>
  <c r="AJ178" i="1" s="1"/>
  <c r="AQ177" i="1"/>
  <c r="AB177" i="1" l="1"/>
  <c r="AF177" i="1" s="1"/>
  <c r="AP177" i="1"/>
  <c r="AT177" i="1" s="1"/>
  <c r="V178" i="1" a="1"/>
  <c r="V178" i="1" s="1"/>
  <c r="AE177" i="1" l="1"/>
  <c r="AG177" i="1" s="1"/>
  <c r="AH177" i="1" s="1"/>
  <c r="AS177" i="1"/>
  <c r="AU177" i="1" s="1"/>
  <c r="AV177" i="1" s="1"/>
  <c r="F177" i="1" l="1"/>
  <c r="J178" i="1" s="1"/>
  <c r="I177" i="1" l="1"/>
  <c r="K177" i="1"/>
  <c r="L177" i="1" s="1"/>
  <c r="M177" i="1" l="1"/>
  <c r="H177" i="1" s="1"/>
  <c r="E178" i="1" s="1"/>
  <c r="C178" i="1" s="1"/>
  <c r="R178" i="1" l="1"/>
  <c r="D178" i="1"/>
  <c r="U179" i="1" s="1"/>
  <c r="AI179" i="1" s="1"/>
  <c r="AJ179" i="1" s="1" a="1"/>
  <c r="AJ179" i="1" s="1"/>
  <c r="S178" i="1"/>
  <c r="N178" i="1" s="1"/>
  <c r="AB178" i="1" s="1"/>
  <c r="V179" i="1" l="1" a="1"/>
  <c r="V179" i="1" s="1"/>
  <c r="P178" i="1"/>
  <c r="AP178" i="1"/>
  <c r="AR178" i="1"/>
  <c r="O178" i="1"/>
  <c r="AQ178" i="1" s="1"/>
  <c r="AD178" i="1"/>
  <c r="AT178" i="1" l="1"/>
  <c r="AS178" i="1"/>
  <c r="AC178" i="1"/>
  <c r="AF178" i="1" s="1"/>
  <c r="Q178" i="1"/>
  <c r="AE178" i="1" l="1"/>
  <c r="AG178" i="1" s="1"/>
  <c r="AH178" i="1" s="1"/>
  <c r="AU178" i="1"/>
  <c r="AV178" i="1" s="1"/>
  <c r="F178" i="1" l="1"/>
  <c r="I178" i="1" s="1"/>
  <c r="J179" i="1" l="1"/>
  <c r="K178" i="1"/>
  <c r="L178" i="1" s="1"/>
  <c r="M178" i="1" s="1"/>
  <c r="H178" i="1" s="1"/>
  <c r="E179" i="1" s="1"/>
  <c r="R179" i="1" s="1"/>
  <c r="C179" i="1" l="1"/>
  <c r="D179" i="1"/>
  <c r="O179" i="1" s="1"/>
  <c r="AC179" i="1" s="1"/>
  <c r="S179" i="1"/>
  <c r="AD179" i="1" s="1"/>
  <c r="Q179" i="1" l="1"/>
  <c r="U180" i="1"/>
  <c r="V180" i="1" s="1" a="1"/>
  <c r="V180" i="1" s="1"/>
  <c r="AQ179" i="1"/>
  <c r="N179" i="1"/>
  <c r="P179" i="1" s="1"/>
  <c r="AR179" i="1"/>
  <c r="AB179" i="1" l="1"/>
  <c r="AF179" i="1" s="1"/>
  <c r="AP179" i="1"/>
  <c r="AT179" i="1" s="1"/>
  <c r="AI180" i="1" s="1"/>
  <c r="AJ180" i="1" s="1" a="1"/>
  <c r="AJ180" i="1" s="1"/>
  <c r="AE179" i="1" l="1"/>
  <c r="AS179" i="1"/>
  <c r="AG179" i="1" l="1"/>
  <c r="AH179" i="1" s="1"/>
  <c r="AU179" i="1"/>
  <c r="AV179" i="1" s="1"/>
  <c r="F179" i="1" l="1"/>
  <c r="K179" i="1" s="1"/>
  <c r="L179" i="1" s="1"/>
  <c r="J180" i="1" l="1"/>
  <c r="I179" i="1"/>
  <c r="M179" i="1" s="1"/>
  <c r="H179" i="1" s="1"/>
  <c r="E180" i="1" s="1"/>
  <c r="S180" i="1" l="1"/>
  <c r="D180" i="1"/>
  <c r="C180" i="1"/>
  <c r="R180" i="1"/>
  <c r="AD180" i="1" l="1"/>
  <c r="N180" i="1"/>
  <c r="AP180" i="1" s="1"/>
  <c r="AR180" i="1"/>
  <c r="O180" i="1"/>
  <c r="AQ180" i="1" s="1"/>
  <c r="U181" i="1"/>
  <c r="AI181" i="1" s="1"/>
  <c r="AJ181" i="1" s="1" a="1"/>
  <c r="AJ181" i="1" s="1"/>
  <c r="P180" i="1" l="1"/>
  <c r="AB180" i="1"/>
  <c r="Q180" i="1"/>
  <c r="AC180" i="1"/>
  <c r="V181" i="1" a="1"/>
  <c r="V181" i="1" s="1"/>
  <c r="AT180" i="1"/>
  <c r="AS180" i="1"/>
  <c r="AE180" i="1" l="1"/>
  <c r="AF180" i="1"/>
  <c r="AG180" i="1" s="1"/>
  <c r="AH180" i="1" s="1"/>
  <c r="AU180" i="1"/>
  <c r="AV180" i="1" s="1"/>
  <c r="F180" i="1" l="1"/>
  <c r="I180" i="1" s="1"/>
  <c r="K180" i="1" l="1"/>
  <c r="L180" i="1" s="1"/>
  <c r="M180" i="1" s="1"/>
  <c r="H180" i="1" s="1"/>
  <c r="E181" i="1" s="1"/>
  <c r="R181" i="1" s="1"/>
  <c r="J181" i="1"/>
  <c r="S181" i="1" l="1"/>
  <c r="AD181" i="1" s="1"/>
  <c r="D181" i="1"/>
  <c r="O181" i="1" s="1"/>
  <c r="AC181" i="1" s="1"/>
  <c r="C181" i="1"/>
  <c r="U182" i="1" l="1"/>
  <c r="AI182" i="1" s="1"/>
  <c r="AJ182" i="1" s="1" a="1"/>
  <c r="AJ182" i="1" s="1"/>
  <c r="Q181" i="1"/>
  <c r="AQ181" i="1"/>
  <c r="AR181" i="1"/>
  <c r="N181" i="1"/>
  <c r="AB181" i="1" s="1"/>
  <c r="AF181" i="1" s="1"/>
  <c r="AE181" i="1" l="1"/>
  <c r="AG181" i="1" s="1"/>
  <c r="AH181" i="1" s="1"/>
  <c r="AP181" i="1"/>
  <c r="AS181" i="1" s="1"/>
  <c r="V182" i="1" a="1"/>
  <c r="V182" i="1" s="1"/>
  <c r="P181" i="1"/>
  <c r="AT181" i="1"/>
  <c r="AU181" i="1" l="1"/>
  <c r="AV181" i="1" s="1"/>
  <c r="F181" i="1" s="1"/>
  <c r="J182" i="1" l="1"/>
  <c r="I181" i="1"/>
  <c r="K181" i="1"/>
  <c r="L181" i="1" s="1"/>
  <c r="M181" i="1" l="1"/>
  <c r="H181" i="1" s="1"/>
  <c r="E182" i="1" s="1"/>
  <c r="S182" i="1" s="1"/>
  <c r="C182" i="1" l="1"/>
  <c r="N182" i="1" s="1"/>
  <c r="AB182" i="1" s="1"/>
  <c r="R182" i="1"/>
  <c r="AD182" i="1" s="1"/>
  <c r="D182" i="1"/>
  <c r="AP182" i="1" l="1"/>
  <c r="P182" i="1"/>
  <c r="AR182" i="1"/>
  <c r="O182" i="1"/>
  <c r="Q182" i="1" s="1"/>
  <c r="U183" i="1"/>
  <c r="V183" i="1" s="1" a="1"/>
  <c r="V183" i="1" s="1"/>
  <c r="AC182" i="1" l="1"/>
  <c r="AF182" i="1" s="1"/>
  <c r="AQ182" i="1"/>
  <c r="AS182" i="1" s="1"/>
  <c r="AI183" i="1"/>
  <c r="AJ183" i="1" s="1" a="1"/>
  <c r="AJ183" i="1" s="1"/>
  <c r="AE182" i="1" l="1"/>
  <c r="AG182" i="1" s="1"/>
  <c r="AH182" i="1" s="1"/>
  <c r="AT182" i="1"/>
  <c r="AU182" i="1" s="1"/>
  <c r="AV182" i="1" s="1"/>
  <c r="F182" i="1" l="1"/>
  <c r="I182" i="1" s="1"/>
  <c r="K182" i="1" l="1"/>
  <c r="L182" i="1" s="1"/>
  <c r="M182" i="1" s="1"/>
  <c r="H182" i="1" s="1"/>
  <c r="E183" i="1" s="1"/>
  <c r="R183" i="1" s="1"/>
  <c r="J183" i="1"/>
  <c r="D183" i="1" l="1"/>
  <c r="O183" i="1" s="1"/>
  <c r="AQ183" i="1" s="1"/>
  <c r="C183" i="1"/>
  <c r="S183" i="1"/>
  <c r="AD183" i="1" s="1"/>
  <c r="AR183" i="1" l="1"/>
  <c r="N183" i="1"/>
  <c r="AP183" i="1" s="1"/>
  <c r="U184" i="1"/>
  <c r="V184" i="1" s="1" a="1"/>
  <c r="V184" i="1" s="1"/>
  <c r="Q183" i="1"/>
  <c r="AC183" i="1"/>
  <c r="AT183" i="1" l="1"/>
  <c r="P183" i="1"/>
  <c r="AB183" i="1"/>
  <c r="AS183" i="1"/>
  <c r="AI184" i="1"/>
  <c r="AJ184" i="1" s="1" a="1"/>
  <c r="AJ184" i="1" s="1"/>
  <c r="AF183" i="1"/>
  <c r="AE183" i="1"/>
  <c r="AU183" i="1" l="1"/>
  <c r="AV183" i="1" s="1"/>
  <c r="AG183" i="1"/>
  <c r="AH183" i="1" s="1"/>
  <c r="F183" i="1" l="1"/>
  <c r="J184" i="1" s="1"/>
  <c r="K183" i="1" l="1"/>
  <c r="L183" i="1" s="1"/>
  <c r="I183" i="1"/>
  <c r="M183" i="1" l="1"/>
  <c r="H183" i="1" s="1"/>
  <c r="E184" i="1" s="1"/>
  <c r="R184" i="1" s="1"/>
  <c r="C184" i="1" l="1"/>
  <c r="S184" i="1"/>
  <c r="AR184" i="1" s="1"/>
  <c r="D184" i="1"/>
  <c r="O184" i="1" s="1"/>
  <c r="AQ184" i="1" s="1"/>
  <c r="AD184" i="1"/>
  <c r="N184" i="1" l="1"/>
  <c r="P184" i="1" s="1"/>
  <c r="Q184" i="1"/>
  <c r="AC184" i="1"/>
  <c r="U185" i="1"/>
  <c r="V185" i="1" s="1" a="1"/>
  <c r="V185" i="1" s="1"/>
  <c r="AB184" i="1" l="1"/>
  <c r="AF184" i="1" s="1"/>
  <c r="AP184" i="1"/>
  <c r="AT184" i="1" s="1"/>
  <c r="AI185" i="1"/>
  <c r="AJ185" i="1" s="1" a="1"/>
  <c r="AJ185" i="1" s="1"/>
  <c r="AS184" i="1"/>
  <c r="AE184" i="1"/>
  <c r="AG184" i="1" l="1"/>
  <c r="AH184" i="1" s="1"/>
  <c r="AU184" i="1"/>
  <c r="AV184" i="1" s="1"/>
  <c r="F184" i="1" l="1"/>
  <c r="I184" i="1" s="1"/>
  <c r="K184" i="1" l="1"/>
  <c r="L184" i="1" s="1"/>
  <c r="M184" i="1" s="1"/>
  <c r="H184" i="1" s="1"/>
  <c r="E185" i="1" s="1"/>
  <c r="R185" i="1" s="1"/>
  <c r="J185" i="1"/>
  <c r="S185" i="1" l="1"/>
  <c r="AD185" i="1" s="1"/>
  <c r="C185" i="1"/>
  <c r="D185" i="1"/>
  <c r="O185" i="1" s="1"/>
  <c r="AQ185" i="1" s="1"/>
  <c r="N185" i="1" l="1"/>
  <c r="AB185" i="1" s="1"/>
  <c r="AR185" i="1"/>
  <c r="Q185" i="1"/>
  <c r="AC185" i="1"/>
  <c r="U186" i="1"/>
  <c r="V186" i="1" s="1" a="1"/>
  <c r="V186" i="1" s="1"/>
  <c r="P185" i="1" l="1"/>
  <c r="AF185" i="1"/>
  <c r="AE185" i="1"/>
  <c r="AI186" i="1"/>
  <c r="AJ186" i="1" s="1" a="1"/>
  <c r="AJ186" i="1" s="1"/>
  <c r="AP185" i="1"/>
  <c r="AT185" i="1" s="1"/>
  <c r="AG185" i="1" l="1"/>
  <c r="AH185" i="1" s="1"/>
  <c r="AS185" i="1"/>
  <c r="AU185" i="1" s="1"/>
  <c r="AV185" i="1" s="1"/>
  <c r="F185" i="1" l="1"/>
  <c r="I185" i="1" s="1"/>
  <c r="J186" i="1" l="1"/>
  <c r="K185" i="1"/>
  <c r="L185" i="1" s="1"/>
  <c r="M185" i="1" s="1"/>
  <c r="H185" i="1" s="1"/>
  <c r="E186" i="1" s="1"/>
  <c r="D186" i="1" s="1"/>
  <c r="C186" i="1" l="1"/>
  <c r="U187" i="1" s="1"/>
  <c r="V187" i="1" s="1" a="1"/>
  <c r="V187" i="1" s="1"/>
  <c r="R186" i="1"/>
  <c r="O186" i="1" s="1"/>
  <c r="AQ186" i="1" s="1"/>
  <c r="S186" i="1"/>
  <c r="AD186" i="1" l="1"/>
  <c r="N186" i="1"/>
  <c r="AB186" i="1" s="1"/>
  <c r="AR186" i="1"/>
  <c r="Q186" i="1"/>
  <c r="AC186" i="1"/>
  <c r="AF186" i="1" l="1"/>
  <c r="P186" i="1"/>
  <c r="AP186" i="1"/>
  <c r="AT186" i="1" s="1"/>
  <c r="AI187" i="1" s="1"/>
  <c r="AJ187" i="1" s="1" a="1"/>
  <c r="AJ187" i="1" s="1"/>
  <c r="AE186" i="1"/>
  <c r="AS186" i="1" l="1"/>
  <c r="AU186" i="1" s="1"/>
  <c r="AV186" i="1" s="1"/>
  <c r="AG186" i="1"/>
  <c r="AH186" i="1" s="1"/>
  <c r="F186" i="1" l="1"/>
  <c r="J187" i="1" s="1"/>
  <c r="K186" i="1" l="1"/>
  <c r="L186" i="1" s="1"/>
  <c r="I186" i="1"/>
  <c r="M186" i="1" l="1"/>
  <c r="H186" i="1" s="1"/>
  <c r="E187" i="1" s="1"/>
  <c r="C187" i="1" s="1"/>
  <c r="R187" i="1" l="1"/>
  <c r="D187" i="1"/>
  <c r="U188" i="1" s="1"/>
  <c r="V188" i="1" s="1" a="1"/>
  <c r="V188" i="1" s="1"/>
  <c r="S187" i="1"/>
  <c r="N187" i="1" s="1"/>
  <c r="AP187" i="1" s="1"/>
  <c r="AD187" i="1" l="1"/>
  <c r="P187" i="1"/>
  <c r="AB187" i="1"/>
  <c r="O187" i="1"/>
  <c r="AC187" i="1" s="1"/>
  <c r="AI188" i="1"/>
  <c r="AJ188" i="1" s="1" a="1"/>
  <c r="AJ188" i="1" s="1"/>
  <c r="AR187" i="1"/>
  <c r="Q187" i="1" l="1"/>
  <c r="AQ187" i="1"/>
  <c r="AS187" i="1" s="1"/>
  <c r="AF187" i="1"/>
  <c r="AE187" i="1"/>
  <c r="AT187" i="1" l="1"/>
  <c r="AU187" i="1" s="1"/>
  <c r="AV187" i="1" s="1"/>
  <c r="AG187" i="1"/>
  <c r="AH187" i="1" s="1"/>
  <c r="F187" i="1" l="1"/>
  <c r="I187" i="1" s="1"/>
  <c r="K187" i="1" l="1"/>
  <c r="L187" i="1" s="1"/>
  <c r="M187" i="1" s="1"/>
  <c r="H187" i="1" s="1"/>
  <c r="E188" i="1" s="1"/>
  <c r="R188" i="1" s="1"/>
  <c r="J188" i="1"/>
  <c r="D188" i="1" l="1"/>
  <c r="O188" i="1" s="1"/>
  <c r="AC188" i="1" s="1"/>
  <c r="S188" i="1"/>
  <c r="AR188" i="1" s="1"/>
  <c r="C188" i="1"/>
  <c r="AQ188" i="1" l="1"/>
  <c r="Q188" i="1"/>
  <c r="N188" i="1"/>
  <c r="AP188" i="1" s="1"/>
  <c r="U189" i="1"/>
  <c r="V189" i="1" s="1" a="1"/>
  <c r="V189" i="1" s="1"/>
  <c r="AD188" i="1"/>
  <c r="AB188" i="1" l="1"/>
  <c r="AF188" i="1" s="1"/>
  <c r="AS188" i="1"/>
  <c r="P188" i="1"/>
  <c r="AT188" i="1"/>
  <c r="AI189" i="1"/>
  <c r="AJ189" i="1" s="1" a="1"/>
  <c r="AJ189" i="1" s="1"/>
  <c r="AE188" i="1" l="1"/>
  <c r="AG188" i="1" s="1"/>
  <c r="AH188" i="1" s="1"/>
  <c r="AU188" i="1"/>
  <c r="AV188" i="1" s="1"/>
  <c r="F188" i="1" l="1"/>
  <c r="I188" i="1" s="1"/>
  <c r="J189" i="1"/>
  <c r="K188" i="1"/>
  <c r="L188" i="1" s="1"/>
  <c r="M188" i="1" s="1"/>
  <c r="H188" i="1" s="1"/>
  <c r="E189" i="1" s="1"/>
  <c r="S189" i="1" s="1"/>
  <c r="R189" i="1" l="1"/>
  <c r="AD189" i="1" s="1"/>
  <c r="C189" i="1"/>
  <c r="N189" i="1" s="1"/>
  <c r="AP189" i="1" s="1"/>
  <c r="D189" i="1"/>
  <c r="O189" i="1" l="1"/>
  <c r="Q189" i="1" s="1"/>
  <c r="AR189" i="1"/>
  <c r="U190" i="1"/>
  <c r="V190" i="1" s="1" a="1"/>
  <c r="V190" i="1" s="1"/>
  <c r="AB189" i="1"/>
  <c r="P189" i="1"/>
  <c r="AC189" i="1" l="1"/>
  <c r="AF189" i="1" s="1"/>
  <c r="AQ189" i="1"/>
  <c r="AS189" i="1" s="1"/>
  <c r="AI190" i="1"/>
  <c r="AJ190" i="1" s="1" a="1"/>
  <c r="AJ190" i="1" s="1"/>
  <c r="AE189" i="1" l="1"/>
  <c r="AT189" i="1"/>
  <c r="AG189" i="1" l="1"/>
  <c r="AH189" i="1" s="1"/>
  <c r="AU189" i="1"/>
  <c r="AV189" i="1" s="1"/>
  <c r="F189" i="1" l="1"/>
  <c r="K189" i="1" s="1"/>
  <c r="L189" i="1" s="1"/>
  <c r="I189" i="1" l="1"/>
  <c r="M189" i="1" s="1"/>
  <c r="H189" i="1" s="1"/>
  <c r="E190" i="1" s="1"/>
  <c r="S190" i="1" s="1"/>
  <c r="J190" i="1"/>
  <c r="D190" i="1" l="1"/>
  <c r="R190" i="1"/>
  <c r="AD190" i="1" s="1"/>
  <c r="C190" i="1"/>
  <c r="N190" i="1" s="1"/>
  <c r="AB190" i="1" s="1"/>
  <c r="AR190" i="1" l="1"/>
  <c r="O190" i="1"/>
  <c r="AC190" i="1" s="1"/>
  <c r="AF190" i="1" s="1"/>
  <c r="U191" i="1"/>
  <c r="V191" i="1" s="1" a="1"/>
  <c r="V191" i="1" s="1"/>
  <c r="P190" i="1"/>
  <c r="AP190" i="1"/>
  <c r="AQ190" i="1" l="1"/>
  <c r="AS190" i="1" s="1"/>
  <c r="AE190" i="1"/>
  <c r="AG190" i="1" s="1"/>
  <c r="AH190" i="1" s="1"/>
  <c r="Q190" i="1"/>
  <c r="AI191" i="1"/>
  <c r="AJ191" i="1" s="1" a="1"/>
  <c r="AJ191" i="1" s="1"/>
  <c r="AT190" i="1" l="1"/>
  <c r="AU190" i="1" s="1"/>
  <c r="AV190" i="1" s="1"/>
  <c r="F190" i="1" s="1"/>
  <c r="K190" i="1" l="1"/>
  <c r="L190" i="1" s="1"/>
  <c r="I190" i="1"/>
  <c r="J191" i="1"/>
  <c r="M190" i="1" l="1"/>
  <c r="H190" i="1" s="1"/>
  <c r="E191" i="1" s="1"/>
  <c r="C191" i="1" s="1"/>
  <c r="R191" i="1" l="1"/>
  <c r="S191" i="1"/>
  <c r="N191" i="1" s="1"/>
  <c r="AP191" i="1" s="1"/>
  <c r="D191" i="1"/>
  <c r="U192" i="1" s="1"/>
  <c r="V192" i="1" s="1" a="1"/>
  <c r="V192" i="1" s="1"/>
  <c r="P191" i="1" l="1"/>
  <c r="AR191" i="1"/>
  <c r="AD191" i="1"/>
  <c r="O191" i="1"/>
  <c r="Q191" i="1" s="1"/>
  <c r="AI192" i="1"/>
  <c r="AJ192" i="1" s="1" a="1"/>
  <c r="AJ192" i="1" s="1"/>
  <c r="AB191" i="1"/>
  <c r="AC191" i="1" l="1"/>
  <c r="AE191" i="1" s="1"/>
  <c r="AQ191" i="1"/>
  <c r="AT191" i="1" s="1"/>
  <c r="AF191" i="1" l="1"/>
  <c r="AG191" i="1" s="1"/>
  <c r="AH191" i="1" s="1"/>
  <c r="AS191" i="1"/>
  <c r="AU191" i="1" s="1"/>
  <c r="AV191" i="1" s="1"/>
  <c r="F191" i="1" l="1"/>
  <c r="K191" i="1" s="1"/>
  <c r="L191" i="1" s="1"/>
  <c r="I191" i="1" l="1"/>
  <c r="M191" i="1" s="1"/>
  <c r="H191" i="1" s="1"/>
  <c r="E192" i="1" s="1"/>
  <c r="R192" i="1" s="1"/>
  <c r="J192" i="1"/>
  <c r="S192" i="1" l="1"/>
  <c r="AD192" i="1" s="1"/>
  <c r="D192" i="1"/>
  <c r="O192" i="1" s="1"/>
  <c r="AC192" i="1" s="1"/>
  <c r="C192" i="1"/>
  <c r="N192" i="1" l="1"/>
  <c r="AP192" i="1" s="1"/>
  <c r="AR192" i="1"/>
  <c r="Q192" i="1"/>
  <c r="AQ192" i="1"/>
  <c r="U193" i="1"/>
  <c r="AI193" i="1" s="1"/>
  <c r="AJ193" i="1" s="1" a="1"/>
  <c r="AJ193" i="1" s="1"/>
  <c r="AB192" i="1" l="1"/>
  <c r="AF192" i="1" s="1"/>
  <c r="AS192" i="1"/>
  <c r="P192" i="1"/>
  <c r="AT192" i="1"/>
  <c r="V193" i="1" a="1"/>
  <c r="V193" i="1" s="1"/>
  <c r="AU192" i="1" l="1"/>
  <c r="AV192" i="1" s="1"/>
  <c r="AE192" i="1"/>
  <c r="AG192" i="1" l="1"/>
  <c r="AH192" i="1" s="1"/>
  <c r="F192" i="1" s="1"/>
  <c r="K192" i="1" s="1"/>
  <c r="L192" i="1" s="1"/>
  <c r="J193" i="1" l="1"/>
  <c r="I192" i="1"/>
  <c r="M192" i="1" s="1"/>
  <c r="H192" i="1" s="1"/>
  <c r="E193" i="1" s="1"/>
  <c r="C193" i="1" s="1"/>
  <c r="D193" i="1" l="1"/>
  <c r="U194" i="1" s="1"/>
  <c r="S193" i="1"/>
  <c r="N193" i="1" s="1"/>
  <c r="R193" i="1"/>
  <c r="AR193" i="1" l="1"/>
  <c r="O193" i="1"/>
  <c r="Q193" i="1" s="1"/>
  <c r="AD193" i="1"/>
  <c r="AB193" i="1"/>
  <c r="AP193" i="1"/>
  <c r="P193" i="1"/>
  <c r="AI194" i="1"/>
  <c r="AJ194" i="1" s="1" a="1"/>
  <c r="AJ194" i="1" s="1"/>
  <c r="V194" i="1" a="1"/>
  <c r="V194" i="1" s="1"/>
  <c r="AQ193" i="1" l="1"/>
  <c r="AS193" i="1" s="1"/>
  <c r="AC193" i="1"/>
  <c r="AF193" i="1" s="1"/>
  <c r="AT193" i="1" l="1"/>
  <c r="AE193" i="1"/>
  <c r="AG193" i="1" l="1"/>
  <c r="AH193" i="1" s="1"/>
  <c r="AU193" i="1"/>
  <c r="AV193" i="1" s="1"/>
  <c r="F193" i="1" l="1"/>
  <c r="I193" i="1" s="1"/>
  <c r="J194" i="1" l="1"/>
  <c r="K193" i="1"/>
  <c r="L193" i="1" s="1"/>
  <c r="M193" i="1" s="1"/>
  <c r="H193" i="1" s="1"/>
  <c r="E194" i="1" s="1"/>
  <c r="R194" i="1" s="1"/>
  <c r="C194" i="1" l="1"/>
  <c r="S194" i="1"/>
  <c r="AD194" i="1" s="1"/>
  <c r="D194" i="1"/>
  <c r="O194" i="1" s="1"/>
  <c r="AQ194" i="1" s="1"/>
  <c r="N194" i="1" l="1"/>
  <c r="AP194" i="1" s="1"/>
  <c r="AR194" i="1"/>
  <c r="U195" i="1"/>
  <c r="V195" i="1" s="1" a="1"/>
  <c r="V195" i="1" s="1"/>
  <c r="Q194" i="1"/>
  <c r="AC194" i="1"/>
  <c r="AT194" i="1" l="1"/>
  <c r="P194" i="1"/>
  <c r="AB194" i="1"/>
  <c r="AF194" i="1" s="1"/>
  <c r="AS194" i="1"/>
  <c r="AI195" i="1"/>
  <c r="AJ195" i="1" s="1" a="1"/>
  <c r="AJ195" i="1" s="1"/>
  <c r="AU194" i="1" l="1"/>
  <c r="AV194" i="1" s="1"/>
  <c r="AE194" i="1"/>
  <c r="AG194" i="1" l="1"/>
  <c r="AH194" i="1" s="1"/>
  <c r="F194" i="1" s="1"/>
  <c r="J195" i="1" s="1"/>
  <c r="I194" i="1" l="1"/>
  <c r="K194" i="1"/>
  <c r="L194" i="1" s="1"/>
  <c r="M194" i="1" l="1"/>
  <c r="H194" i="1" s="1"/>
  <c r="E195" i="1" s="1"/>
  <c r="S195" i="1" s="1"/>
  <c r="R195" i="1" l="1"/>
  <c r="AR195" i="1" s="1"/>
  <c r="D195" i="1"/>
  <c r="C195" i="1"/>
  <c r="N195" i="1" s="1"/>
  <c r="P195" i="1" s="1"/>
  <c r="AD195" i="1" l="1"/>
  <c r="O195" i="1"/>
  <c r="Q195" i="1" s="1"/>
  <c r="AP195" i="1"/>
  <c r="AB195" i="1"/>
  <c r="U196" i="1"/>
  <c r="AI196" i="1" s="1"/>
  <c r="AJ196" i="1" s="1" a="1"/>
  <c r="AJ196" i="1" s="1"/>
  <c r="AC195" i="1" l="1"/>
  <c r="AF195" i="1" s="1"/>
  <c r="AQ195" i="1"/>
  <c r="AT195" i="1" s="1"/>
  <c r="V196" i="1" a="1"/>
  <c r="V196" i="1" s="1"/>
  <c r="AE195" i="1" l="1"/>
  <c r="AS195" i="1"/>
  <c r="AG195" i="1" l="1"/>
  <c r="AH195" i="1" s="1"/>
  <c r="AU195" i="1"/>
  <c r="AV195" i="1" s="1"/>
  <c r="F195" i="1" l="1"/>
  <c r="J196" i="1" s="1"/>
  <c r="K195" i="1" l="1"/>
  <c r="L195" i="1" s="1"/>
  <c r="I195" i="1"/>
  <c r="M195" i="1" l="1"/>
  <c r="H195" i="1" s="1"/>
  <c r="E196" i="1" s="1"/>
  <c r="R196" i="1" s="1"/>
  <c r="C196" i="1" l="1"/>
  <c r="S196" i="1"/>
  <c r="AD196" i="1" s="1"/>
  <c r="D196" i="1"/>
  <c r="O196" i="1" s="1"/>
  <c r="U197" i="1" l="1"/>
  <c r="V197" i="1" s="1" a="1"/>
  <c r="V197" i="1" s="1"/>
  <c r="AC196" i="1"/>
  <c r="Q196" i="1"/>
  <c r="AQ196" i="1"/>
  <c r="AR196" i="1"/>
  <c r="N196" i="1"/>
  <c r="P196" i="1" s="1"/>
  <c r="AI197" i="1" l="1"/>
  <c r="AJ197" i="1" s="1" a="1"/>
  <c r="AJ197" i="1" s="1"/>
  <c r="AP196" i="1"/>
  <c r="AT196" i="1" s="1"/>
  <c r="AB196" i="1"/>
  <c r="AF196" i="1" s="1"/>
  <c r="AE196" i="1" l="1"/>
  <c r="AG196" i="1" s="1"/>
  <c r="AH196" i="1" s="1"/>
  <c r="AS196" i="1"/>
  <c r="AU196" i="1" s="1"/>
  <c r="AV196" i="1" s="1"/>
  <c r="F196" i="1" l="1"/>
  <c r="J197" i="1" s="1"/>
  <c r="K196" i="1" l="1"/>
  <c r="L196" i="1" s="1"/>
  <c r="I196" i="1"/>
  <c r="M196" i="1" l="1"/>
  <c r="H196" i="1" s="1"/>
  <c r="E197" i="1" s="1"/>
  <c r="C197" i="1" s="1"/>
  <c r="R197" i="1" l="1"/>
  <c r="D197" i="1"/>
  <c r="U198" i="1" s="1"/>
  <c r="V198" i="1" s="1" a="1"/>
  <c r="V198" i="1" s="1"/>
  <c r="S197" i="1"/>
  <c r="N197" i="1" s="1"/>
  <c r="P197" i="1" s="1"/>
  <c r="O197" i="1" l="1"/>
  <c r="AC197" i="1" s="1"/>
  <c r="AR197" i="1"/>
  <c r="AP197" i="1"/>
  <c r="AB197" i="1"/>
  <c r="AD197" i="1"/>
  <c r="Q197" i="1" l="1"/>
  <c r="AQ197" i="1"/>
  <c r="AS197" i="1" s="1"/>
  <c r="AF197" i="1"/>
  <c r="AE197" i="1"/>
  <c r="AT197" i="1"/>
  <c r="AI198" i="1" s="1"/>
  <c r="AJ198" i="1" s="1" a="1"/>
  <c r="AJ198" i="1" s="1"/>
  <c r="AG197" i="1" l="1"/>
  <c r="AH197" i="1" s="1"/>
  <c r="AU197" i="1"/>
  <c r="AV197" i="1" s="1"/>
  <c r="F197" i="1" l="1"/>
  <c r="K197" i="1" s="1"/>
  <c r="L197" i="1" s="1"/>
  <c r="J198" i="1" l="1"/>
  <c r="I197" i="1"/>
  <c r="M197" i="1" s="1"/>
  <c r="H197" i="1" s="1"/>
  <c r="E198" i="1" s="1"/>
  <c r="R198" i="1" s="1"/>
  <c r="D198" i="1" l="1"/>
  <c r="O198" i="1" s="1"/>
  <c r="Q198" i="1" s="1"/>
  <c r="C198" i="1"/>
  <c r="S198" i="1"/>
  <c r="AR198" i="1" s="1"/>
  <c r="AQ198" i="1" l="1"/>
  <c r="AC198" i="1"/>
  <c r="AD198" i="1"/>
  <c r="N198" i="1"/>
  <c r="AB198" i="1" s="1"/>
  <c r="U199" i="1"/>
  <c r="V199" i="1" s="1" a="1"/>
  <c r="V199" i="1" s="1"/>
  <c r="AF198" i="1" l="1"/>
  <c r="AE198" i="1"/>
  <c r="AI199" i="1"/>
  <c r="AJ199" i="1" s="1" a="1"/>
  <c r="AJ199" i="1" s="1"/>
  <c r="AP198" i="1"/>
  <c r="AS198" i="1" s="1"/>
  <c r="P198" i="1"/>
  <c r="AG198" i="1" l="1"/>
  <c r="AH198" i="1" s="1"/>
  <c r="AT198" i="1"/>
  <c r="AU198" i="1" s="1"/>
  <c r="AV198" i="1" s="1"/>
  <c r="F198" i="1" l="1"/>
  <c r="J199" i="1" s="1"/>
  <c r="I198" i="1"/>
  <c r="K198" i="1"/>
  <c r="L198" i="1" s="1"/>
  <c r="M198" i="1" l="1"/>
  <c r="H198" i="1" s="1"/>
  <c r="E199" i="1" s="1"/>
  <c r="S199" i="1" s="1"/>
  <c r="D199" i="1" l="1"/>
  <c r="R199" i="1"/>
  <c r="AD199" i="1" s="1"/>
  <c r="C199" i="1"/>
  <c r="N199" i="1" s="1"/>
  <c r="P199" i="1" s="1"/>
  <c r="AB199" i="1" l="1"/>
  <c r="AP199" i="1"/>
  <c r="U200" i="1"/>
  <c r="AI200" i="1" s="1"/>
  <c r="AJ200" i="1" s="1" a="1"/>
  <c r="AJ200" i="1" s="1"/>
  <c r="O199" i="1"/>
  <c r="Q199" i="1" s="1"/>
  <c r="AR199" i="1"/>
  <c r="AQ199" i="1" l="1"/>
  <c r="AT199" i="1" s="1"/>
  <c r="AC199" i="1"/>
  <c r="AE199" i="1" s="1"/>
  <c r="V200" i="1" a="1"/>
  <c r="V200" i="1" s="1"/>
  <c r="AF199" i="1" l="1"/>
  <c r="AS199" i="1"/>
  <c r="AG199" i="1" l="1"/>
  <c r="AH199" i="1" s="1"/>
  <c r="AU199" i="1"/>
  <c r="AV199" i="1" s="1"/>
  <c r="F199" i="1" l="1"/>
  <c r="K199" i="1" s="1"/>
  <c r="L199" i="1" s="1"/>
  <c r="I199" i="1" l="1"/>
  <c r="M199" i="1" s="1"/>
  <c r="H199" i="1" s="1"/>
  <c r="E200" i="1" s="1"/>
  <c r="D200" i="1" s="1"/>
  <c r="J200" i="1"/>
  <c r="C200" i="1" l="1"/>
  <c r="U201" i="1" s="1"/>
  <c r="V201" i="1" s="1" a="1"/>
  <c r="V201" i="1" s="1"/>
  <c r="R200" i="1"/>
  <c r="O200" i="1" s="1"/>
  <c r="AQ200" i="1" s="1"/>
  <c r="S200" i="1"/>
  <c r="AR200" i="1" l="1"/>
  <c r="Q200" i="1"/>
  <c r="AC200" i="1"/>
  <c r="AI201" i="1"/>
  <c r="AJ201" i="1" s="1" a="1"/>
  <c r="AJ201" i="1" s="1"/>
  <c r="AD200" i="1"/>
  <c r="N200" i="1"/>
  <c r="P200" i="1" s="1"/>
  <c r="AP200" i="1" l="1"/>
  <c r="AT200" i="1" s="1"/>
  <c r="AB200" i="1"/>
  <c r="AF200" i="1" s="1"/>
  <c r="AS200" i="1" l="1"/>
  <c r="AU200" i="1" s="1"/>
  <c r="AV200" i="1" s="1"/>
  <c r="AE200" i="1"/>
  <c r="AG200" i="1" s="1"/>
  <c r="AH200" i="1" s="1"/>
  <c r="F200" i="1" l="1"/>
  <c r="K200" i="1" s="1"/>
  <c r="L200" i="1" s="1"/>
  <c r="J201" i="1" l="1"/>
  <c r="I200" i="1"/>
  <c r="M200" i="1" s="1"/>
  <c r="H200" i="1" s="1"/>
  <c r="E201" i="1" s="1"/>
  <c r="R201" i="1" s="1"/>
  <c r="C201" i="1" l="1"/>
  <c r="D201" i="1"/>
  <c r="O201" i="1" s="1"/>
  <c r="AQ201" i="1" s="1"/>
  <c r="S201" i="1"/>
  <c r="AR201" i="1" s="1"/>
  <c r="N201" i="1" l="1"/>
  <c r="P201" i="1" s="1"/>
  <c r="AD201" i="1"/>
  <c r="Q201" i="1"/>
  <c r="AC201" i="1"/>
  <c r="U202" i="1"/>
  <c r="AI202" i="1" s="1"/>
  <c r="AJ202" i="1" s="1" a="1"/>
  <c r="AJ202" i="1" s="1"/>
  <c r="AP201" i="1" l="1"/>
  <c r="AS201" i="1" s="1"/>
  <c r="V202" i="1" a="1"/>
  <c r="V202" i="1" s="1"/>
  <c r="AB201" i="1"/>
  <c r="AF201" i="1" s="1"/>
  <c r="AT201" i="1" l="1"/>
  <c r="AU201" i="1" s="1"/>
  <c r="AV201" i="1" s="1"/>
  <c r="AE201" i="1"/>
  <c r="AG201" i="1" s="1"/>
  <c r="AH201" i="1" s="1"/>
  <c r="F201" i="1" l="1"/>
  <c r="J202" i="1" s="1"/>
  <c r="K201" i="1" l="1"/>
  <c r="L201" i="1" s="1"/>
  <c r="I201" i="1"/>
  <c r="M201" i="1" l="1"/>
  <c r="H201" i="1" s="1"/>
  <c r="E202" i="1" s="1"/>
  <c r="R202" i="1" s="1"/>
  <c r="D202" i="1" l="1"/>
  <c r="O202" i="1" s="1"/>
  <c r="Q202" i="1" s="1"/>
  <c r="S202" i="1"/>
  <c r="AR202" i="1" s="1"/>
  <c r="C202" i="1"/>
  <c r="AD202" i="1" l="1"/>
  <c r="N202" i="1"/>
  <c r="AB202" i="1" s="1"/>
  <c r="AQ202" i="1"/>
  <c r="AC202" i="1"/>
  <c r="U203" i="1"/>
  <c r="AI203" i="1" s="1"/>
  <c r="AJ203" i="1" s="1" a="1"/>
  <c r="AJ203" i="1" s="1"/>
  <c r="AP202" i="1" l="1"/>
  <c r="AS202" i="1" s="1"/>
  <c r="AF202" i="1"/>
  <c r="AE202" i="1"/>
  <c r="P202" i="1"/>
  <c r="V203" i="1" a="1"/>
  <c r="V203" i="1" s="1"/>
  <c r="AT202" i="1" l="1"/>
  <c r="AU202" i="1" s="1"/>
  <c r="AV202" i="1" s="1"/>
  <c r="AG202" i="1"/>
  <c r="AH202" i="1" s="1"/>
  <c r="F202" i="1" l="1"/>
  <c r="J203" i="1" s="1"/>
  <c r="K202" i="1" l="1"/>
  <c r="L202" i="1" s="1"/>
  <c r="I202" i="1"/>
  <c r="M202" i="1" l="1"/>
  <c r="H202" i="1" s="1"/>
  <c r="E203" i="1" s="1"/>
  <c r="D203" i="1" s="1"/>
  <c r="C203" i="1" l="1"/>
  <c r="U204" i="1" s="1"/>
  <c r="AI204" i="1" s="1"/>
  <c r="AJ204" i="1" s="1" a="1"/>
  <c r="AJ204" i="1" s="1"/>
  <c r="S203" i="1"/>
  <c r="R203" i="1"/>
  <c r="O203" i="1" s="1"/>
  <c r="AQ203" i="1" s="1"/>
  <c r="V204" i="1" l="1" a="1"/>
  <c r="V204" i="1" s="1"/>
  <c r="AD203" i="1"/>
  <c r="N203" i="1"/>
  <c r="AB203" i="1" s="1"/>
  <c r="AR203" i="1"/>
  <c r="AC203" i="1"/>
  <c r="Q203" i="1"/>
  <c r="AP203" i="1" l="1"/>
  <c r="AT203" i="1" s="1"/>
  <c r="AF203" i="1"/>
  <c r="P203" i="1"/>
  <c r="AE203" i="1"/>
  <c r="AS203" i="1" l="1"/>
  <c r="AU203" i="1" s="1"/>
  <c r="AV203" i="1" s="1"/>
  <c r="AG203" i="1"/>
  <c r="AH203" i="1" s="1"/>
  <c r="F203" i="1" l="1"/>
  <c r="I203" i="1" s="1"/>
  <c r="K203" i="1" l="1"/>
  <c r="L203" i="1" s="1"/>
  <c r="M203" i="1" s="1"/>
  <c r="H203" i="1" s="1"/>
  <c r="E204" i="1" s="1"/>
  <c r="S204" i="1" s="1"/>
  <c r="J204" i="1"/>
  <c r="C204" i="1" l="1"/>
  <c r="N204" i="1" s="1"/>
  <c r="AB204" i="1" s="1"/>
  <c r="R204" i="1"/>
  <c r="AD204" i="1" s="1"/>
  <c r="D204" i="1"/>
  <c r="AR204" i="1" l="1"/>
  <c r="O204" i="1"/>
  <c r="AC204" i="1" s="1"/>
  <c r="AF204" i="1" s="1"/>
  <c r="AP204" i="1"/>
  <c r="P204" i="1"/>
  <c r="U205" i="1"/>
  <c r="AI205" i="1" s="1"/>
  <c r="AJ205" i="1" s="1" a="1"/>
  <c r="AJ205" i="1" s="1"/>
  <c r="Q204" i="1" l="1"/>
  <c r="AQ204" i="1"/>
  <c r="AS204" i="1"/>
  <c r="AE204" i="1"/>
  <c r="AG204" i="1" s="1"/>
  <c r="AH204" i="1" s="1"/>
  <c r="V205" i="1" a="1"/>
  <c r="V205" i="1" s="1"/>
  <c r="AT204" i="1"/>
  <c r="AU204" i="1" l="1"/>
  <c r="AV204" i="1" s="1"/>
  <c r="F204" i="1" s="1"/>
  <c r="I204" i="1" l="1"/>
  <c r="J205" i="1"/>
  <c r="K204" i="1"/>
  <c r="L204" i="1" s="1"/>
  <c r="M204" i="1" l="1"/>
  <c r="H204" i="1" s="1"/>
  <c r="E205" i="1" s="1"/>
  <c r="C205" i="1" s="1"/>
  <c r="R205" i="1" l="1"/>
  <c r="S205" i="1"/>
  <c r="N205" i="1" s="1"/>
  <c r="P205" i="1" s="1"/>
  <c r="D205" i="1"/>
  <c r="U206" i="1" s="1"/>
  <c r="AI206" i="1" s="1"/>
  <c r="AJ206" i="1" s="1" a="1"/>
  <c r="AJ206" i="1" s="1"/>
  <c r="AD205" i="1" l="1"/>
  <c r="O205" i="1"/>
  <c r="AC205" i="1" s="1"/>
  <c r="AR205" i="1"/>
  <c r="V206" i="1" a="1"/>
  <c r="V206" i="1" s="1"/>
  <c r="AP205" i="1"/>
  <c r="AB205" i="1"/>
  <c r="Q205" i="1" l="1"/>
  <c r="AQ205" i="1"/>
  <c r="AT205" i="1" s="1"/>
  <c r="AE205" i="1"/>
  <c r="AF205" i="1"/>
  <c r="AS205" i="1" l="1"/>
  <c r="AU205" i="1" s="1"/>
  <c r="AV205" i="1" s="1"/>
  <c r="AG205" i="1"/>
  <c r="AH205" i="1" s="1"/>
  <c r="F205" i="1" l="1"/>
  <c r="I205" i="1" s="1"/>
  <c r="K205" i="1" l="1"/>
  <c r="L205" i="1" s="1"/>
  <c r="M205" i="1" s="1"/>
  <c r="H205" i="1" s="1"/>
  <c r="E206" i="1" s="1"/>
  <c r="D206" i="1" s="1"/>
  <c r="J206" i="1"/>
  <c r="C206" i="1" l="1"/>
  <c r="U207" i="1" s="1"/>
  <c r="V207" i="1" s="1" a="1"/>
  <c r="V207" i="1" s="1"/>
  <c r="R206" i="1"/>
  <c r="O206" i="1" s="1"/>
  <c r="S206" i="1"/>
  <c r="N206" i="1" l="1"/>
  <c r="P206" i="1" s="1"/>
  <c r="AC206" i="1"/>
  <c r="Q206" i="1"/>
  <c r="AQ206" i="1"/>
  <c r="AI207" i="1"/>
  <c r="AJ207" i="1" s="1" a="1"/>
  <c r="AJ207" i="1" s="1"/>
  <c r="AD206" i="1"/>
  <c r="AR206" i="1"/>
  <c r="AB206" i="1" l="1"/>
  <c r="AE206" i="1" s="1"/>
  <c r="AP206" i="1"/>
  <c r="AS206" i="1" s="1"/>
  <c r="AT206" i="1" l="1"/>
  <c r="AF206" i="1"/>
  <c r="AG206" i="1" l="1"/>
  <c r="AH206" i="1" s="1"/>
  <c r="AU206" i="1"/>
  <c r="AV206" i="1" s="1"/>
  <c r="F206" i="1" l="1"/>
  <c r="K206" i="1" s="1"/>
  <c r="L206" i="1" s="1"/>
  <c r="I206" i="1" l="1"/>
  <c r="M206" i="1" s="1"/>
  <c r="H206" i="1" s="1"/>
  <c r="E207" i="1" s="1"/>
  <c r="S207" i="1" s="1"/>
  <c r="J207" i="1"/>
  <c r="R207" i="1" l="1"/>
  <c r="AR207" i="1" s="1"/>
  <c r="C207" i="1"/>
  <c r="N207" i="1" s="1"/>
  <c r="D207" i="1"/>
  <c r="AD207" i="1" l="1"/>
  <c r="O207" i="1"/>
  <c r="AC207" i="1" s="1"/>
  <c r="U208" i="1"/>
  <c r="AI208" i="1" s="1"/>
  <c r="AJ208" i="1" s="1" a="1"/>
  <c r="AJ208" i="1" s="1"/>
  <c r="P207" i="1"/>
  <c r="AB207" i="1"/>
  <c r="AP207" i="1"/>
  <c r="AQ207" i="1" l="1"/>
  <c r="AS207" i="1" s="1"/>
  <c r="Q207" i="1"/>
  <c r="V208" i="1" a="1"/>
  <c r="V208" i="1" s="1"/>
  <c r="AE207" i="1"/>
  <c r="AF207" i="1"/>
  <c r="AT207" i="1" l="1"/>
  <c r="AU207" i="1" s="1"/>
  <c r="AV207" i="1" s="1"/>
  <c r="AG207" i="1"/>
  <c r="AH207" i="1" s="1"/>
  <c r="F207" i="1" l="1"/>
  <c r="I207" i="1" s="1"/>
  <c r="J208" i="1" l="1"/>
  <c r="K207" i="1"/>
  <c r="L207" i="1" s="1"/>
  <c r="M207" i="1" s="1"/>
  <c r="H207" i="1" s="1"/>
  <c r="E208" i="1" s="1"/>
  <c r="R208" i="1" l="1"/>
  <c r="C208" i="1"/>
  <c r="S208" i="1"/>
  <c r="D208" i="1"/>
  <c r="O208" i="1" l="1"/>
  <c r="Q208" i="1" s="1"/>
  <c r="N208" i="1"/>
  <c r="U209" i="1"/>
  <c r="AD208" i="1"/>
  <c r="AR208" i="1"/>
  <c r="AQ208" i="1" l="1"/>
  <c r="AC208" i="1"/>
  <c r="V209" i="1" a="1"/>
  <c r="V209" i="1" s="1"/>
  <c r="AI209" i="1"/>
  <c r="AJ209" i="1" s="1" a="1"/>
  <c r="AJ209" i="1" s="1"/>
  <c r="P208" i="1"/>
  <c r="AB208" i="1"/>
  <c r="AP208" i="1"/>
  <c r="AS208" i="1" l="1"/>
  <c r="AT208" i="1"/>
  <c r="AE208" i="1"/>
  <c r="AF208" i="1"/>
  <c r="AG208" i="1" l="1"/>
  <c r="AH208" i="1" s="1"/>
  <c r="AU208" i="1"/>
  <c r="AV208" i="1" s="1"/>
  <c r="F208" i="1" l="1"/>
  <c r="J209" i="1" s="1"/>
  <c r="K208" i="1" l="1"/>
  <c r="L208" i="1" s="1"/>
  <c r="I208" i="1"/>
  <c r="M208" i="1" l="1"/>
  <c r="H208" i="1" s="1"/>
  <c r="E209" i="1" s="1"/>
  <c r="S209" i="1" s="1"/>
  <c r="C209" i="1" l="1"/>
  <c r="N209" i="1" s="1"/>
  <c r="D209" i="1"/>
  <c r="R209" i="1"/>
  <c r="AR209" i="1" s="1"/>
  <c r="U210" i="1" l="1"/>
  <c r="AI210" i="1" s="1"/>
  <c r="AJ210" i="1" s="1" a="1"/>
  <c r="AJ210" i="1" s="1"/>
  <c r="O209" i="1"/>
  <c r="AC209" i="1" s="1"/>
  <c r="AD209" i="1"/>
  <c r="P209" i="1"/>
  <c r="AB209" i="1"/>
  <c r="AP209" i="1"/>
  <c r="V210" i="1" l="1" a="1"/>
  <c r="V210" i="1" s="1"/>
  <c r="Q209" i="1"/>
  <c r="AQ209" i="1"/>
  <c r="AT209" i="1" s="1"/>
  <c r="AF209" i="1"/>
  <c r="AE209" i="1"/>
  <c r="AG209" i="1" l="1"/>
  <c r="AH209" i="1" s="1"/>
  <c r="AS209" i="1"/>
  <c r="AU209" i="1" l="1"/>
  <c r="AV209" i="1" s="1"/>
  <c r="F209" i="1" s="1"/>
  <c r="J210" i="1" s="1"/>
  <c r="K209" i="1" l="1"/>
  <c r="L209" i="1" s="1"/>
  <c r="I209" i="1"/>
  <c r="M209" i="1" l="1"/>
  <c r="H209" i="1" s="1"/>
  <c r="E210" i="1" s="1"/>
  <c r="S210" i="1" s="1"/>
  <c r="C210" i="1" l="1"/>
  <c r="N210" i="1" s="1"/>
  <c r="P210" i="1" s="1"/>
  <c r="R210" i="1"/>
  <c r="AR210" i="1" s="1"/>
  <c r="D210" i="1"/>
  <c r="AD210" i="1" l="1"/>
  <c r="U211" i="1"/>
  <c r="AI211" i="1" s="1"/>
  <c r="AJ211" i="1" s="1" a="1"/>
  <c r="AJ211" i="1" s="1"/>
  <c r="AB210" i="1"/>
  <c r="AP210" i="1"/>
  <c r="O210" i="1"/>
  <c r="AQ210" i="1" s="1"/>
  <c r="AT210" i="1" l="1"/>
  <c r="Q210" i="1"/>
  <c r="V211" i="1" a="1"/>
  <c r="V211" i="1" s="1"/>
  <c r="AC210" i="1"/>
  <c r="AF210" i="1" s="1"/>
  <c r="AS210" i="1"/>
  <c r="AU210" i="1" l="1"/>
  <c r="AV210" i="1" s="1"/>
  <c r="AE210" i="1"/>
  <c r="AG210" i="1" l="1"/>
  <c r="AH210" i="1" s="1"/>
  <c r="F210" i="1" s="1"/>
  <c r="I210" i="1" s="1"/>
  <c r="K210" i="1" l="1"/>
  <c r="L210" i="1" s="1"/>
  <c r="M210" i="1" s="1"/>
  <c r="H210" i="1" s="1"/>
  <c r="E211" i="1" s="1"/>
  <c r="J211" i="1"/>
  <c r="S211" i="1" l="1"/>
  <c r="R211" i="1"/>
  <c r="C211" i="1"/>
  <c r="D211" i="1"/>
  <c r="O211" i="1" l="1"/>
  <c r="Q211" i="1" s="1"/>
  <c r="AR211" i="1"/>
  <c r="AD211" i="1"/>
  <c r="N211" i="1"/>
  <c r="U212" i="1"/>
  <c r="V212" i="1" s="1" a="1"/>
  <c r="V212" i="1" s="1"/>
  <c r="AQ211" i="1" l="1"/>
  <c r="AC211" i="1"/>
  <c r="P211" i="1"/>
  <c r="AP211" i="1"/>
  <c r="AB211" i="1"/>
  <c r="AI212" i="1"/>
  <c r="AJ212" i="1" s="1" a="1"/>
  <c r="AJ212" i="1" s="1"/>
  <c r="AT211" i="1" l="1"/>
  <c r="AS211" i="1"/>
  <c r="AF211" i="1"/>
  <c r="AE211" i="1"/>
  <c r="AU211" i="1" l="1"/>
  <c r="AV211" i="1" s="1"/>
  <c r="AG211" i="1"/>
  <c r="AH211" i="1" s="1"/>
  <c r="F211" i="1" l="1"/>
  <c r="K211" i="1" s="1"/>
  <c r="L211" i="1" s="1"/>
  <c r="I211" i="1" l="1"/>
  <c r="M211" i="1" s="1"/>
  <c r="H211" i="1" s="1"/>
  <c r="E212" i="1" s="1"/>
  <c r="D212" i="1" s="1"/>
  <c r="J212" i="1"/>
  <c r="S212" i="1" l="1"/>
  <c r="R212" i="1"/>
  <c r="O212" i="1" s="1"/>
  <c r="AQ212" i="1" s="1"/>
  <c r="C212" i="1"/>
  <c r="U213" i="1" s="1"/>
  <c r="V213" i="1" s="1" a="1"/>
  <c r="V213" i="1" s="1"/>
  <c r="AR212" i="1" l="1"/>
  <c r="AD212" i="1"/>
  <c r="AI213" i="1"/>
  <c r="AJ213" i="1" s="1" a="1"/>
  <c r="AJ213" i="1" s="1"/>
  <c r="N212" i="1"/>
  <c r="P212" i="1" s="1"/>
  <c r="AC212" i="1"/>
  <c r="Q212" i="1"/>
  <c r="AP212" i="1" l="1"/>
  <c r="AS212" i="1" s="1"/>
  <c r="AB212" i="1"/>
  <c r="AF212" i="1" s="1"/>
  <c r="AE212" i="1" l="1"/>
  <c r="AT212" i="1"/>
  <c r="AG212" i="1" l="1"/>
  <c r="AH212" i="1" s="1"/>
  <c r="AU212" i="1"/>
  <c r="AV212" i="1" s="1"/>
  <c r="F212" i="1" l="1"/>
  <c r="K212" i="1" s="1"/>
  <c r="L212" i="1" s="1"/>
  <c r="I212" i="1" l="1"/>
  <c r="M212" i="1" s="1"/>
  <c r="H212" i="1" s="1"/>
  <c r="E213" i="1" s="1"/>
  <c r="S213" i="1" s="1"/>
  <c r="J213" i="1"/>
  <c r="C213" i="1" l="1"/>
  <c r="N213" i="1" s="1"/>
  <c r="AB213" i="1" s="1"/>
  <c r="R213" i="1"/>
  <c r="AR213" i="1" s="1"/>
  <c r="D213" i="1"/>
  <c r="AD213" i="1" l="1"/>
  <c r="O213" i="1"/>
  <c r="Q213" i="1" s="1"/>
  <c r="AP213" i="1"/>
  <c r="P213" i="1"/>
  <c r="U214" i="1"/>
  <c r="V214" i="1" s="1" a="1"/>
  <c r="V214" i="1" s="1"/>
  <c r="AC213" i="1" l="1"/>
  <c r="AF213" i="1" s="1"/>
  <c r="AQ213" i="1"/>
  <c r="AT213" i="1" s="1"/>
  <c r="AI214" i="1"/>
  <c r="AJ214" i="1" s="1" a="1"/>
  <c r="AJ214" i="1" s="1"/>
  <c r="AE213" i="1" l="1"/>
  <c r="AG213" i="1" s="1"/>
  <c r="AH213" i="1" s="1"/>
  <c r="AS213" i="1"/>
  <c r="AU213" i="1" s="1"/>
  <c r="AV213" i="1" s="1"/>
  <c r="F213" i="1" l="1"/>
  <c r="I213" i="1" s="1"/>
  <c r="K213" i="1" l="1"/>
  <c r="L213" i="1" s="1"/>
  <c r="M213" i="1" s="1"/>
  <c r="H213" i="1" s="1"/>
  <c r="E214" i="1" s="1"/>
  <c r="R214" i="1" s="1"/>
  <c r="J214" i="1"/>
  <c r="S214" i="1" l="1"/>
  <c r="AR214" i="1" s="1"/>
  <c r="D214" i="1"/>
  <c r="O214" i="1" s="1"/>
  <c r="AQ214" i="1" s="1"/>
  <c r="C214" i="1"/>
  <c r="N214" i="1" l="1"/>
  <c r="AP214" i="1" s="1"/>
  <c r="AT214" i="1" s="1"/>
  <c r="AD214" i="1"/>
  <c r="U215" i="1"/>
  <c r="AI215" i="1" s="1"/>
  <c r="AJ215" i="1" s="1" a="1"/>
  <c r="AJ215" i="1" s="1"/>
  <c r="AC214" i="1"/>
  <c r="Q214" i="1"/>
  <c r="AB214" i="1" l="1"/>
  <c r="AF214" i="1" s="1"/>
  <c r="P214" i="1"/>
  <c r="V215" i="1" a="1"/>
  <c r="V215" i="1" s="1"/>
  <c r="AS214" i="1"/>
  <c r="AE214" i="1" l="1"/>
  <c r="AG214" i="1" s="1"/>
  <c r="AH214" i="1" s="1"/>
  <c r="AU214" i="1"/>
  <c r="AV214" i="1" s="1"/>
  <c r="F214" i="1" l="1"/>
  <c r="J215" i="1" s="1"/>
  <c r="I214" i="1" l="1"/>
  <c r="K214" i="1"/>
  <c r="L214" i="1" s="1"/>
  <c r="M214" i="1" l="1"/>
  <c r="H214" i="1" s="1"/>
  <c r="E215" i="1" s="1"/>
  <c r="D215" i="1" s="1"/>
  <c r="C215" i="1" l="1"/>
  <c r="U216" i="1" s="1"/>
  <c r="R215" i="1"/>
  <c r="O215" i="1" s="1"/>
  <c r="S215" i="1"/>
  <c r="AD215" i="1" l="1"/>
  <c r="AR215" i="1"/>
  <c r="N215" i="1"/>
  <c r="AB215" i="1" s="1"/>
  <c r="AC215" i="1"/>
  <c r="AQ215" i="1"/>
  <c r="Q215" i="1"/>
  <c r="V216" i="1" a="1"/>
  <c r="V216" i="1" s="1"/>
  <c r="AI216" i="1"/>
  <c r="AJ216" i="1" s="1" a="1"/>
  <c r="AJ216" i="1" s="1"/>
  <c r="AP215" i="1" l="1"/>
  <c r="AT215" i="1" s="1"/>
  <c r="P215" i="1"/>
  <c r="AF215" i="1"/>
  <c r="AE215" i="1"/>
  <c r="AS215" i="1" l="1"/>
  <c r="AU215" i="1" s="1"/>
  <c r="AV215" i="1" s="1"/>
  <c r="AG215" i="1"/>
  <c r="AH215" i="1" s="1"/>
  <c r="F215" i="1" l="1"/>
  <c r="I215" i="1" s="1"/>
  <c r="J216" i="1" l="1"/>
  <c r="K215" i="1"/>
  <c r="L215" i="1" s="1"/>
  <c r="M215" i="1" s="1"/>
  <c r="H215" i="1" s="1"/>
  <c r="E216" i="1" s="1"/>
  <c r="C216" i="1" s="1"/>
  <c r="R216" i="1" l="1"/>
  <c r="S216" i="1"/>
  <c r="N216" i="1" s="1"/>
  <c r="D216" i="1"/>
  <c r="U217" i="1" s="1"/>
  <c r="AR216" i="1" l="1"/>
  <c r="AD216" i="1"/>
  <c r="O216" i="1"/>
  <c r="AC216" i="1" s="1"/>
  <c r="AB216" i="1"/>
  <c r="P216" i="1"/>
  <c r="AP216" i="1"/>
  <c r="AI217" i="1"/>
  <c r="AJ217" i="1" s="1" a="1"/>
  <c r="AJ217" i="1" s="1"/>
  <c r="V217" i="1" a="1"/>
  <c r="V217" i="1" s="1"/>
  <c r="AQ216" i="1" l="1"/>
  <c r="AT216" i="1" s="1"/>
  <c r="Q216" i="1"/>
  <c r="AE216" i="1"/>
  <c r="AF216" i="1"/>
  <c r="AG216" i="1" l="1"/>
  <c r="AH216" i="1" s="1"/>
  <c r="AS216" i="1"/>
  <c r="AU216" i="1" l="1"/>
  <c r="AV216" i="1" s="1"/>
  <c r="F216" i="1" s="1"/>
  <c r="K216" i="1" s="1"/>
  <c r="L216" i="1" s="1"/>
  <c r="I216" i="1" l="1"/>
  <c r="M216" i="1" s="1"/>
  <c r="H216" i="1" s="1"/>
  <c r="E217" i="1" s="1"/>
  <c r="S217" i="1" s="1"/>
  <c r="J217" i="1"/>
  <c r="D217" i="1" l="1"/>
  <c r="R217" i="1"/>
  <c r="AD217" i="1" s="1"/>
  <c r="C217" i="1"/>
  <c r="N217" i="1" s="1"/>
  <c r="AP217" i="1" s="1"/>
  <c r="P217" i="1" l="1"/>
  <c r="AB217" i="1"/>
  <c r="U218" i="1"/>
  <c r="V218" i="1" s="1" a="1"/>
  <c r="V218" i="1" s="1"/>
  <c r="O217" i="1"/>
  <c r="AC217" i="1" s="1"/>
  <c r="AF217" i="1" s="1"/>
  <c r="AR217" i="1"/>
  <c r="AE217" i="1" l="1"/>
  <c r="AQ217" i="1"/>
  <c r="AS217" i="1" s="1"/>
  <c r="Q217" i="1"/>
  <c r="AI218" i="1"/>
  <c r="AJ218" i="1" s="1" a="1"/>
  <c r="AJ218" i="1" s="1"/>
  <c r="AG217" i="1" l="1"/>
  <c r="AH217" i="1" s="1"/>
  <c r="AT217" i="1"/>
  <c r="AU217" i="1" l="1"/>
  <c r="AV217" i="1" s="1"/>
  <c r="F217" i="1" s="1"/>
  <c r="I217" i="1" l="1"/>
  <c r="K217" i="1"/>
  <c r="L217" i="1" s="1"/>
  <c r="J218" i="1"/>
  <c r="M217" i="1" l="1"/>
  <c r="H217" i="1" s="1"/>
  <c r="E218" i="1" s="1"/>
  <c r="C218" i="1" s="1"/>
  <c r="S218" i="1" l="1"/>
  <c r="N218" i="1" s="1"/>
  <c r="AP218" i="1" s="1"/>
  <c r="R218" i="1"/>
  <c r="D218" i="1"/>
  <c r="U219" i="1" s="1"/>
  <c r="AI219" i="1" s="1"/>
  <c r="AJ219" i="1" s="1" a="1"/>
  <c r="AJ219" i="1" s="1"/>
  <c r="AD218" i="1" l="1"/>
  <c r="AB218" i="1"/>
  <c r="P218" i="1"/>
  <c r="AR218" i="1"/>
  <c r="V219" i="1" a="1"/>
  <c r="V219" i="1" s="1"/>
  <c r="O218" i="1"/>
  <c r="Q218" i="1" s="1"/>
  <c r="AQ218" i="1" l="1"/>
  <c r="AT218" i="1" s="1"/>
  <c r="AC218" i="1"/>
  <c r="AE218" i="1" s="1"/>
  <c r="AF218" i="1" l="1"/>
  <c r="AG218" i="1" s="1"/>
  <c r="AH218" i="1" s="1"/>
  <c r="AS218" i="1"/>
  <c r="AU218" i="1" s="1"/>
  <c r="AV218" i="1" s="1"/>
  <c r="F218" i="1" l="1"/>
  <c r="I218" i="1" s="1"/>
  <c r="J219" i="1" l="1"/>
  <c r="K218" i="1"/>
  <c r="L218" i="1" s="1"/>
  <c r="M218" i="1" s="1"/>
  <c r="H218" i="1" s="1"/>
  <c r="E219" i="1" s="1"/>
  <c r="R219" i="1" s="1"/>
  <c r="D219" i="1" l="1"/>
  <c r="O219" i="1" s="1"/>
  <c r="AC219" i="1" s="1"/>
  <c r="S219" i="1"/>
  <c r="AD219" i="1" s="1"/>
  <c r="C219" i="1"/>
  <c r="U220" i="1" l="1"/>
  <c r="V220" i="1" s="1" a="1"/>
  <c r="V220" i="1" s="1"/>
  <c r="AQ219" i="1"/>
  <c r="Q219" i="1"/>
  <c r="AR219" i="1"/>
  <c r="N219" i="1"/>
  <c r="P219" i="1" s="1"/>
  <c r="AI220" i="1" l="1"/>
  <c r="AJ220" i="1" s="1" a="1"/>
  <c r="AJ220" i="1" s="1"/>
  <c r="AP219" i="1"/>
  <c r="AT219" i="1" s="1"/>
  <c r="AB219" i="1"/>
  <c r="AF219" i="1" s="1"/>
  <c r="AS219" i="1" l="1"/>
  <c r="AU219" i="1" s="1"/>
  <c r="AV219" i="1" s="1"/>
  <c r="AE219" i="1"/>
  <c r="AG219" i="1" s="1"/>
  <c r="AH219" i="1" s="1"/>
  <c r="F219" i="1" l="1"/>
  <c r="J220" i="1" s="1"/>
  <c r="K219" i="1" l="1"/>
  <c r="L219" i="1" s="1"/>
  <c r="I219" i="1"/>
  <c r="M219" i="1" l="1"/>
  <c r="H219" i="1" s="1"/>
  <c r="E220" i="1" s="1"/>
  <c r="C220" i="1" s="1"/>
  <c r="D220" i="1" l="1"/>
  <c r="U221" i="1" s="1"/>
  <c r="V221" i="1" s="1" a="1"/>
  <c r="V221" i="1" s="1"/>
  <c r="R220" i="1"/>
  <c r="S220" i="1"/>
  <c r="N220" i="1" s="1"/>
  <c r="AB220" i="1" s="1"/>
  <c r="O220" i="1" l="1"/>
  <c r="Q220" i="1" s="1"/>
  <c r="AD220" i="1"/>
  <c r="AR220" i="1"/>
  <c r="P220" i="1"/>
  <c r="AP220" i="1"/>
  <c r="AI221" i="1"/>
  <c r="AJ221" i="1" s="1" a="1"/>
  <c r="AJ221" i="1" s="1"/>
  <c r="AC220" i="1" l="1"/>
  <c r="AE220" i="1" s="1"/>
  <c r="AQ220" i="1"/>
  <c r="AT220" i="1" s="1"/>
  <c r="AS220" i="1" l="1"/>
  <c r="AU220" i="1" s="1"/>
  <c r="AV220" i="1" s="1"/>
  <c r="AF220" i="1"/>
  <c r="AG220" i="1" s="1"/>
  <c r="AH220" i="1" s="1"/>
  <c r="F220" i="1" l="1"/>
  <c r="J221" i="1" s="1"/>
  <c r="I220" i="1" l="1"/>
  <c r="K220" i="1"/>
  <c r="L220" i="1" s="1"/>
  <c r="M220" i="1" l="1"/>
  <c r="H220" i="1" s="1"/>
  <c r="E221" i="1" s="1"/>
  <c r="R221" i="1" s="1"/>
  <c r="S221" i="1" l="1"/>
  <c r="AR221" i="1" s="1"/>
  <c r="D221" i="1"/>
  <c r="O221" i="1" s="1"/>
  <c r="AQ221" i="1" s="1"/>
  <c r="C221" i="1"/>
  <c r="AD221" i="1" l="1"/>
  <c r="U222" i="1"/>
  <c r="AI222" i="1" s="1"/>
  <c r="AJ222" i="1" s="1" a="1"/>
  <c r="AJ222" i="1" s="1"/>
  <c r="N221" i="1"/>
  <c r="AP221" i="1" s="1"/>
  <c r="AT221" i="1" s="1"/>
  <c r="AC221" i="1"/>
  <c r="Q221" i="1"/>
  <c r="V222" i="1" l="1" a="1"/>
  <c r="V222" i="1" s="1"/>
  <c r="AB221" i="1"/>
  <c r="AF221" i="1" s="1"/>
  <c r="P221" i="1"/>
  <c r="AS221" i="1"/>
  <c r="AU221" i="1" s="1"/>
  <c r="AV221" i="1" s="1"/>
  <c r="AE221" i="1" l="1"/>
  <c r="AG221" i="1" s="1"/>
  <c r="AH221" i="1" s="1"/>
  <c r="F221" i="1" s="1"/>
  <c r="K221" i="1" s="1"/>
  <c r="L221" i="1" s="1"/>
  <c r="I221" i="1" l="1"/>
  <c r="M221" i="1" s="1"/>
  <c r="H221" i="1" s="1"/>
  <c r="E222" i="1" s="1"/>
  <c r="S222" i="1" s="1"/>
  <c r="J222" i="1"/>
  <c r="C222" i="1" l="1"/>
  <c r="N222" i="1" s="1"/>
  <c r="D222" i="1"/>
  <c r="R222" i="1"/>
  <c r="AD222" i="1" s="1"/>
  <c r="AR222" i="1" l="1"/>
  <c r="U223" i="1"/>
  <c r="AI223" i="1" s="1"/>
  <c r="AJ223" i="1" s="1" a="1"/>
  <c r="AJ223" i="1" s="1"/>
  <c r="O222" i="1"/>
  <c r="Q222" i="1" s="1"/>
  <c r="AB222" i="1"/>
  <c r="AP222" i="1"/>
  <c r="P222" i="1"/>
  <c r="AQ222" i="1" l="1"/>
  <c r="AT222" i="1" s="1"/>
  <c r="AC222" i="1"/>
  <c r="V223" i="1" a="1"/>
  <c r="V223" i="1" s="1"/>
  <c r="AE222" i="1"/>
  <c r="AF222" i="1"/>
  <c r="AS222" i="1" l="1"/>
  <c r="AU222" i="1" s="1"/>
  <c r="AV222" i="1" s="1"/>
  <c r="AG222" i="1"/>
  <c r="AH222" i="1" s="1"/>
  <c r="F222" i="1" l="1"/>
  <c r="I222" i="1" s="1"/>
  <c r="J223" i="1" l="1"/>
  <c r="K222" i="1"/>
  <c r="L222" i="1" s="1"/>
  <c r="M222" i="1" s="1"/>
  <c r="H222" i="1" s="1"/>
  <c r="E223" i="1" s="1"/>
  <c r="D223" i="1" s="1"/>
  <c r="C223" i="1" l="1"/>
  <c r="U224" i="1" s="1"/>
  <c r="AI224" i="1" s="1"/>
  <c r="AJ224" i="1" s="1" a="1"/>
  <c r="AJ224" i="1" s="1"/>
  <c r="R223" i="1"/>
  <c r="S223" i="1"/>
  <c r="V224" i="1" l="1" a="1"/>
  <c r="V224" i="1" s="1"/>
  <c r="N223" i="1"/>
  <c r="P223" i="1" s="1"/>
  <c r="AR223" i="1"/>
  <c r="O223" i="1"/>
  <c r="AC223" i="1" s="1"/>
  <c r="AD223" i="1"/>
  <c r="AB223" i="1" l="1"/>
  <c r="AE223" i="1" s="1"/>
  <c r="AP223" i="1"/>
  <c r="AQ223" i="1"/>
  <c r="Q223" i="1"/>
  <c r="AT223" i="1" l="1"/>
  <c r="AF223" i="1"/>
  <c r="AG223" i="1" s="1"/>
  <c r="AH223" i="1" s="1"/>
  <c r="AS223" i="1"/>
  <c r="AU223" i="1" l="1"/>
  <c r="AV223" i="1" s="1"/>
  <c r="F223" i="1" s="1"/>
  <c r="J224" i="1" s="1"/>
  <c r="I223" i="1" l="1"/>
  <c r="K223" i="1"/>
  <c r="L223" i="1" s="1"/>
  <c r="M223" i="1" l="1"/>
  <c r="H223" i="1" s="1"/>
  <c r="E224" i="1" s="1"/>
  <c r="R224" i="1" s="1"/>
  <c r="D224" i="1" l="1"/>
  <c r="O224" i="1" s="1"/>
  <c r="Q224" i="1" s="1"/>
  <c r="S224" i="1"/>
  <c r="AD224" i="1" s="1"/>
  <c r="C224" i="1"/>
  <c r="AR224" i="1" l="1"/>
  <c r="N224" i="1"/>
  <c r="AP224" i="1" s="1"/>
  <c r="AQ224" i="1"/>
  <c r="AC224" i="1"/>
  <c r="U225" i="1"/>
  <c r="V225" i="1" s="1" a="1"/>
  <c r="V225" i="1" s="1"/>
  <c r="AB224" i="1" l="1"/>
  <c r="AE224" i="1" s="1"/>
  <c r="P224" i="1"/>
  <c r="AT224" i="1"/>
  <c r="AI225" i="1"/>
  <c r="AJ225" i="1" s="1" a="1"/>
  <c r="AJ225" i="1" s="1"/>
  <c r="AS224" i="1"/>
  <c r="AF224" i="1"/>
  <c r="AU224" i="1" l="1"/>
  <c r="AV224" i="1" s="1"/>
  <c r="AG224" i="1"/>
  <c r="AH224" i="1" s="1"/>
  <c r="F224" i="1" l="1"/>
  <c r="K224" i="1" s="1"/>
  <c r="L224" i="1" s="1"/>
  <c r="J225" i="1" l="1"/>
  <c r="I224" i="1"/>
  <c r="M224" i="1" s="1"/>
  <c r="H224" i="1" s="1"/>
  <c r="E225" i="1" s="1"/>
  <c r="C225" i="1" s="1"/>
  <c r="S225" i="1" l="1"/>
  <c r="N225" i="1" s="1"/>
  <c r="AP225" i="1" s="1"/>
  <c r="R225" i="1"/>
  <c r="D225" i="1"/>
  <c r="U226" i="1" s="1"/>
  <c r="AI226" i="1" s="1"/>
  <c r="AJ226" i="1" s="1" a="1"/>
  <c r="AJ226" i="1" s="1"/>
  <c r="P225" i="1" l="1"/>
  <c r="AB225" i="1"/>
  <c r="AD225" i="1"/>
  <c r="V226" i="1" a="1"/>
  <c r="V226" i="1" s="1"/>
  <c r="AR225" i="1"/>
  <c r="O225" i="1"/>
  <c r="AQ225" i="1" s="1"/>
  <c r="AC225" i="1" l="1"/>
  <c r="AT225" i="1"/>
  <c r="Q225" i="1"/>
  <c r="AS225" i="1"/>
  <c r="AU225" i="1" l="1"/>
  <c r="AV225" i="1" s="1"/>
  <c r="AF225" i="1"/>
  <c r="AE225" i="1"/>
  <c r="AG225" i="1" l="1"/>
  <c r="AH225" i="1" s="1"/>
  <c r="F225" i="1" s="1"/>
  <c r="K225" i="1" s="1"/>
  <c r="L225" i="1" s="1"/>
  <c r="I225" i="1" l="1"/>
  <c r="M225" i="1" s="1"/>
  <c r="H225" i="1" s="1"/>
  <c r="E226" i="1" s="1"/>
  <c r="R226" i="1" s="1"/>
  <c r="J226" i="1"/>
  <c r="D226" i="1" l="1"/>
  <c r="O226" i="1" s="1"/>
  <c r="AC226" i="1" s="1"/>
  <c r="C226" i="1"/>
  <c r="S226" i="1"/>
  <c r="AD226" i="1" s="1"/>
  <c r="AQ226" i="1" l="1"/>
  <c r="Q226" i="1"/>
  <c r="AR226" i="1"/>
  <c r="N226" i="1"/>
  <c r="AP226" i="1" s="1"/>
  <c r="U227" i="1"/>
  <c r="AI227" i="1" s="1"/>
  <c r="AJ227" i="1" s="1" a="1"/>
  <c r="AJ227" i="1" s="1"/>
  <c r="AT226" i="1" l="1"/>
  <c r="P226" i="1"/>
  <c r="AB226" i="1"/>
  <c r="V227" i="1" a="1"/>
  <c r="V227" i="1" s="1"/>
  <c r="AS226" i="1"/>
  <c r="AF226" i="1"/>
  <c r="AE226" i="1"/>
  <c r="AU226" i="1" l="1"/>
  <c r="AV226" i="1" s="1"/>
  <c r="AG226" i="1"/>
  <c r="AH226" i="1" s="1"/>
  <c r="F226" i="1" l="1"/>
  <c r="J227" i="1" s="1"/>
  <c r="I226" i="1" l="1"/>
  <c r="K226" i="1"/>
  <c r="L226" i="1" s="1"/>
  <c r="M226" i="1" l="1"/>
  <c r="H226" i="1" s="1"/>
  <c r="E227" i="1" s="1"/>
  <c r="C227" i="1" s="1"/>
  <c r="R227" i="1" l="1"/>
  <c r="S227" i="1"/>
  <c r="N227" i="1" s="1"/>
  <c r="P227" i="1" s="1"/>
  <c r="D227" i="1"/>
  <c r="U228" i="1" s="1"/>
  <c r="AI228" i="1" s="1"/>
  <c r="AJ228" i="1" s="1" a="1"/>
  <c r="AJ228" i="1" s="1"/>
  <c r="AP227" i="1"/>
  <c r="AB227" i="1"/>
  <c r="AD227" i="1" l="1"/>
  <c r="AR227" i="1"/>
  <c r="O227" i="1"/>
  <c r="AQ227" i="1" s="1"/>
  <c r="V228" i="1" a="1"/>
  <c r="V228" i="1" s="1"/>
  <c r="AS227" i="1"/>
  <c r="AT227" i="1"/>
  <c r="Q227" i="1"/>
  <c r="AC227" i="1"/>
  <c r="AU227" i="1" l="1"/>
  <c r="AV227" i="1" s="1"/>
  <c r="AE227" i="1"/>
  <c r="AF227" i="1"/>
  <c r="AG227" i="1" l="1"/>
  <c r="AH227" i="1" s="1"/>
  <c r="F227" i="1" s="1"/>
  <c r="J228" i="1" s="1"/>
  <c r="I227" i="1" l="1"/>
  <c r="K227" i="1"/>
  <c r="L227" i="1" s="1"/>
  <c r="M227" i="1" l="1"/>
  <c r="H227" i="1" s="1"/>
  <c r="E228" i="1" s="1"/>
  <c r="D228" i="1" s="1"/>
  <c r="C228" i="1" l="1"/>
  <c r="U229" i="1" s="1"/>
  <c r="AI229" i="1" s="1"/>
  <c r="AJ229" i="1" s="1" a="1"/>
  <c r="AJ229" i="1" s="1"/>
  <c r="R228" i="1"/>
  <c r="O228" i="1" s="1"/>
  <c r="AC228" i="1" s="1"/>
  <c r="S228" i="1"/>
  <c r="Q228" i="1" l="1"/>
  <c r="AD228" i="1"/>
  <c r="AQ228" i="1"/>
  <c r="AR228" i="1"/>
  <c r="V229" i="1" a="1"/>
  <c r="V229" i="1" s="1"/>
  <c r="N228" i="1"/>
  <c r="P228" i="1" s="1"/>
  <c r="AP228" i="1" l="1"/>
  <c r="AS228" i="1" s="1"/>
  <c r="AB228" i="1"/>
  <c r="AE228" i="1" s="1"/>
  <c r="AT228" i="1" l="1"/>
  <c r="AU228" i="1" s="1"/>
  <c r="AV228" i="1" s="1"/>
  <c r="AF228" i="1"/>
  <c r="AG228" i="1" s="1"/>
  <c r="AH228" i="1" s="1"/>
  <c r="F228" i="1" l="1"/>
  <c r="I228" i="1" s="1"/>
  <c r="K228" i="1" l="1"/>
  <c r="L228" i="1" s="1"/>
  <c r="M228" i="1" s="1"/>
  <c r="H228" i="1" s="1"/>
  <c r="E229" i="1" s="1"/>
  <c r="S229" i="1" s="1"/>
  <c r="J229" i="1"/>
  <c r="C229" i="1" l="1"/>
  <c r="N229" i="1" s="1"/>
  <c r="AP229" i="1" s="1"/>
  <c r="R229" i="1"/>
  <c r="AD229" i="1" s="1"/>
  <c r="D229" i="1"/>
  <c r="AR229" i="1" l="1"/>
  <c r="O229" i="1"/>
  <c r="Q229" i="1" s="1"/>
  <c r="AB229" i="1"/>
  <c r="U230" i="1"/>
  <c r="V230" i="1" s="1" a="1"/>
  <c r="V230" i="1" s="1"/>
  <c r="P229" i="1"/>
  <c r="AI230" i="1" l="1"/>
  <c r="AJ230" i="1" s="1" a="1"/>
  <c r="AJ230" i="1" s="1"/>
  <c r="AC229" i="1"/>
  <c r="AQ229" i="1"/>
  <c r="AT229" i="1" s="1"/>
  <c r="AE229" i="1"/>
  <c r="AF229" i="1"/>
  <c r="AS229" i="1"/>
  <c r="AU229" i="1" l="1"/>
  <c r="AV229" i="1" s="1"/>
  <c r="AG229" i="1"/>
  <c r="AH229" i="1" s="1"/>
  <c r="F229" i="1" s="1"/>
  <c r="I229" i="1" s="1"/>
  <c r="K229" i="1" l="1"/>
  <c r="L229" i="1" s="1"/>
  <c r="M229" i="1" s="1"/>
  <c r="H229" i="1" s="1"/>
  <c r="E230" i="1" s="1"/>
  <c r="D230" i="1" s="1"/>
  <c r="J230" i="1"/>
  <c r="C230" i="1" l="1"/>
  <c r="U231" i="1" s="1"/>
  <c r="AI231" i="1" s="1"/>
  <c r="AJ231" i="1" s="1" a="1"/>
  <c r="AJ231" i="1" s="1"/>
  <c r="S230" i="1"/>
  <c r="R230" i="1"/>
  <c r="O230" i="1" s="1"/>
  <c r="AC230" i="1" s="1"/>
  <c r="N230" i="1" l="1"/>
  <c r="AB230" i="1" s="1"/>
  <c r="V231" i="1" a="1"/>
  <c r="V231" i="1" s="1"/>
  <c r="AD230" i="1"/>
  <c r="Q230" i="1"/>
  <c r="AR230" i="1"/>
  <c r="AQ230" i="1"/>
  <c r="AF230" i="1" l="1"/>
  <c r="P230" i="1"/>
  <c r="AP230" i="1"/>
  <c r="AT230" i="1" s="1"/>
  <c r="AE230" i="1"/>
  <c r="AS230" i="1"/>
  <c r="AG230" i="1" l="1"/>
  <c r="AH230" i="1" s="1"/>
  <c r="AU230" i="1"/>
  <c r="AV230" i="1" s="1"/>
  <c r="F230" i="1" l="1"/>
  <c r="I230" i="1" s="1"/>
  <c r="J231" i="1"/>
  <c r="K230" i="1"/>
  <c r="L230" i="1" s="1"/>
  <c r="M230" i="1" l="1"/>
  <c r="H230" i="1" s="1"/>
  <c r="E231" i="1" s="1"/>
  <c r="C231" i="1" s="1"/>
  <c r="D231" i="1"/>
  <c r="U232" i="1" s="1"/>
  <c r="AI232" i="1" s="1"/>
  <c r="AJ232" i="1" s="1" a="1"/>
  <c r="AJ232" i="1" s="1"/>
  <c r="R231" i="1"/>
  <c r="S231" i="1"/>
  <c r="N231" i="1" s="1"/>
  <c r="AP231" i="1" s="1"/>
  <c r="V232" i="1" l="1" a="1"/>
  <c r="V232" i="1" s="1"/>
  <c r="O231" i="1"/>
  <c r="AQ231" i="1" s="1"/>
  <c r="AR231" i="1"/>
  <c r="AD231" i="1"/>
  <c r="P231" i="1"/>
  <c r="AB231" i="1"/>
  <c r="Q231" i="1" l="1"/>
  <c r="AC231" i="1"/>
  <c r="AT231" i="1"/>
  <c r="AF231" i="1"/>
  <c r="AS231" i="1"/>
  <c r="AE231" i="1"/>
  <c r="AG231" i="1" l="1"/>
  <c r="AH231" i="1" s="1"/>
  <c r="AU231" i="1"/>
  <c r="AV231" i="1" s="1"/>
  <c r="F231" i="1" l="1"/>
  <c r="J232" i="1" s="1"/>
  <c r="K231" i="1" l="1"/>
  <c r="L231" i="1" s="1"/>
  <c r="I231" i="1"/>
  <c r="M231" i="1" l="1"/>
  <c r="H231" i="1" s="1"/>
  <c r="E232" i="1" s="1"/>
  <c r="D232" i="1" s="1"/>
  <c r="S232" i="1" l="1"/>
  <c r="C232" i="1"/>
  <c r="R232" i="1"/>
  <c r="AD232" i="1" s="1"/>
  <c r="U233" i="1"/>
  <c r="AR232" i="1"/>
  <c r="N232" i="1"/>
  <c r="AB232" i="1" s="1"/>
  <c r="O232" i="1" l="1"/>
  <c r="AP232" i="1"/>
  <c r="V233" i="1" a="1"/>
  <c r="V233" i="1" s="1"/>
  <c r="AI233" i="1"/>
  <c r="AJ233" i="1" s="1" a="1"/>
  <c r="AJ233" i="1" s="1"/>
  <c r="AQ232" i="1"/>
  <c r="AC232" i="1"/>
  <c r="AF232" i="1" s="1"/>
  <c r="Q232" i="1"/>
  <c r="P232" i="1"/>
  <c r="AS232" i="1" l="1"/>
  <c r="AE232" i="1"/>
  <c r="AT232" i="1"/>
  <c r="AG232" i="1"/>
  <c r="AH232" i="1" s="1"/>
  <c r="AU232" i="1"/>
  <c r="AV232" i="1" s="1"/>
  <c r="F232" i="1" l="1"/>
  <c r="I232" i="1" s="1"/>
  <c r="K232" i="1" l="1"/>
  <c r="L232" i="1" s="1"/>
  <c r="M232" i="1" s="1"/>
  <c r="H232" i="1" s="1"/>
  <c r="E233" i="1" s="1"/>
  <c r="S233" i="1" s="1"/>
  <c r="J233" i="1"/>
  <c r="R233" i="1" l="1"/>
  <c r="AR233" i="1" s="1"/>
  <c r="D233" i="1"/>
  <c r="C233" i="1"/>
  <c r="N233" i="1" s="1"/>
  <c r="AB233" i="1" s="1"/>
  <c r="AD233" i="1" l="1"/>
  <c r="O233" i="1"/>
  <c r="AQ233" i="1" s="1"/>
  <c r="AP233" i="1"/>
  <c r="U234" i="1"/>
  <c r="V234" i="1" s="1" a="1"/>
  <c r="V234" i="1" s="1"/>
  <c r="P233" i="1"/>
  <c r="AT233" i="1"/>
  <c r="Q233" i="1"/>
  <c r="AC233" i="1"/>
  <c r="AF233" i="1" s="1"/>
  <c r="AS233" i="1" l="1"/>
  <c r="AU233" i="1" s="1"/>
  <c r="AV233" i="1" s="1"/>
  <c r="AI234" i="1"/>
  <c r="AJ234" i="1" s="1" a="1"/>
  <c r="AJ234" i="1" s="1"/>
  <c r="AE233" i="1"/>
  <c r="AG233" i="1" s="1"/>
  <c r="AH233" i="1" s="1"/>
  <c r="F233" i="1" l="1"/>
  <c r="I233" i="1" s="1"/>
  <c r="K233" i="1" l="1"/>
  <c r="L233" i="1" s="1"/>
  <c r="M233" i="1" s="1"/>
  <c r="H233" i="1" s="1"/>
  <c r="E234" i="1" s="1"/>
  <c r="R234" i="1" s="1"/>
  <c r="J234" i="1"/>
  <c r="D234" i="1" l="1"/>
  <c r="O234" i="1" s="1"/>
  <c r="AQ234" i="1" s="1"/>
  <c r="S234" i="1"/>
  <c r="AD234" i="1" s="1"/>
  <c r="C234" i="1"/>
  <c r="Q234" i="1" l="1"/>
  <c r="U235" i="1"/>
  <c r="V235" i="1" s="1" a="1"/>
  <c r="V235" i="1" s="1"/>
  <c r="AC234" i="1"/>
  <c r="AR234" i="1"/>
  <c r="N234" i="1"/>
  <c r="AP234" i="1" s="1"/>
  <c r="AS234" i="1" s="1"/>
  <c r="AT234" i="1" l="1"/>
  <c r="AU234" i="1" s="1"/>
  <c r="AV234" i="1" s="1"/>
  <c r="P234" i="1"/>
  <c r="AI235" i="1"/>
  <c r="AJ235" i="1" s="1" a="1"/>
  <c r="AJ235" i="1" s="1"/>
  <c r="AB234" i="1"/>
  <c r="AF234" i="1" s="1"/>
  <c r="AE234" i="1" l="1"/>
  <c r="AG234" i="1" s="1"/>
  <c r="AH234" i="1" s="1"/>
  <c r="F234" i="1" s="1"/>
  <c r="K234" i="1" s="1"/>
  <c r="L234" i="1" s="1"/>
  <c r="I234" i="1" l="1"/>
  <c r="M234" i="1" s="1"/>
  <c r="H234" i="1" s="1"/>
  <c r="E235" i="1" s="1"/>
  <c r="S235" i="1" s="1"/>
  <c r="J235" i="1"/>
  <c r="R235" i="1" l="1"/>
  <c r="AD235" i="1" s="1"/>
  <c r="C235" i="1"/>
  <c r="N235" i="1" s="1"/>
  <c r="AB235" i="1" s="1"/>
  <c r="D235" i="1"/>
  <c r="O235" i="1" l="1"/>
  <c r="Q235" i="1" s="1"/>
  <c r="AR235" i="1"/>
  <c r="P235" i="1"/>
  <c r="AP235" i="1"/>
  <c r="U236" i="1"/>
  <c r="V236" i="1" s="1" a="1"/>
  <c r="V236" i="1" s="1"/>
  <c r="AQ235" i="1" l="1"/>
  <c r="AS235" i="1" s="1"/>
  <c r="AC235" i="1"/>
  <c r="AF235" i="1" s="1"/>
  <c r="AI236" i="1"/>
  <c r="AJ236" i="1" s="1" a="1"/>
  <c r="AJ236" i="1" s="1"/>
  <c r="AT235" i="1" l="1"/>
  <c r="AE235" i="1"/>
  <c r="AG235" i="1" l="1"/>
  <c r="AH235" i="1" s="1"/>
  <c r="AU235" i="1"/>
  <c r="AV235" i="1" s="1"/>
  <c r="F235" i="1" l="1"/>
  <c r="J236" i="1" s="1"/>
  <c r="K235" i="1" l="1"/>
  <c r="L235" i="1" s="1"/>
  <c r="I235" i="1"/>
  <c r="M235" i="1" l="1"/>
  <c r="H235" i="1" s="1"/>
  <c r="E236" i="1" s="1"/>
  <c r="C236" i="1" s="1"/>
  <c r="R236" i="1" l="1"/>
  <c r="S236" i="1"/>
  <c r="N236" i="1" s="1"/>
  <c r="P236" i="1" s="1"/>
  <c r="D236" i="1"/>
  <c r="U237" i="1" s="1"/>
  <c r="AB236" i="1" l="1"/>
  <c r="AP236" i="1"/>
  <c r="AD236" i="1"/>
  <c r="V237" i="1" a="1"/>
  <c r="V237" i="1" s="1"/>
  <c r="AI237" i="1"/>
  <c r="AJ237" i="1" s="1" a="1"/>
  <c r="AJ237" i="1" s="1"/>
  <c r="AR236" i="1"/>
  <c r="O236" i="1"/>
  <c r="AC236" i="1" s="1"/>
  <c r="AF236" i="1" l="1"/>
  <c r="AE236" i="1"/>
  <c r="AQ236" i="1"/>
  <c r="AT236" i="1" s="1"/>
  <c r="Q236" i="1"/>
  <c r="AG236" i="1" l="1"/>
  <c r="AH236" i="1" s="1"/>
  <c r="AS236" i="1"/>
  <c r="AU236" i="1" s="1"/>
  <c r="AV236" i="1" s="1"/>
  <c r="F236" i="1" l="1"/>
  <c r="K236" i="1" s="1"/>
  <c r="L236" i="1" s="1"/>
  <c r="I236" i="1" l="1"/>
  <c r="M236" i="1" s="1"/>
  <c r="H236" i="1" s="1"/>
  <c r="E237" i="1" s="1"/>
  <c r="S237" i="1" s="1"/>
  <c r="J237" i="1"/>
  <c r="C237" i="1" l="1"/>
  <c r="N237" i="1" s="1"/>
  <c r="D237" i="1"/>
  <c r="R237" i="1"/>
  <c r="AR237" i="1" s="1"/>
  <c r="AB237" i="1" l="1"/>
  <c r="P237" i="1"/>
  <c r="AP237" i="1"/>
  <c r="U238" i="1"/>
  <c r="AI238" i="1" s="1"/>
  <c r="AJ238" i="1" s="1" a="1"/>
  <c r="AJ238" i="1" s="1"/>
  <c r="O237" i="1"/>
  <c r="Q237" i="1" s="1"/>
  <c r="AD237" i="1"/>
  <c r="V238" i="1" l="1" a="1"/>
  <c r="V238" i="1" s="1"/>
  <c r="AC237" i="1"/>
  <c r="AF237" i="1" s="1"/>
  <c r="AQ237" i="1"/>
  <c r="AT237" i="1" s="1"/>
  <c r="AS237" i="1" l="1"/>
  <c r="AU237" i="1" s="1"/>
  <c r="AV237" i="1" s="1"/>
  <c r="AE237" i="1"/>
  <c r="AG237" i="1" s="1"/>
  <c r="AH237" i="1" s="1"/>
  <c r="F237" i="1" l="1"/>
  <c r="J238" i="1" s="1"/>
  <c r="I237" i="1" l="1"/>
  <c r="K237" i="1"/>
  <c r="L237" i="1" s="1"/>
  <c r="M237" i="1" l="1"/>
  <c r="H237" i="1" s="1"/>
  <c r="E238" i="1" s="1"/>
  <c r="C238" i="1" s="1"/>
  <c r="S238" i="1" l="1"/>
  <c r="N238" i="1" s="1"/>
  <c r="P238" i="1" s="1"/>
  <c r="R238" i="1"/>
  <c r="D238" i="1"/>
  <c r="U239" i="1" s="1"/>
  <c r="V239" i="1" s="1" a="1"/>
  <c r="V239" i="1" s="1"/>
  <c r="AR238" i="1" l="1"/>
  <c r="AP238" i="1"/>
  <c r="AB238" i="1"/>
  <c r="O238" i="1"/>
  <c r="Q238" i="1" s="1"/>
  <c r="AD238" i="1"/>
  <c r="AI239" i="1"/>
  <c r="AJ239" i="1" s="1" a="1"/>
  <c r="AJ239" i="1" s="1"/>
  <c r="AQ238" i="1" l="1"/>
  <c r="AS238" i="1" s="1"/>
  <c r="AC238" i="1"/>
  <c r="AE238" i="1" s="1"/>
  <c r="AF238" i="1" l="1"/>
  <c r="AG238" i="1" s="1"/>
  <c r="AH238" i="1" s="1"/>
  <c r="AT238" i="1"/>
  <c r="AU238" i="1" s="1"/>
  <c r="AV238" i="1" s="1"/>
  <c r="F238" i="1" l="1"/>
  <c r="I238" i="1" s="1"/>
  <c r="K238" i="1" l="1"/>
  <c r="L238" i="1" s="1"/>
  <c r="M238" i="1" s="1"/>
  <c r="H238" i="1" s="1"/>
  <c r="E239" i="1" s="1"/>
  <c r="S239" i="1" s="1"/>
  <c r="J239" i="1"/>
  <c r="C239" i="1" l="1"/>
  <c r="N239" i="1" s="1"/>
  <c r="P239" i="1" s="1"/>
  <c r="D239" i="1"/>
  <c r="R239" i="1"/>
  <c r="AR239" i="1" s="1"/>
  <c r="AB239" i="1" l="1"/>
  <c r="U240" i="1"/>
  <c r="AI240" i="1" s="1"/>
  <c r="AJ240" i="1" s="1" a="1"/>
  <c r="AJ240" i="1" s="1"/>
  <c r="AP239" i="1"/>
  <c r="O239" i="1"/>
  <c r="Q239" i="1" s="1"/>
  <c r="AD239" i="1"/>
  <c r="V240" i="1" l="1" a="1"/>
  <c r="V240" i="1" s="1"/>
  <c r="AC239" i="1"/>
  <c r="AE239" i="1" s="1"/>
  <c r="AQ239" i="1"/>
  <c r="AT239" i="1" s="1"/>
  <c r="AS239" i="1" l="1"/>
  <c r="AU239" i="1" s="1"/>
  <c r="AV239" i="1" s="1"/>
  <c r="AF239" i="1"/>
  <c r="AG239" i="1" s="1"/>
  <c r="AH239" i="1" s="1"/>
  <c r="F239" i="1" l="1"/>
  <c r="I239" i="1" s="1"/>
  <c r="K239" i="1" l="1"/>
  <c r="L239" i="1" s="1"/>
  <c r="M239" i="1" s="1"/>
  <c r="H239" i="1" s="1"/>
  <c r="E240" i="1" s="1"/>
  <c r="S240" i="1" s="1"/>
  <c r="J240" i="1"/>
  <c r="D240" i="1" l="1"/>
  <c r="R240" i="1"/>
  <c r="AR240" i="1" s="1"/>
  <c r="C240" i="1"/>
  <c r="N240" i="1" s="1"/>
  <c r="AP240" i="1" s="1"/>
  <c r="AD240" i="1" l="1"/>
  <c r="O240" i="1"/>
  <c r="Q240" i="1" s="1"/>
  <c r="P240" i="1"/>
  <c r="U241" i="1"/>
  <c r="AI241" i="1" s="1"/>
  <c r="AJ241" i="1" s="1" a="1"/>
  <c r="AJ241" i="1" s="1"/>
  <c r="AB240" i="1"/>
  <c r="V241" i="1" l="1" a="1"/>
  <c r="V241" i="1" s="1"/>
  <c r="AQ240" i="1"/>
  <c r="AT240" i="1" s="1"/>
  <c r="AC240" i="1"/>
  <c r="AF240" i="1" s="1"/>
  <c r="AS240" i="1" l="1"/>
  <c r="AU240" i="1" s="1"/>
  <c r="AV240" i="1" s="1"/>
  <c r="AE240" i="1"/>
  <c r="AG240" i="1" s="1"/>
  <c r="AH240" i="1" s="1"/>
  <c r="F240" i="1" l="1"/>
  <c r="K240" i="1" s="1"/>
  <c r="L240" i="1" s="1"/>
  <c r="I240" i="1" l="1"/>
  <c r="M240" i="1" s="1"/>
  <c r="H240" i="1" s="1"/>
  <c r="E241" i="1" s="1"/>
  <c r="C241" i="1" s="1"/>
  <c r="J241" i="1"/>
  <c r="D241" i="1" l="1"/>
  <c r="U242" i="1" s="1"/>
  <c r="AI242" i="1" s="1"/>
  <c r="AJ242" i="1" s="1" a="1"/>
  <c r="AJ242" i="1" s="1"/>
  <c r="R241" i="1"/>
  <c r="S241" i="1"/>
  <c r="N241" i="1" s="1"/>
  <c r="AP241" i="1" s="1"/>
  <c r="O241" i="1" l="1"/>
  <c r="AC241" i="1" s="1"/>
  <c r="AB241" i="1"/>
  <c r="AR241" i="1"/>
  <c r="AD241" i="1"/>
  <c r="P241" i="1"/>
  <c r="Q241" i="1" l="1"/>
  <c r="AQ241" i="1"/>
  <c r="AS241" i="1" s="1"/>
  <c r="AF241" i="1"/>
  <c r="AE241" i="1"/>
  <c r="AG241" i="1" l="1"/>
  <c r="AH241" i="1" s="1"/>
  <c r="AT241" i="1"/>
  <c r="V242" i="1" s="1" a="1"/>
  <c r="V242" i="1" s="1"/>
  <c r="AU241" i="1" l="1"/>
  <c r="AV241" i="1" s="1"/>
  <c r="F241" i="1" s="1"/>
  <c r="J242" i="1" s="1"/>
  <c r="I241" i="1" l="1"/>
  <c r="K241" i="1"/>
  <c r="L241" i="1" s="1"/>
  <c r="M241" i="1" l="1"/>
  <c r="H241" i="1" s="1"/>
  <c r="E242" i="1" s="1"/>
  <c r="S242" i="1" s="1"/>
  <c r="D242" i="1"/>
  <c r="C242" i="1"/>
  <c r="N242" i="1" s="1"/>
  <c r="AP242" i="1" s="1"/>
  <c r="R242" i="1" l="1"/>
  <c r="AR242" i="1" s="1"/>
  <c r="AB242" i="1"/>
  <c r="U243" i="1"/>
  <c r="V243" i="1" s="1" a="1"/>
  <c r="V243" i="1" s="1"/>
  <c r="P242" i="1"/>
  <c r="O242" i="1" l="1"/>
  <c r="Q242" i="1" s="1"/>
  <c r="AD242" i="1"/>
  <c r="AQ242" i="1"/>
  <c r="AS242" i="1" s="1"/>
  <c r="AC242" i="1"/>
  <c r="AE242" i="1" l="1"/>
  <c r="AT242" i="1"/>
  <c r="AI243" i="1" s="1"/>
  <c r="AJ243" i="1" s="1" a="1"/>
  <c r="AJ243" i="1" s="1"/>
  <c r="AF242" i="1"/>
  <c r="AG242" i="1" l="1"/>
  <c r="AH242" i="1" s="1"/>
  <c r="AU242" i="1"/>
  <c r="AV242" i="1" s="1"/>
  <c r="F242" i="1" l="1"/>
  <c r="J243" i="1" s="1"/>
  <c r="I242" i="1" l="1"/>
  <c r="K242" i="1"/>
  <c r="L242" i="1" s="1"/>
  <c r="M242" i="1" l="1"/>
  <c r="H242" i="1" s="1"/>
  <c r="E243" i="1" s="1"/>
  <c r="C243" i="1" s="1"/>
  <c r="D243" i="1" l="1"/>
  <c r="U244" i="1" s="1"/>
  <c r="AI244" i="1" s="1"/>
  <c r="AJ244" i="1" s="1" a="1"/>
  <c r="AJ244" i="1" s="1"/>
  <c r="R243" i="1"/>
  <c r="S243" i="1"/>
  <c r="N243" i="1" s="1"/>
  <c r="P243" i="1" s="1"/>
  <c r="V244" i="1" l="1" a="1"/>
  <c r="V244" i="1" s="1"/>
  <c r="O243" i="1"/>
  <c r="AQ243" i="1" s="1"/>
  <c r="AD243" i="1"/>
  <c r="AP243" i="1"/>
  <c r="AR243" i="1"/>
  <c r="AB243" i="1"/>
  <c r="AT243" i="1" l="1"/>
  <c r="Q243" i="1"/>
  <c r="AS243" i="1"/>
  <c r="AC243" i="1"/>
  <c r="AF243" i="1" s="1"/>
  <c r="AE243" i="1" l="1"/>
  <c r="AG243" i="1" s="1"/>
  <c r="AH243" i="1" s="1"/>
  <c r="AU243" i="1"/>
  <c r="AV243" i="1" s="1"/>
  <c r="F243" i="1" l="1"/>
  <c r="I243" i="1" s="1"/>
  <c r="J244" i="1" l="1"/>
  <c r="K243" i="1"/>
  <c r="L243" i="1" s="1"/>
  <c r="M243" i="1" s="1"/>
  <c r="H243" i="1" s="1"/>
  <c r="E244" i="1" s="1"/>
  <c r="S244" i="1" s="1"/>
  <c r="D244" i="1" l="1"/>
  <c r="R244" i="1"/>
  <c r="AR244" i="1" s="1"/>
  <c r="C244" i="1"/>
  <c r="N244" i="1" s="1"/>
  <c r="P244" i="1" s="1"/>
  <c r="AD244" i="1" l="1"/>
  <c r="O244" i="1"/>
  <c r="AC244" i="1" s="1"/>
  <c r="U245" i="1"/>
  <c r="AI245" i="1" s="1"/>
  <c r="AJ245" i="1" s="1" a="1"/>
  <c r="AJ245" i="1" s="1"/>
  <c r="AB244" i="1"/>
  <c r="AP244" i="1"/>
  <c r="Q244" i="1" l="1"/>
  <c r="AQ244" i="1"/>
  <c r="AS244" i="1" s="1"/>
  <c r="AF244" i="1"/>
  <c r="V245" i="1" a="1"/>
  <c r="V245" i="1" s="1"/>
  <c r="AE244" i="1"/>
  <c r="AG244" i="1" s="1"/>
  <c r="AH244" i="1" l="1"/>
  <c r="AT244" i="1"/>
  <c r="AU244" i="1" l="1"/>
  <c r="AV244" i="1" s="1"/>
  <c r="F244" i="1" s="1"/>
  <c r="K244" i="1" s="1"/>
  <c r="L244" i="1" s="1"/>
  <c r="J245" i="1" l="1"/>
  <c r="I244" i="1"/>
  <c r="M244" i="1" s="1"/>
  <c r="H244" i="1" s="1"/>
  <c r="E245" i="1" s="1"/>
  <c r="R245" i="1" s="1"/>
  <c r="C245" i="1" l="1"/>
  <c r="D245" i="1"/>
  <c r="O245" i="1" s="1"/>
  <c r="AC245" i="1" s="1"/>
  <c r="S245" i="1"/>
  <c r="AD245" i="1" s="1"/>
  <c r="U246" i="1" l="1"/>
  <c r="V246" i="1" s="1" a="1"/>
  <c r="V246" i="1" s="1"/>
  <c r="Q245" i="1"/>
  <c r="AQ245" i="1"/>
  <c r="N245" i="1"/>
  <c r="AB245" i="1" s="1"/>
  <c r="AF245" i="1" s="1"/>
  <c r="AR245" i="1"/>
  <c r="AE245" i="1" l="1"/>
  <c r="AI246" i="1"/>
  <c r="AJ246" i="1" s="1" a="1"/>
  <c r="AJ246" i="1" s="1"/>
  <c r="AP245" i="1"/>
  <c r="AS245" i="1" s="1"/>
  <c r="P245" i="1"/>
  <c r="AG245" i="1" l="1"/>
  <c r="AH245" i="1" s="1"/>
  <c r="AT245" i="1"/>
  <c r="AU245" i="1" l="1"/>
  <c r="AV245" i="1" s="1"/>
  <c r="F245" i="1" s="1"/>
  <c r="K245" i="1" l="1"/>
  <c r="L245" i="1" s="1"/>
  <c r="I245" i="1"/>
  <c r="J246" i="1"/>
  <c r="M245" i="1" l="1"/>
  <c r="H245" i="1" s="1"/>
  <c r="E246" i="1" s="1"/>
  <c r="R246" i="1" s="1"/>
  <c r="C246" i="1" l="1"/>
  <c r="S246" i="1"/>
  <c r="AR246" i="1" s="1"/>
  <c r="D246" i="1"/>
  <c r="O246" i="1" s="1"/>
  <c r="AD246" i="1" l="1"/>
  <c r="U247" i="1"/>
  <c r="AI247" i="1" s="1"/>
  <c r="AJ247" i="1" s="1" a="1"/>
  <c r="AJ247" i="1" s="1"/>
  <c r="N246" i="1"/>
  <c r="AP246" i="1" s="1"/>
  <c r="AQ246" i="1"/>
  <c r="AC246" i="1"/>
  <c r="Q246" i="1"/>
  <c r="V247" i="1" l="1" a="1"/>
  <c r="V247" i="1" s="1"/>
  <c r="AS246" i="1"/>
  <c r="AT246" i="1"/>
  <c r="P246" i="1"/>
  <c r="AB246" i="1"/>
  <c r="AE246" i="1" s="1"/>
  <c r="AU246" i="1" l="1"/>
  <c r="AV246" i="1" s="1"/>
  <c r="AF246" i="1"/>
  <c r="AG246" i="1" s="1"/>
  <c r="AH246" i="1" s="1"/>
  <c r="F246" i="1" l="1"/>
  <c r="K246" i="1" s="1"/>
  <c r="L246" i="1" s="1"/>
  <c r="J247" i="1" l="1"/>
  <c r="I246" i="1"/>
  <c r="M246" i="1" s="1"/>
  <c r="H246" i="1" s="1"/>
  <c r="E247" i="1" s="1"/>
  <c r="R247" i="1" s="1"/>
  <c r="D247" i="1" l="1"/>
  <c r="O247" i="1" s="1"/>
  <c r="AC247" i="1" s="1"/>
  <c r="S247" i="1"/>
  <c r="AD247" i="1" s="1"/>
  <c r="C247" i="1"/>
  <c r="Q247" i="1" l="1"/>
  <c r="AQ247" i="1"/>
  <c r="AR247" i="1"/>
  <c r="N247" i="1"/>
  <c r="AB247" i="1" s="1"/>
  <c r="U248" i="1"/>
  <c r="P247" i="1" l="1"/>
  <c r="AF247" i="1"/>
  <c r="AE247" i="1"/>
  <c r="AP247" i="1"/>
  <c r="AS247" i="1" s="1"/>
  <c r="AI248" i="1"/>
  <c r="AJ248" i="1" s="1" a="1"/>
  <c r="AJ248" i="1" s="1"/>
  <c r="V248" i="1" a="1"/>
  <c r="V248" i="1" s="1"/>
  <c r="AG247" i="1" l="1"/>
  <c r="AH247" i="1" s="1"/>
  <c r="AT247" i="1"/>
  <c r="AU247" i="1" s="1"/>
  <c r="AV247" i="1" s="1"/>
  <c r="F247" i="1" l="1"/>
  <c r="I247" i="1" s="1"/>
  <c r="K247" i="1" l="1"/>
  <c r="L247" i="1" s="1"/>
  <c r="M247" i="1" s="1"/>
  <c r="H247" i="1" s="1"/>
  <c r="E248" i="1" s="1"/>
  <c r="R248" i="1" s="1"/>
  <c r="J248" i="1"/>
  <c r="D248" i="1" l="1"/>
  <c r="O248" i="1" s="1"/>
  <c r="AC248" i="1" s="1"/>
  <c r="S248" i="1"/>
  <c r="AD248" i="1" s="1"/>
  <c r="C248" i="1"/>
  <c r="AQ248" i="1" l="1"/>
  <c r="Q248" i="1"/>
  <c r="U249" i="1"/>
  <c r="AI249" i="1" s="1"/>
  <c r="AJ249" i="1" s="1" a="1"/>
  <c r="AJ249" i="1" s="1"/>
  <c r="AR248" i="1"/>
  <c r="N248" i="1"/>
  <c r="AP248" i="1" s="1"/>
  <c r="V249" i="1" l="1" a="1"/>
  <c r="V249" i="1" s="1"/>
  <c r="AT248" i="1"/>
  <c r="AB248" i="1"/>
  <c r="AF248" i="1" s="1"/>
  <c r="P248" i="1"/>
  <c r="AS248" i="1"/>
  <c r="AU248" i="1" l="1"/>
  <c r="AV248" i="1" s="1"/>
  <c r="AE248" i="1"/>
  <c r="AG248" i="1" s="1"/>
  <c r="AH248" i="1" s="1"/>
  <c r="F248" i="1" l="1"/>
  <c r="I248" i="1" s="1"/>
  <c r="K248" i="1" l="1"/>
  <c r="L248" i="1" s="1"/>
  <c r="M248" i="1" s="1"/>
  <c r="H248" i="1" s="1"/>
  <c r="E249" i="1" s="1"/>
  <c r="R249" i="1" s="1"/>
  <c r="J249" i="1"/>
  <c r="D249" i="1" l="1"/>
  <c r="O249" i="1" s="1"/>
  <c r="Q249" i="1" s="1"/>
  <c r="C249" i="1"/>
  <c r="S249" i="1"/>
  <c r="AR249" i="1" s="1"/>
  <c r="U250" i="1" l="1"/>
  <c r="AI250" i="1" s="1"/>
  <c r="AJ250" i="1" s="1" a="1"/>
  <c r="AJ250" i="1" s="1"/>
  <c r="AC249" i="1"/>
  <c r="AQ249" i="1"/>
  <c r="AD249" i="1"/>
  <c r="N249" i="1"/>
  <c r="AP249" i="1" s="1"/>
  <c r="AT249" i="1" s="1"/>
  <c r="V250" i="1" l="1" a="1"/>
  <c r="V250" i="1" s="1"/>
  <c r="AS249" i="1"/>
  <c r="AU249" i="1" s="1"/>
  <c r="AV249" i="1" s="1"/>
  <c r="AB249" i="1"/>
  <c r="AF249" i="1" s="1"/>
  <c r="P249" i="1"/>
  <c r="AE249" i="1" l="1"/>
  <c r="AG249" i="1" s="1"/>
  <c r="AH249" i="1" s="1"/>
  <c r="F249" i="1" s="1"/>
  <c r="I249" i="1" s="1"/>
  <c r="K249" i="1" l="1"/>
  <c r="L249" i="1" s="1"/>
  <c r="M249" i="1" s="1"/>
  <c r="H249" i="1" s="1"/>
  <c r="E250" i="1" s="1"/>
  <c r="R250" i="1" s="1"/>
  <c r="J250" i="1"/>
  <c r="S250" i="1" l="1"/>
  <c r="AR250" i="1" s="1"/>
  <c r="D250" i="1"/>
  <c r="O250" i="1" s="1"/>
  <c r="C250" i="1"/>
  <c r="AD250" i="1"/>
  <c r="U251" i="1" l="1"/>
  <c r="AI251" i="1" s="1"/>
  <c r="AJ251" i="1" s="1" a="1"/>
  <c r="AJ251" i="1" s="1"/>
  <c r="N250" i="1"/>
  <c r="AB250" i="1" s="1"/>
  <c r="AQ250" i="1"/>
  <c r="Q250" i="1"/>
  <c r="AC250" i="1"/>
  <c r="V251" i="1" l="1" a="1"/>
  <c r="V251" i="1" s="1"/>
  <c r="AE250" i="1"/>
  <c r="AF250" i="1"/>
  <c r="P250" i="1"/>
  <c r="AP250" i="1"/>
  <c r="AS250" i="1" s="1"/>
  <c r="AG250" i="1" l="1"/>
  <c r="AH250" i="1" s="1"/>
  <c r="AT250" i="1"/>
  <c r="AU250" i="1" s="1"/>
  <c r="AV250" i="1" s="1"/>
  <c r="F250" i="1" l="1"/>
  <c r="J251" i="1" s="1"/>
  <c r="K250" i="1"/>
  <c r="L250" i="1" s="1"/>
  <c r="I250" i="1" l="1"/>
  <c r="M250" i="1" s="1"/>
  <c r="H250" i="1" s="1"/>
  <c r="E251" i="1" s="1"/>
  <c r="D251" i="1" s="1"/>
  <c r="C251" i="1" l="1"/>
  <c r="U252" i="1" s="1"/>
  <c r="AI252" i="1" s="1"/>
  <c r="AJ252" i="1" s="1" a="1"/>
  <c r="AJ252" i="1" s="1"/>
  <c r="R251" i="1"/>
  <c r="O251" i="1" s="1"/>
  <c r="Q251" i="1" s="1"/>
  <c r="S251" i="1"/>
  <c r="AQ251" i="1" l="1"/>
  <c r="AC251" i="1"/>
  <c r="AD251" i="1"/>
  <c r="N251" i="1"/>
  <c r="P251" i="1" s="1"/>
  <c r="V252" i="1" a="1"/>
  <c r="V252" i="1" s="1"/>
  <c r="AR251" i="1"/>
  <c r="AB251" i="1" l="1"/>
  <c r="AF251" i="1" s="1"/>
  <c r="AP251" i="1"/>
  <c r="AS251" i="1"/>
  <c r="AT251" i="1"/>
  <c r="AE251" i="1" l="1"/>
  <c r="AG251" i="1"/>
  <c r="AH251" i="1" s="1"/>
  <c r="AU251" i="1"/>
  <c r="AV251" i="1" s="1"/>
  <c r="F251" i="1" l="1"/>
  <c r="K251" i="1" s="1"/>
  <c r="L251" i="1" s="1"/>
  <c r="J252" i="1" l="1"/>
  <c r="I251" i="1"/>
  <c r="M251" i="1" s="1"/>
  <c r="H251" i="1" s="1"/>
  <c r="E252" i="1" s="1"/>
  <c r="D252" i="1" s="1"/>
  <c r="C252" i="1" l="1"/>
  <c r="U253" i="1" s="1"/>
  <c r="AI253" i="1" s="1"/>
  <c r="AJ253" i="1" s="1" a="1"/>
  <c r="AJ253" i="1" s="1"/>
  <c r="R252" i="1"/>
  <c r="O252" i="1" s="1"/>
  <c r="AC252" i="1" s="1"/>
  <c r="S252" i="1"/>
  <c r="AD252" i="1" l="1"/>
  <c r="Q252" i="1"/>
  <c r="AQ252" i="1"/>
  <c r="N252" i="1"/>
  <c r="AP252" i="1" s="1"/>
  <c r="AR252" i="1"/>
  <c r="AB252" i="1" l="1"/>
  <c r="AF252" i="1" s="1"/>
  <c r="P252" i="1"/>
  <c r="AS252" i="1"/>
  <c r="AT252" i="1"/>
  <c r="V253" i="1" s="1" a="1"/>
  <c r="V253" i="1" s="1"/>
  <c r="AE252" i="1" l="1"/>
  <c r="AG252" i="1" s="1"/>
  <c r="AH252" i="1" s="1"/>
  <c r="AU252" i="1"/>
  <c r="AV252" i="1" s="1"/>
  <c r="F252" i="1" l="1"/>
  <c r="I252" i="1" s="1"/>
  <c r="J253" i="1" l="1"/>
  <c r="K252" i="1"/>
  <c r="L252" i="1" s="1"/>
  <c r="M252" i="1" s="1"/>
  <c r="H252" i="1" s="1"/>
  <c r="E253" i="1" s="1"/>
  <c r="S253" i="1" s="1"/>
  <c r="R253" i="1" l="1"/>
  <c r="AR253" i="1" s="1"/>
  <c r="C253" i="1"/>
  <c r="N253" i="1" s="1"/>
  <c r="AP253" i="1" s="1"/>
  <c r="D253" i="1"/>
  <c r="AD253" i="1" l="1"/>
  <c r="O253" i="1"/>
  <c r="Q253" i="1" s="1"/>
  <c r="P253" i="1"/>
  <c r="U254" i="1"/>
  <c r="AI254" i="1" s="1"/>
  <c r="AJ254" i="1" s="1" a="1"/>
  <c r="AJ254" i="1" s="1"/>
  <c r="AB253" i="1"/>
  <c r="AQ253" i="1" l="1"/>
  <c r="AT253" i="1" s="1"/>
  <c r="AC253" i="1"/>
  <c r="AF253" i="1" s="1"/>
  <c r="V254" i="1" a="1"/>
  <c r="V254" i="1" s="1"/>
  <c r="AS253" i="1" l="1"/>
  <c r="AE253" i="1"/>
  <c r="AG253" i="1" l="1"/>
  <c r="AH253" i="1" s="1"/>
  <c r="AU253" i="1"/>
  <c r="AV253" i="1" s="1"/>
  <c r="F253" i="1" l="1"/>
  <c r="K253" i="1" s="1"/>
  <c r="L253" i="1" s="1"/>
  <c r="I253" i="1" l="1"/>
  <c r="M253" i="1" s="1"/>
  <c r="H253" i="1" s="1"/>
  <c r="E254" i="1" s="1"/>
  <c r="D254" i="1" s="1"/>
  <c r="J254" i="1"/>
  <c r="C254" i="1" l="1"/>
  <c r="S254" i="1"/>
  <c r="R254" i="1"/>
  <c r="AD254" i="1" l="1"/>
  <c r="AR254" i="1"/>
  <c r="O254" i="1"/>
  <c r="AQ254" i="1" s="1"/>
  <c r="N254" i="1"/>
  <c r="AB254" i="1" s="1"/>
  <c r="U255" i="1"/>
  <c r="AI255" i="1" s="1"/>
  <c r="AJ255" i="1" s="1" a="1"/>
  <c r="AJ255" i="1" s="1"/>
  <c r="AC254" i="1" l="1"/>
  <c r="AF254" i="1" s="1"/>
  <c r="Q254" i="1"/>
  <c r="AP254" i="1"/>
  <c r="AT254" i="1" s="1"/>
  <c r="P254" i="1"/>
  <c r="V255" i="1" a="1"/>
  <c r="V255" i="1" s="1"/>
  <c r="AS254" i="1"/>
  <c r="AE254" i="1" l="1"/>
  <c r="AG254" i="1" s="1"/>
  <c r="AH254" i="1" s="1"/>
  <c r="AU254" i="1"/>
  <c r="AV254" i="1" s="1"/>
  <c r="F254" i="1" l="1"/>
  <c r="K254" i="1" s="1"/>
  <c r="L254" i="1" s="1"/>
  <c r="J255" i="1" l="1"/>
  <c r="I254" i="1"/>
  <c r="M254" i="1" s="1"/>
  <c r="H254" i="1" s="1"/>
  <c r="E255" i="1" s="1"/>
  <c r="S255" i="1" s="1"/>
  <c r="R255" i="1" l="1"/>
  <c r="AR255" i="1" s="1"/>
  <c r="D255" i="1"/>
  <c r="C255" i="1"/>
  <c r="N255" i="1" s="1"/>
  <c r="P255" i="1" s="1"/>
  <c r="AD255" i="1" l="1"/>
  <c r="O255" i="1"/>
  <c r="AC255" i="1" s="1"/>
  <c r="AP255" i="1"/>
  <c r="AB255" i="1"/>
  <c r="U256" i="1"/>
  <c r="AI256" i="1" s="1"/>
  <c r="AJ256" i="1" s="1" a="1"/>
  <c r="AJ256" i="1" s="1"/>
  <c r="AF255" i="1" l="1"/>
  <c r="AE255" i="1"/>
  <c r="Q255" i="1"/>
  <c r="AQ255" i="1"/>
  <c r="AT255" i="1" s="1"/>
  <c r="V256" i="1" a="1"/>
  <c r="V256" i="1" s="1"/>
  <c r="AG255" i="1" l="1"/>
  <c r="AH255" i="1" s="1"/>
  <c r="AS255" i="1"/>
  <c r="AU255" i="1" l="1"/>
  <c r="AV255" i="1" s="1"/>
  <c r="F255" i="1" s="1"/>
  <c r="I255" i="1" s="1"/>
  <c r="J256" i="1" l="1"/>
  <c r="K255" i="1"/>
  <c r="L255" i="1" s="1"/>
  <c r="M255" i="1" s="1"/>
  <c r="H255" i="1" s="1"/>
  <c r="E256" i="1" s="1"/>
  <c r="D256" i="1" s="1"/>
  <c r="S256" i="1" l="1"/>
  <c r="C256" i="1"/>
  <c r="U257" i="1" s="1"/>
  <c r="AI257" i="1" s="1"/>
  <c r="AJ257" i="1" s="1" a="1"/>
  <c r="AJ257" i="1" s="1"/>
  <c r="R256" i="1"/>
  <c r="O256" i="1" s="1"/>
  <c r="Q256" i="1" s="1"/>
  <c r="N256" i="1" l="1"/>
  <c r="P256" i="1" s="1"/>
  <c r="AD256" i="1"/>
  <c r="AR256" i="1"/>
  <c r="AC256" i="1"/>
  <c r="AQ256" i="1"/>
  <c r="V257" i="1" a="1"/>
  <c r="V257" i="1" s="1"/>
  <c r="AP256" i="1" l="1"/>
  <c r="AS256" i="1" s="1"/>
  <c r="AB256" i="1"/>
  <c r="AE256" i="1" s="1"/>
  <c r="AT256" i="1" l="1"/>
  <c r="AF256" i="1"/>
  <c r="AG256" i="1" l="1"/>
  <c r="AH256" i="1" s="1"/>
  <c r="AU256" i="1"/>
  <c r="AV256" i="1" s="1"/>
  <c r="F256" i="1" l="1"/>
  <c r="I256" i="1" s="1"/>
  <c r="K256" i="1" l="1"/>
  <c r="L256" i="1" s="1"/>
  <c r="M256" i="1" s="1"/>
  <c r="H256" i="1" s="1"/>
  <c r="E257" i="1" s="1"/>
  <c r="S257" i="1" s="1"/>
  <c r="J257" i="1"/>
  <c r="D257" i="1" l="1"/>
  <c r="C257" i="1"/>
  <c r="N257" i="1" s="1"/>
  <c r="AB257" i="1" s="1"/>
  <c r="R257" i="1"/>
  <c r="AR257" i="1" s="1"/>
  <c r="AP257" i="1" l="1"/>
  <c r="P257" i="1"/>
  <c r="U258" i="1"/>
  <c r="V258" i="1" s="1" a="1"/>
  <c r="V258" i="1" s="1"/>
  <c r="O257" i="1"/>
  <c r="Q257" i="1" s="1"/>
  <c r="AD257" i="1"/>
  <c r="AC257" i="1" l="1"/>
  <c r="AF257" i="1" s="1"/>
  <c r="AI258" i="1"/>
  <c r="AJ258" i="1" s="1" a="1"/>
  <c r="AJ258" i="1" s="1"/>
  <c r="AQ257" i="1"/>
  <c r="AT257" i="1" s="1"/>
  <c r="AE257" i="1" l="1"/>
  <c r="AG257" i="1" s="1"/>
  <c r="AH257" i="1" s="1"/>
  <c r="AS257" i="1"/>
  <c r="AU257" i="1" s="1"/>
  <c r="AV257" i="1" s="1"/>
  <c r="F257" i="1" l="1"/>
  <c r="I257" i="1" s="1"/>
  <c r="K257" i="1" l="1"/>
  <c r="L257" i="1" s="1"/>
  <c r="M257" i="1" s="1"/>
  <c r="H257" i="1" s="1"/>
  <c r="E258" i="1" s="1"/>
  <c r="C258" i="1" s="1"/>
  <c r="J258" i="1"/>
  <c r="S258" i="1" l="1"/>
  <c r="N258" i="1" s="1"/>
  <c r="AB258" i="1" s="1"/>
  <c r="D258" i="1"/>
  <c r="U259" i="1" s="1"/>
  <c r="V259" i="1" s="1" a="1"/>
  <c r="V259" i="1" s="1"/>
  <c r="R258" i="1"/>
  <c r="O258" i="1" l="1"/>
  <c r="Q258" i="1" s="1"/>
  <c r="AR258" i="1"/>
  <c r="AD258" i="1"/>
  <c r="AI259" i="1"/>
  <c r="AJ259" i="1" s="1" a="1"/>
  <c r="AJ259" i="1" s="1"/>
  <c r="AP258" i="1"/>
  <c r="P258" i="1"/>
  <c r="AC258" i="1" l="1"/>
  <c r="AE258" i="1" s="1"/>
  <c r="AQ258" i="1"/>
  <c r="AS258" i="1" s="1"/>
  <c r="AT258" i="1" l="1"/>
  <c r="AU258" i="1" s="1"/>
  <c r="AV258" i="1" s="1"/>
  <c r="AF258" i="1"/>
  <c r="AG258" i="1" s="1"/>
  <c r="AH258" i="1" s="1"/>
  <c r="F258" i="1" l="1"/>
  <c r="J259" i="1" s="1"/>
  <c r="I258" i="1" l="1"/>
  <c r="K258" i="1"/>
  <c r="L258" i="1" s="1"/>
  <c r="M258" i="1" l="1"/>
  <c r="H258" i="1" s="1"/>
  <c r="E259" i="1" s="1"/>
  <c r="R259" i="1" s="1"/>
  <c r="S259" i="1" l="1"/>
  <c r="AD259" i="1" s="1"/>
  <c r="C259" i="1"/>
  <c r="D259" i="1"/>
  <c r="O259" i="1" s="1"/>
  <c r="AC259" i="1" s="1"/>
  <c r="AR259" i="1" l="1"/>
  <c r="AQ259" i="1"/>
  <c r="N259" i="1"/>
  <c r="P259" i="1" s="1"/>
  <c r="Q259" i="1"/>
  <c r="U260" i="1"/>
  <c r="AI260" i="1" s="1"/>
  <c r="AJ260" i="1" s="1" a="1"/>
  <c r="AJ260" i="1" s="1"/>
  <c r="AP259" i="1" l="1"/>
  <c r="AS259" i="1" s="1"/>
  <c r="AB259" i="1"/>
  <c r="AF259" i="1" s="1"/>
  <c r="V260" i="1" a="1"/>
  <c r="V260" i="1" s="1"/>
  <c r="AT259" i="1" l="1"/>
  <c r="AU259" i="1" s="1"/>
  <c r="AV259" i="1" s="1"/>
  <c r="AE259" i="1"/>
  <c r="AG259" i="1" s="1"/>
  <c r="AH259" i="1" s="1"/>
  <c r="F259" i="1" l="1"/>
  <c r="I259" i="1" s="1"/>
  <c r="J260" i="1" l="1"/>
  <c r="K259" i="1"/>
  <c r="L259" i="1" s="1"/>
  <c r="M259" i="1" s="1"/>
  <c r="H259" i="1" s="1"/>
  <c r="E260" i="1" s="1"/>
  <c r="D260" i="1" l="1"/>
  <c r="C260" i="1"/>
  <c r="S260" i="1"/>
  <c r="R260" i="1"/>
  <c r="N260" i="1" l="1"/>
  <c r="AB260" i="1" s="1"/>
  <c r="O260" i="1"/>
  <c r="AQ260" i="1" s="1"/>
  <c r="U261" i="1"/>
  <c r="V261" i="1" s="1" a="1"/>
  <c r="V261" i="1" s="1"/>
  <c r="AD260" i="1"/>
  <c r="AR260" i="1"/>
  <c r="P260" i="1" l="1"/>
  <c r="AP260" i="1"/>
  <c r="AT260" i="1" s="1"/>
  <c r="AI261" i="1"/>
  <c r="AJ261" i="1" s="1" a="1"/>
  <c r="AJ261" i="1" s="1"/>
  <c r="AC260" i="1"/>
  <c r="AE260" i="1" s="1"/>
  <c r="Q260" i="1"/>
  <c r="AS260" i="1"/>
  <c r="AF260" i="1" l="1"/>
  <c r="AG260" i="1" s="1"/>
  <c r="AH260" i="1" s="1"/>
  <c r="AU260" i="1"/>
  <c r="AV260" i="1" s="1"/>
  <c r="F260" i="1" l="1"/>
  <c r="J261" i="1" s="1"/>
  <c r="K260" i="1" l="1"/>
  <c r="L260" i="1" s="1"/>
  <c r="I260" i="1"/>
  <c r="M260" i="1" l="1"/>
  <c r="H260" i="1" s="1"/>
  <c r="E261" i="1" s="1"/>
  <c r="D261" i="1" s="1"/>
  <c r="R261" i="1" l="1"/>
  <c r="O261" i="1" s="1"/>
  <c r="AC261" i="1" s="1"/>
  <c r="C261" i="1"/>
  <c r="U262" i="1" s="1"/>
  <c r="S261" i="1"/>
  <c r="AI262" i="1" l="1"/>
  <c r="AJ262" i="1" s="1" a="1"/>
  <c r="AJ262" i="1" s="1"/>
  <c r="V262" i="1" a="1"/>
  <c r="V262" i="1" s="1"/>
  <c r="N261" i="1"/>
  <c r="AR261" i="1"/>
  <c r="AD261" i="1"/>
  <c r="Q261" i="1"/>
  <c r="AQ261" i="1"/>
  <c r="P261" i="1" l="1"/>
  <c r="AB261" i="1"/>
  <c r="AF261" i="1" s="1"/>
  <c r="AP261" i="1"/>
  <c r="AS261" i="1" s="1"/>
  <c r="AE261" i="1" l="1"/>
  <c r="AG261" i="1" s="1"/>
  <c r="AH261" i="1" s="1"/>
  <c r="AT261" i="1"/>
  <c r="AU261" i="1" s="1"/>
  <c r="AV261" i="1" s="1"/>
  <c r="F261" i="1" l="1"/>
  <c r="I261" i="1" s="1"/>
  <c r="J262" i="1" l="1"/>
  <c r="K261" i="1"/>
  <c r="L261" i="1" s="1"/>
  <c r="M261" i="1" s="1"/>
  <c r="H261" i="1" s="1"/>
  <c r="E262" i="1" s="1"/>
  <c r="R262" i="1" s="1"/>
  <c r="C262" i="1" l="1"/>
  <c r="D262" i="1"/>
  <c r="O262" i="1" s="1"/>
  <c r="AQ262" i="1" s="1"/>
  <c r="S262" i="1"/>
  <c r="AR262" i="1" s="1"/>
  <c r="U263" i="1" l="1"/>
  <c r="AI263" i="1" s="1"/>
  <c r="AJ263" i="1" s="1" a="1"/>
  <c r="AJ263" i="1" s="1"/>
  <c r="AC262" i="1"/>
  <c r="Q262" i="1"/>
  <c r="N262" i="1"/>
  <c r="AP262" i="1" s="1"/>
  <c r="AT262" i="1" s="1"/>
  <c r="AD262" i="1"/>
  <c r="V263" i="1" l="1" a="1"/>
  <c r="V263" i="1" s="1"/>
  <c r="AS262" i="1"/>
  <c r="AU262" i="1" s="1"/>
  <c r="AV262" i="1" s="1"/>
  <c r="P262" i="1"/>
  <c r="AB262" i="1"/>
  <c r="AF262" i="1" s="1"/>
  <c r="AE262" i="1" l="1"/>
  <c r="AG262" i="1" s="1"/>
  <c r="AH262" i="1" s="1"/>
  <c r="F262" i="1" s="1"/>
  <c r="J263" i="1" s="1"/>
  <c r="I262" i="1" l="1"/>
  <c r="K262" i="1"/>
  <c r="L262" i="1" s="1"/>
  <c r="M262" i="1" l="1"/>
  <c r="H262" i="1" s="1"/>
  <c r="E263" i="1" s="1"/>
  <c r="D263" i="1" s="1"/>
  <c r="R263" i="1" l="1"/>
  <c r="O263" i="1" s="1"/>
  <c r="S263" i="1"/>
  <c r="C263" i="1"/>
  <c r="U264" i="1" s="1"/>
  <c r="AI264" i="1" s="1"/>
  <c r="AJ264" i="1" s="1" a="1"/>
  <c r="AJ264" i="1" s="1"/>
  <c r="AC263" i="1" l="1"/>
  <c r="AQ263" i="1"/>
  <c r="Q263" i="1"/>
  <c r="AD263" i="1"/>
  <c r="N263" i="1"/>
  <c r="AB263" i="1" s="1"/>
  <c r="AF263" i="1" s="1"/>
  <c r="AR263" i="1"/>
  <c r="V264" i="1" a="1"/>
  <c r="V264" i="1" s="1"/>
  <c r="AE263" i="1" l="1"/>
  <c r="AG263" i="1" s="1"/>
  <c r="AH263" i="1" s="1"/>
  <c r="P263" i="1"/>
  <c r="AP263" i="1"/>
  <c r="AT263" i="1" s="1"/>
  <c r="AS263" i="1" l="1"/>
  <c r="AU263" i="1" s="1"/>
  <c r="AV263" i="1" s="1"/>
  <c r="F263" i="1" s="1"/>
  <c r="J264" i="1" s="1"/>
  <c r="I263" i="1" l="1"/>
  <c r="K263" i="1"/>
  <c r="L263" i="1" s="1"/>
  <c r="M263" i="1" s="1"/>
  <c r="H263" i="1" s="1"/>
  <c r="E264" i="1" s="1"/>
  <c r="R264" i="1" s="1"/>
  <c r="D264" i="1" l="1"/>
  <c r="O264" i="1" s="1"/>
  <c r="AC264" i="1" s="1"/>
  <c r="C264" i="1"/>
  <c r="S264" i="1"/>
  <c r="AD264" i="1" s="1"/>
  <c r="AQ264" i="1" l="1"/>
  <c r="Q264" i="1"/>
  <c r="U265" i="1"/>
  <c r="AI265" i="1" s="1"/>
  <c r="AJ265" i="1" s="1" a="1"/>
  <c r="AJ265" i="1" s="1"/>
  <c r="AR264" i="1"/>
  <c r="N264" i="1"/>
  <c r="AB264" i="1" s="1"/>
  <c r="AF264" i="1" s="1"/>
  <c r="AE264" i="1" l="1"/>
  <c r="P264" i="1"/>
  <c r="AP264" i="1"/>
  <c r="AT264" i="1" s="1"/>
  <c r="V265" i="1" a="1"/>
  <c r="V265" i="1" s="1"/>
  <c r="AG264" i="1" l="1"/>
  <c r="AH264" i="1" s="1"/>
  <c r="AS264" i="1"/>
  <c r="AU264" i="1" l="1"/>
  <c r="AV264" i="1" s="1"/>
  <c r="F264" i="1" s="1"/>
  <c r="K264" i="1" l="1"/>
  <c r="L264" i="1" s="1"/>
  <c r="I264" i="1"/>
  <c r="J265" i="1"/>
  <c r="M264" i="1" l="1"/>
  <c r="H264" i="1" s="1"/>
  <c r="E265" i="1" s="1"/>
  <c r="C265" i="1" s="1"/>
  <c r="D265" i="1" l="1"/>
  <c r="U266" i="1" s="1"/>
  <c r="V266" i="1" s="1" a="1"/>
  <c r="V266" i="1" s="1"/>
  <c r="R265" i="1"/>
  <c r="S265" i="1"/>
  <c r="O265" i="1" l="1"/>
  <c r="Q265" i="1" s="1"/>
  <c r="AI266" i="1"/>
  <c r="AJ266" i="1" s="1" a="1"/>
  <c r="AJ266" i="1" s="1"/>
  <c r="N265" i="1"/>
  <c r="AD265" i="1"/>
  <c r="AR265" i="1"/>
  <c r="AC265" i="1" l="1"/>
  <c r="AQ265" i="1"/>
  <c r="AP265" i="1"/>
  <c r="P265" i="1"/>
  <c r="AB265" i="1"/>
  <c r="AS265" i="1" l="1"/>
  <c r="AE265" i="1"/>
  <c r="AF265" i="1"/>
  <c r="AT265" i="1"/>
  <c r="AU265" i="1" l="1"/>
  <c r="AV265" i="1" s="1"/>
  <c r="AG265" i="1"/>
  <c r="AH265" i="1" s="1"/>
  <c r="F265" i="1" l="1"/>
  <c r="J266" i="1" s="1"/>
  <c r="K265" i="1" l="1"/>
  <c r="L265" i="1" s="1"/>
  <c r="I265" i="1"/>
  <c r="M265" i="1" l="1"/>
  <c r="H265" i="1" s="1"/>
  <c r="E266" i="1" s="1"/>
  <c r="S266" i="1" s="1"/>
  <c r="D266" i="1" l="1"/>
  <c r="R266" i="1"/>
  <c r="AR266" i="1" s="1"/>
  <c r="C266" i="1"/>
  <c r="N266" i="1" s="1"/>
  <c r="P266" i="1" s="1"/>
  <c r="O266" i="1" l="1"/>
  <c r="AQ266" i="1" s="1"/>
  <c r="AP266" i="1"/>
  <c r="AT266" i="1" s="1"/>
  <c r="AB266" i="1"/>
  <c r="U267" i="1"/>
  <c r="AI267" i="1" s="1"/>
  <c r="AJ267" i="1" s="1" a="1"/>
  <c r="AJ267" i="1" s="1"/>
  <c r="AD266" i="1"/>
  <c r="AS266" i="1"/>
  <c r="Q266" i="1"/>
  <c r="AC266" i="1"/>
  <c r="V267" i="1" l="1" a="1"/>
  <c r="V267" i="1" s="1"/>
  <c r="AU266" i="1"/>
  <c r="AV266" i="1" s="1"/>
  <c r="AF266" i="1"/>
  <c r="AE266" i="1"/>
  <c r="AG266" i="1" s="1"/>
  <c r="AH266" i="1" s="1"/>
  <c r="F266" i="1" l="1"/>
  <c r="J267" i="1" s="1"/>
  <c r="I266" i="1"/>
  <c r="K266" i="1"/>
  <c r="L266" i="1" s="1"/>
  <c r="M266" i="1" l="1"/>
  <c r="H266" i="1" s="1"/>
  <c r="E267" i="1" s="1"/>
  <c r="R267" i="1" s="1"/>
  <c r="D267" i="1" l="1"/>
  <c r="O267" i="1" s="1"/>
  <c r="C267" i="1"/>
  <c r="S267" i="1"/>
  <c r="AD267" i="1" s="1"/>
  <c r="U268" i="1" l="1"/>
  <c r="AI268" i="1" s="1"/>
  <c r="AJ268" i="1" s="1" a="1"/>
  <c r="AJ268" i="1" s="1"/>
  <c r="AC267" i="1"/>
  <c r="AQ267" i="1"/>
  <c r="Q267" i="1"/>
  <c r="N267" i="1"/>
  <c r="AB267" i="1" s="1"/>
  <c r="AR267" i="1"/>
  <c r="V268" i="1" l="1" a="1"/>
  <c r="V268" i="1" s="1"/>
  <c r="AP267" i="1"/>
  <c r="AT267" i="1" s="1"/>
  <c r="P267" i="1"/>
  <c r="AF267" i="1"/>
  <c r="AE267" i="1"/>
  <c r="AG267" i="1" l="1"/>
  <c r="AH267" i="1" s="1"/>
  <c r="AS267" i="1"/>
  <c r="AU267" i="1" s="1"/>
  <c r="AV267" i="1" s="1"/>
  <c r="F267" i="1" l="1"/>
  <c r="J268" i="1" s="1"/>
  <c r="K267" i="1" l="1"/>
  <c r="L267" i="1" s="1"/>
  <c r="I267" i="1"/>
  <c r="M267" i="1" l="1"/>
  <c r="H267" i="1" s="1"/>
  <c r="E268" i="1" s="1"/>
  <c r="S268" i="1" s="1"/>
  <c r="D268" i="1" l="1"/>
  <c r="R268" i="1"/>
  <c r="AR268" i="1" s="1"/>
  <c r="C268" i="1"/>
  <c r="N268" i="1" s="1"/>
  <c r="AB268" i="1" s="1"/>
  <c r="AD268" i="1" l="1"/>
  <c r="O268" i="1"/>
  <c r="Q268" i="1" s="1"/>
  <c r="U269" i="1"/>
  <c r="V269" i="1" s="1" a="1"/>
  <c r="V269" i="1" s="1"/>
  <c r="AP268" i="1"/>
  <c r="P268" i="1"/>
  <c r="AQ268" i="1"/>
  <c r="AC268" i="1"/>
  <c r="AE268" i="1" s="1"/>
  <c r="AI269" i="1" l="1"/>
  <c r="AJ269" i="1" s="1" a="1"/>
  <c r="AJ269" i="1" s="1"/>
  <c r="AT268" i="1"/>
  <c r="AF268" i="1"/>
  <c r="AG268" i="1" s="1"/>
  <c r="AH268" i="1" s="1"/>
  <c r="AS268" i="1"/>
  <c r="AU268" i="1" s="1"/>
  <c r="AV268" i="1" s="1"/>
  <c r="F268" i="1" l="1"/>
  <c r="I268" i="1" s="1"/>
  <c r="J269" i="1" l="1"/>
  <c r="K268" i="1"/>
  <c r="L268" i="1" s="1"/>
  <c r="M268" i="1" s="1"/>
  <c r="H268" i="1" s="1"/>
  <c r="E269" i="1" s="1"/>
  <c r="S269" i="1" s="1"/>
  <c r="D269" i="1" l="1"/>
  <c r="C269" i="1"/>
  <c r="N269" i="1" s="1"/>
  <c r="R269" i="1"/>
  <c r="AR269" i="1" s="1"/>
  <c r="O269" i="1" l="1"/>
  <c r="AC269" i="1" s="1"/>
  <c r="U270" i="1"/>
  <c r="AI270" i="1" s="1"/>
  <c r="AJ270" i="1" s="1" a="1"/>
  <c r="AJ270" i="1" s="1"/>
  <c r="AB269" i="1"/>
  <c r="P269" i="1"/>
  <c r="AP269" i="1"/>
  <c r="AD269" i="1"/>
  <c r="AF269" i="1" l="1"/>
  <c r="AE269" i="1"/>
  <c r="AQ269" i="1"/>
  <c r="AS269" i="1" s="1"/>
  <c r="V270" i="1" a="1"/>
  <c r="V270" i="1" s="1"/>
  <c r="Q269" i="1"/>
  <c r="AG269" i="1" l="1"/>
  <c r="AH269" i="1" s="1"/>
  <c r="AT269" i="1"/>
  <c r="AU269" i="1" l="1"/>
  <c r="AV269" i="1" s="1"/>
  <c r="F269" i="1" s="1"/>
  <c r="K269" i="1" s="1"/>
  <c r="L269" i="1" s="1"/>
  <c r="J270" i="1" l="1"/>
  <c r="I269" i="1"/>
  <c r="M269" i="1" s="1"/>
  <c r="H269" i="1" s="1"/>
  <c r="E270" i="1" s="1"/>
  <c r="S270" i="1" s="1"/>
  <c r="C270" i="1" l="1"/>
  <c r="N270" i="1" s="1"/>
  <c r="R270" i="1"/>
  <c r="AR270" i="1" s="1"/>
  <c r="D270" i="1"/>
  <c r="O270" i="1" l="1"/>
  <c r="AQ270" i="1" s="1"/>
  <c r="U271" i="1"/>
  <c r="V271" i="1" s="1" a="1"/>
  <c r="V271" i="1" s="1"/>
  <c r="AD270" i="1"/>
  <c r="P270" i="1"/>
  <c r="AP270" i="1"/>
  <c r="AB270" i="1"/>
  <c r="Q270" i="1" l="1"/>
  <c r="AC270" i="1"/>
  <c r="AE270" i="1" s="1"/>
  <c r="AI271" i="1"/>
  <c r="AJ271" i="1" s="1" a="1"/>
  <c r="AJ271" i="1" s="1"/>
  <c r="AS270" i="1"/>
  <c r="AT270" i="1"/>
  <c r="AU270" i="1" l="1"/>
  <c r="AV270" i="1" s="1"/>
  <c r="AF270" i="1"/>
  <c r="AG270" i="1" l="1"/>
  <c r="AH270" i="1" s="1"/>
  <c r="F270" i="1" s="1"/>
  <c r="J271" i="1" l="1"/>
  <c r="K270" i="1"/>
  <c r="L270" i="1" s="1"/>
  <c r="I270" i="1"/>
  <c r="M270" i="1" l="1"/>
  <c r="H270" i="1" s="1"/>
  <c r="E271" i="1" s="1"/>
  <c r="S271" i="1" s="1"/>
  <c r="R271" i="1" l="1"/>
  <c r="AD271" i="1" s="1"/>
  <c r="D271" i="1"/>
  <c r="C271" i="1"/>
  <c r="N271" i="1" s="1"/>
  <c r="AP271" i="1" s="1"/>
  <c r="O271" i="1" l="1"/>
  <c r="Q271" i="1" s="1"/>
  <c r="AB271" i="1"/>
  <c r="P271" i="1"/>
  <c r="AR271" i="1"/>
  <c r="U272" i="1"/>
  <c r="V272" i="1" s="1" a="1"/>
  <c r="V272" i="1" s="1"/>
  <c r="AC271" i="1" l="1"/>
  <c r="AE271" i="1" s="1"/>
  <c r="AQ271" i="1"/>
  <c r="AT271" i="1" s="1"/>
  <c r="AI272" i="1"/>
  <c r="AJ272" i="1" s="1" a="1"/>
  <c r="AJ272" i="1" s="1"/>
  <c r="AS271" i="1" l="1"/>
  <c r="AF271" i="1"/>
  <c r="AG271" i="1" l="1"/>
  <c r="AH271" i="1" s="1"/>
  <c r="AU271" i="1"/>
  <c r="AV271" i="1" s="1"/>
  <c r="F271" i="1" l="1"/>
  <c r="K271" i="1" s="1"/>
  <c r="L271" i="1" s="1"/>
  <c r="I271" i="1" l="1"/>
  <c r="M271" i="1" s="1"/>
  <c r="H271" i="1" s="1"/>
  <c r="E272" i="1" s="1"/>
  <c r="D272" i="1" s="1"/>
  <c r="J272" i="1"/>
  <c r="S272" i="1" l="1"/>
  <c r="R272" i="1"/>
  <c r="O272" i="1" s="1"/>
  <c r="AC272" i="1" s="1"/>
  <c r="C272" i="1"/>
  <c r="U273" i="1" s="1"/>
  <c r="V273" i="1" s="1" a="1"/>
  <c r="V273" i="1" s="1"/>
  <c r="AR272" i="1" l="1"/>
  <c r="N272" i="1"/>
  <c r="AB272" i="1" s="1"/>
  <c r="AQ272" i="1"/>
  <c r="Q272" i="1"/>
  <c r="AD272" i="1"/>
  <c r="AI273" i="1"/>
  <c r="AJ273" i="1" s="1" a="1"/>
  <c r="AJ273" i="1" s="1"/>
  <c r="AP272" i="1" l="1"/>
  <c r="AT272" i="1" s="1"/>
  <c r="AE272" i="1"/>
  <c r="P272" i="1"/>
  <c r="AF272" i="1"/>
  <c r="AG272" i="1" l="1"/>
  <c r="AH272" i="1" s="1"/>
  <c r="AS272" i="1"/>
  <c r="AU272" i="1" l="1"/>
  <c r="AV272" i="1" s="1"/>
  <c r="F272" i="1" s="1"/>
  <c r="I272" i="1" s="1"/>
  <c r="J273" i="1" l="1"/>
  <c r="K272" i="1"/>
  <c r="L272" i="1" s="1"/>
  <c r="M272" i="1" s="1"/>
  <c r="H272" i="1" s="1"/>
  <c r="E273" i="1" s="1"/>
  <c r="D273" i="1" s="1"/>
  <c r="C273" i="1" l="1"/>
  <c r="U274" i="1" s="1"/>
  <c r="AI274" i="1" s="1"/>
  <c r="AJ274" i="1" s="1" a="1"/>
  <c r="AJ274" i="1" s="1"/>
  <c r="R273" i="1"/>
  <c r="O273" i="1" s="1"/>
  <c r="AQ273" i="1" s="1"/>
  <c r="S273" i="1"/>
  <c r="AD273" i="1" l="1"/>
  <c r="V274" i="1" a="1"/>
  <c r="V274" i="1" s="1"/>
  <c r="AC273" i="1"/>
  <c r="Q273" i="1"/>
  <c r="N273" i="1"/>
  <c r="AB273" i="1" s="1"/>
  <c r="AR273" i="1"/>
  <c r="AF273" i="1" l="1"/>
  <c r="P273" i="1"/>
  <c r="AP273" i="1"/>
  <c r="AS273" i="1" s="1"/>
  <c r="AE273" i="1"/>
  <c r="AG273" i="1" l="1"/>
  <c r="AH273" i="1" s="1"/>
  <c r="AT273" i="1"/>
  <c r="AU273" i="1" l="1"/>
  <c r="AV273" i="1" s="1"/>
  <c r="F273" i="1" s="1"/>
  <c r="K273" i="1" s="1"/>
  <c r="L273" i="1" s="1"/>
  <c r="I273" i="1" l="1"/>
  <c r="M273" i="1" s="1"/>
  <c r="H273" i="1" s="1"/>
  <c r="E274" i="1" s="1"/>
  <c r="R274" i="1" s="1"/>
  <c r="J274" i="1"/>
  <c r="C274" i="1" l="1"/>
  <c r="D274" i="1"/>
  <c r="O274" i="1" s="1"/>
  <c r="Q274" i="1" s="1"/>
  <c r="S274" i="1"/>
  <c r="AR274" i="1" s="1"/>
  <c r="U275" i="1" l="1"/>
  <c r="AI275" i="1" s="1"/>
  <c r="AJ275" i="1" s="1" a="1"/>
  <c r="AJ275" i="1" s="1"/>
  <c r="AC274" i="1"/>
  <c r="AQ274" i="1"/>
  <c r="AD274" i="1"/>
  <c r="N274" i="1"/>
  <c r="AP274" i="1" s="1"/>
  <c r="AT274" i="1" l="1"/>
  <c r="AS274" i="1"/>
  <c r="P274" i="1"/>
  <c r="AB274" i="1"/>
  <c r="AF274" i="1" s="1"/>
  <c r="V275" i="1" s="1" a="1"/>
  <c r="V275" i="1" s="1"/>
  <c r="AU274" i="1" l="1"/>
  <c r="AV274" i="1" s="1"/>
  <c r="AE274" i="1"/>
  <c r="AG274" i="1" l="1"/>
  <c r="AH274" i="1" s="1"/>
  <c r="F274" i="1" s="1"/>
  <c r="J275" i="1" s="1"/>
  <c r="K274" i="1" l="1"/>
  <c r="L274" i="1" s="1"/>
  <c r="I274" i="1"/>
  <c r="M274" i="1" l="1"/>
  <c r="H274" i="1" s="1"/>
  <c r="E275" i="1" s="1"/>
  <c r="D275" i="1" s="1"/>
  <c r="C275" i="1" l="1"/>
  <c r="U276" i="1" s="1"/>
  <c r="AI276" i="1" s="1"/>
  <c r="AJ276" i="1" s="1" a="1"/>
  <c r="AJ276" i="1" s="1"/>
  <c r="S275" i="1"/>
  <c r="R275" i="1"/>
  <c r="O275" i="1" s="1"/>
  <c r="Q275" i="1" s="1"/>
  <c r="N275" i="1" l="1"/>
  <c r="AB275" i="1" s="1"/>
  <c r="V276" i="1" a="1"/>
  <c r="V276" i="1" s="1"/>
  <c r="AD275" i="1"/>
  <c r="AQ275" i="1"/>
  <c r="AC275" i="1"/>
  <c r="AR275" i="1"/>
  <c r="P275" i="1" l="1"/>
  <c r="AP275" i="1"/>
  <c r="AT275" i="1" s="1"/>
  <c r="AF275" i="1"/>
  <c r="AE275" i="1"/>
  <c r="AG275" i="1" l="1"/>
  <c r="AH275" i="1" s="1"/>
  <c r="AS275" i="1"/>
  <c r="AU275" i="1" l="1"/>
  <c r="AV275" i="1" s="1"/>
  <c r="F275" i="1" s="1"/>
  <c r="K275" i="1" s="1"/>
  <c r="L275" i="1" s="1"/>
  <c r="J276" i="1" l="1"/>
  <c r="I275" i="1"/>
  <c r="M275" i="1" s="1"/>
  <c r="H275" i="1" s="1"/>
  <c r="E276" i="1" s="1"/>
  <c r="R276" i="1" s="1"/>
  <c r="S276" i="1" l="1"/>
  <c r="AR276" i="1" s="1"/>
  <c r="D276" i="1"/>
  <c r="O276" i="1" s="1"/>
  <c r="Q276" i="1" s="1"/>
  <c r="C276" i="1"/>
  <c r="AD276" i="1" l="1"/>
  <c r="AQ276" i="1"/>
  <c r="AC276" i="1"/>
  <c r="U277" i="1"/>
  <c r="AI277" i="1" s="1"/>
  <c r="AJ277" i="1" s="1" a="1"/>
  <c r="AJ277" i="1" s="1"/>
  <c r="N276" i="1"/>
  <c r="AP276" i="1" s="1"/>
  <c r="AT276" i="1" s="1"/>
  <c r="P276" i="1" l="1"/>
  <c r="V277" i="1" a="1"/>
  <c r="V277" i="1" s="1"/>
  <c r="AS276" i="1"/>
  <c r="AB276" i="1"/>
  <c r="AF276" i="1" s="1"/>
  <c r="AU276" i="1" l="1"/>
  <c r="AV276" i="1" s="1"/>
  <c r="AE276" i="1"/>
  <c r="AG276" i="1" l="1"/>
  <c r="AH276" i="1" s="1"/>
  <c r="F276" i="1" s="1"/>
  <c r="K276" i="1" l="1"/>
  <c r="L276" i="1" s="1"/>
  <c r="J277" i="1"/>
  <c r="I276" i="1"/>
  <c r="A10" i="4" a="1"/>
  <c r="A10" i="4" s="1"/>
  <c r="M276" i="1" l="1"/>
  <c r="H276" i="1" s="1"/>
  <c r="E277" i="1" s="1"/>
  <c r="S277" i="1" s="1"/>
  <c r="C277" i="1" l="1"/>
  <c r="N277" i="1" s="1"/>
  <c r="AB277" i="1" s="1"/>
  <c r="D277" i="1"/>
  <c r="R277" i="1"/>
  <c r="AR277" i="1" s="1"/>
  <c r="AP277" i="1" l="1"/>
  <c r="P277" i="1"/>
  <c r="AD277" i="1"/>
  <c r="O277" i="1"/>
  <c r="Q277" i="1" s="1"/>
  <c r="U278" i="1"/>
  <c r="AI278" i="1" s="1"/>
  <c r="AJ278" i="1" s="1" a="1"/>
  <c r="AJ278" i="1" s="1"/>
  <c r="AC277" i="1" l="1"/>
  <c r="AE277" i="1" s="1"/>
  <c r="AQ277" i="1"/>
  <c r="AS277" i="1" s="1"/>
  <c r="V278" i="1" a="1"/>
  <c r="V278" i="1" s="1"/>
  <c r="AT277" i="1"/>
  <c r="AF277" i="1" l="1"/>
  <c r="AG277" i="1" s="1"/>
  <c r="AH277" i="1" s="1"/>
  <c r="AU277" i="1"/>
  <c r="AV277" i="1" s="1"/>
  <c r="F277" i="1" l="1"/>
  <c r="J278" i="1" s="1"/>
  <c r="I277" i="1" l="1"/>
  <c r="K277" i="1"/>
  <c r="L277" i="1" s="1"/>
  <c r="M277" i="1" l="1"/>
  <c r="H277" i="1" s="1"/>
  <c r="E278" i="1" s="1"/>
  <c r="D278" i="1" s="1"/>
  <c r="A11" i="4" a="1"/>
  <c r="C5" i="4" s="1"/>
  <c r="C278" i="1" l="1"/>
  <c r="U279" i="1" s="1"/>
  <c r="AI279" i="1" s="1"/>
  <c r="AJ279" i="1" s="1" a="1"/>
  <c r="AJ279" i="1" s="1"/>
  <c r="S278" i="1"/>
  <c r="R278" i="1"/>
  <c r="O278" i="1" s="1"/>
  <c r="AQ278" i="1" s="1"/>
  <c r="D5" i="4"/>
  <c r="B5" i="4"/>
  <c r="A5" i="4"/>
  <c r="A11" i="4"/>
  <c r="N278" i="1" l="1"/>
  <c r="AP278" i="1" s="1"/>
  <c r="AC278" i="1"/>
  <c r="AD278" i="1"/>
  <c r="Q278" i="1"/>
  <c r="V279" i="1" a="1"/>
  <c r="V279" i="1" s="1"/>
  <c r="AR278" i="1"/>
  <c r="P278" i="1" l="1"/>
  <c r="AB278" i="1"/>
  <c r="AE278" i="1" s="1"/>
  <c r="AS278" i="1"/>
  <c r="AT278" i="1"/>
  <c r="AU278" i="1" l="1"/>
  <c r="AV278" i="1" s="1"/>
  <c r="AF278" i="1"/>
  <c r="AG278" i="1" s="1"/>
  <c r="AH278" i="1" s="1"/>
  <c r="F278" i="1" l="1"/>
  <c r="K278" i="1" s="1"/>
  <c r="L278" i="1" s="1"/>
  <c r="I278" i="1" l="1"/>
  <c r="M278" i="1" s="1"/>
  <c r="H278" i="1" s="1"/>
  <c r="E279" i="1" s="1"/>
  <c r="D279" i="1" s="1"/>
  <c r="J279" i="1"/>
  <c r="A12" i="4" a="1"/>
  <c r="A12" i="4" s="1"/>
  <c r="R279" i="1" l="1"/>
  <c r="O279" i="1" s="1"/>
  <c r="AC279" i="1" s="1"/>
  <c r="S279" i="1"/>
  <c r="C279" i="1"/>
  <c r="U280" i="1" s="1"/>
  <c r="V280" i="1" s="1" a="1"/>
  <c r="V280" i="1" s="1"/>
  <c r="AD279" i="1" l="1"/>
  <c r="AR279" i="1"/>
  <c r="AQ279" i="1"/>
  <c r="Q279" i="1"/>
  <c r="AI280" i="1"/>
  <c r="AJ280" i="1" s="1" a="1"/>
  <c r="AJ280" i="1" s="1"/>
  <c r="N279" i="1"/>
  <c r="P279" i="1" s="1"/>
  <c r="AP279" i="1" l="1"/>
  <c r="AT279" i="1" s="1"/>
  <c r="AB279" i="1"/>
  <c r="AF279" i="1" s="1"/>
  <c r="AE279" i="1" l="1"/>
  <c r="AS279" i="1"/>
  <c r="AG279" i="1" l="1"/>
  <c r="AH279" i="1" s="1"/>
  <c r="AU279" i="1"/>
  <c r="AV279" i="1" s="1"/>
  <c r="F279" i="1" l="1"/>
  <c r="K279" i="1" s="1"/>
  <c r="L279" i="1" s="1"/>
  <c r="I279" i="1" l="1"/>
  <c r="M279" i="1" s="1"/>
  <c r="H279" i="1" s="1"/>
  <c r="E280" i="1" s="1"/>
  <c r="D280" i="1" s="1"/>
  <c r="J280" i="1"/>
  <c r="S280" i="1" l="1"/>
  <c r="C280" i="1"/>
  <c r="U281" i="1" s="1"/>
  <c r="AI281" i="1" s="1"/>
  <c r="AJ281" i="1" s="1" a="1"/>
  <c r="AJ281" i="1" s="1"/>
  <c r="R280" i="1"/>
  <c r="O280" i="1" s="1"/>
  <c r="AC280" i="1" s="1"/>
  <c r="N280" i="1" l="1"/>
  <c r="AB280" i="1" s="1"/>
  <c r="AR280" i="1"/>
  <c r="Q280" i="1"/>
  <c r="V281" i="1" a="1"/>
  <c r="V281" i="1" s="1"/>
  <c r="AD280" i="1"/>
  <c r="AQ280" i="1"/>
  <c r="AE280" i="1" l="1"/>
  <c r="P280" i="1"/>
  <c r="AF280" i="1"/>
  <c r="AP280" i="1"/>
  <c r="AS280" i="1" s="1"/>
  <c r="AG280" i="1" l="1"/>
  <c r="AH280" i="1" s="1"/>
  <c r="AT280" i="1"/>
  <c r="AU280" i="1" s="1"/>
  <c r="AV280" i="1" s="1"/>
  <c r="F280" i="1" l="1"/>
  <c r="K280" i="1" s="1"/>
  <c r="L280" i="1" s="1"/>
  <c r="J281" i="1" l="1"/>
  <c r="I280" i="1"/>
  <c r="M280" i="1" s="1"/>
  <c r="H280" i="1" s="1"/>
  <c r="E281" i="1" s="1"/>
  <c r="C281" i="1" s="1"/>
  <c r="R281" i="1" l="1"/>
  <c r="D281" i="1"/>
  <c r="U282" i="1" s="1"/>
  <c r="V282" i="1" s="1" a="1"/>
  <c r="V282" i="1" s="1"/>
  <c r="S281" i="1"/>
  <c r="N281" i="1" s="1"/>
  <c r="P281" i="1" s="1"/>
  <c r="AB281" i="1" l="1"/>
  <c r="AP281" i="1"/>
  <c r="AR281" i="1"/>
  <c r="O281" i="1"/>
  <c r="Q281" i="1" s="1"/>
  <c r="AD281" i="1"/>
  <c r="AI282" i="1"/>
  <c r="AJ282" i="1" s="1" a="1"/>
  <c r="AJ282" i="1" s="1"/>
  <c r="AC281" i="1" l="1"/>
  <c r="AF281" i="1" s="1"/>
  <c r="AQ281" i="1"/>
  <c r="AS281" i="1" s="1"/>
  <c r="AT281" i="1" l="1"/>
  <c r="AU281" i="1" s="1"/>
  <c r="AV281" i="1" s="1"/>
  <c r="AE281" i="1"/>
  <c r="AG281" i="1" s="1"/>
  <c r="AH281" i="1" s="1"/>
  <c r="F281" i="1" l="1"/>
  <c r="I281" i="1" s="1"/>
  <c r="K281" i="1" l="1"/>
  <c r="L281" i="1" s="1"/>
  <c r="M281" i="1" s="1"/>
  <c r="H281" i="1" s="1"/>
  <c r="E282" i="1" s="1"/>
  <c r="S282" i="1" s="1"/>
  <c r="J282" i="1"/>
  <c r="C282" i="1" l="1"/>
  <c r="N282" i="1" s="1"/>
  <c r="AB282" i="1" s="1"/>
  <c r="R282" i="1"/>
  <c r="AR282" i="1" s="1"/>
  <c r="D282" i="1"/>
  <c r="AP282" i="1" l="1"/>
  <c r="P282" i="1"/>
  <c r="U283" i="1"/>
  <c r="AI283" i="1" s="1"/>
  <c r="AJ283" i="1" s="1" a="1"/>
  <c r="AJ283" i="1" s="1"/>
  <c r="AD282" i="1"/>
  <c r="O282" i="1"/>
  <c r="Q282" i="1" s="1"/>
  <c r="V283" i="1" l="1" a="1"/>
  <c r="V283" i="1" s="1"/>
  <c r="AC282" i="1"/>
  <c r="AF282" i="1" s="1"/>
  <c r="AQ282" i="1"/>
  <c r="AT282" i="1" s="1"/>
  <c r="AS282" i="1" l="1"/>
  <c r="AU282" i="1" s="1"/>
  <c r="AV282" i="1" s="1"/>
  <c r="AE282" i="1"/>
  <c r="AG282" i="1" s="1"/>
  <c r="AH282" i="1" s="1"/>
  <c r="F282" i="1" l="1"/>
  <c r="K282" i="1" s="1"/>
  <c r="L282" i="1" s="1"/>
  <c r="I282" i="1" l="1"/>
  <c r="M282" i="1" s="1"/>
  <c r="H282" i="1" s="1"/>
  <c r="E283" i="1" s="1"/>
  <c r="D283" i="1" s="1"/>
  <c r="J283" i="1"/>
  <c r="C283" i="1" l="1"/>
  <c r="U284" i="1" s="1"/>
  <c r="AI284" i="1" s="1"/>
  <c r="AJ284" i="1" s="1" a="1"/>
  <c r="AJ284" i="1" s="1"/>
  <c r="S283" i="1"/>
  <c r="R283" i="1"/>
  <c r="O283" i="1" s="1"/>
  <c r="AQ283" i="1" s="1"/>
  <c r="V284" i="1" l="1" a="1"/>
  <c r="V284" i="1" s="1"/>
  <c r="N283" i="1"/>
  <c r="P283" i="1" s="1"/>
  <c r="AR283" i="1"/>
  <c r="Q283" i="1"/>
  <c r="AD283" i="1"/>
  <c r="AC283" i="1"/>
  <c r="AP283" i="1" l="1"/>
  <c r="AS283" i="1" s="1"/>
  <c r="AB283" i="1"/>
  <c r="AF283" i="1" s="1"/>
  <c r="AT283" i="1" l="1"/>
  <c r="AU283" i="1" s="1"/>
  <c r="AV283" i="1" s="1"/>
  <c r="AE283" i="1"/>
  <c r="AG283" i="1" s="1"/>
  <c r="AH283" i="1" s="1"/>
  <c r="F283" i="1" l="1"/>
  <c r="K283" i="1" s="1"/>
  <c r="L283" i="1" s="1"/>
  <c r="I283" i="1" l="1"/>
  <c r="M283" i="1" s="1"/>
  <c r="H283" i="1" s="1"/>
  <c r="E284" i="1" s="1"/>
  <c r="J284" i="1"/>
  <c r="R284" i="1" l="1"/>
  <c r="C284" i="1"/>
  <c r="D284" i="1"/>
  <c r="S284" i="1"/>
  <c r="AD284" i="1" l="1"/>
  <c r="O284" i="1"/>
  <c r="AQ284" i="1" s="1"/>
  <c r="N284" i="1"/>
  <c r="AP284" i="1" s="1"/>
  <c r="U285" i="1"/>
  <c r="AI285" i="1" s="1"/>
  <c r="AJ285" i="1" s="1" a="1"/>
  <c r="AJ285" i="1" s="1"/>
  <c r="AR284" i="1"/>
  <c r="AB284" i="1"/>
  <c r="AC284" i="1" l="1"/>
  <c r="AF284" i="1" s="1"/>
  <c r="AS284" i="1"/>
  <c r="AT284" i="1"/>
  <c r="Q284" i="1"/>
  <c r="P284" i="1"/>
  <c r="V285" i="1" a="1"/>
  <c r="V285" i="1" s="1"/>
  <c r="AE284" i="1"/>
  <c r="AU284" i="1" l="1"/>
  <c r="AV284" i="1" s="1"/>
  <c r="AG284" i="1"/>
  <c r="AH284" i="1" s="1"/>
  <c r="F284" i="1" l="1"/>
  <c r="K284" i="1" s="1"/>
  <c r="L284" i="1" s="1"/>
  <c r="I284" i="1" l="1"/>
  <c r="M284" i="1" s="1"/>
  <c r="H284" i="1" s="1"/>
  <c r="E285" i="1" s="1"/>
  <c r="S285" i="1" s="1"/>
  <c r="J285" i="1"/>
  <c r="D285" i="1" l="1"/>
  <c r="C285" i="1"/>
  <c r="N285" i="1" s="1"/>
  <c r="P285" i="1" s="1"/>
  <c r="R285" i="1"/>
  <c r="AR285" i="1" s="1"/>
  <c r="AB285" i="1" l="1"/>
  <c r="AP285" i="1"/>
  <c r="U286" i="1"/>
  <c r="AI286" i="1" s="1"/>
  <c r="AJ286" i="1" s="1" a="1"/>
  <c r="AJ286" i="1" s="1"/>
  <c r="O285" i="1"/>
  <c r="AC285" i="1" s="1"/>
  <c r="AD285" i="1"/>
  <c r="V286" i="1" l="1" a="1"/>
  <c r="V286" i="1" s="1"/>
  <c r="AQ285" i="1"/>
  <c r="AT285" i="1" s="1"/>
  <c r="Q285" i="1"/>
  <c r="AE285" i="1"/>
  <c r="AF285" i="1"/>
  <c r="AG285" i="1" l="1"/>
  <c r="AH285" i="1" s="1"/>
  <c r="AS285" i="1"/>
  <c r="AU285" i="1" s="1"/>
  <c r="AV285" i="1" s="1"/>
  <c r="F285" i="1" s="1"/>
  <c r="I285" i="1" s="1"/>
  <c r="J286" i="1" l="1"/>
  <c r="K285" i="1"/>
  <c r="L285" i="1" s="1"/>
  <c r="M285" i="1" s="1"/>
  <c r="H285" i="1" s="1"/>
  <c r="E286" i="1" s="1"/>
  <c r="D286" i="1" s="1"/>
  <c r="R286" i="1" l="1"/>
  <c r="O286" i="1" s="1"/>
  <c r="AC286" i="1" s="1"/>
  <c r="S286" i="1"/>
  <c r="C286" i="1"/>
  <c r="U287" i="1" s="1"/>
  <c r="V287" i="1" s="1" a="1"/>
  <c r="V287" i="1" s="1"/>
  <c r="N286" i="1" l="1"/>
  <c r="P286" i="1" s="1"/>
  <c r="AQ286" i="1"/>
  <c r="Q286" i="1"/>
  <c r="AD286" i="1"/>
  <c r="AR286" i="1"/>
  <c r="AI287" i="1"/>
  <c r="AJ287" i="1" s="1" a="1"/>
  <c r="AJ287" i="1" s="1"/>
  <c r="AP286" i="1" l="1"/>
  <c r="AT286" i="1" s="1"/>
  <c r="AB286" i="1"/>
  <c r="AE286" i="1" s="1"/>
  <c r="AS286" i="1" l="1"/>
  <c r="AU286" i="1" s="1"/>
  <c r="AV286" i="1" s="1"/>
  <c r="AF286" i="1"/>
  <c r="AG286" i="1" l="1"/>
  <c r="AH286" i="1" s="1"/>
  <c r="F286" i="1" s="1"/>
  <c r="J287" i="1" l="1"/>
  <c r="K286" i="1"/>
  <c r="L286" i="1" s="1"/>
  <c r="I286" i="1"/>
  <c r="M286" i="1" l="1"/>
  <c r="H286" i="1" s="1"/>
  <c r="E287" i="1" s="1"/>
  <c r="S287" i="1" s="1"/>
  <c r="D287" i="1" l="1"/>
  <c r="C287" i="1"/>
  <c r="N287" i="1" s="1"/>
  <c r="R287" i="1"/>
  <c r="U288" i="1" l="1"/>
  <c r="V288" i="1" s="1" a="1"/>
  <c r="V288" i="1" s="1"/>
  <c r="O287" i="1"/>
  <c r="AQ287" i="1" s="1"/>
  <c r="AD287" i="1"/>
  <c r="AR287" i="1"/>
  <c r="AP287" i="1"/>
  <c r="P287" i="1"/>
  <c r="AB287" i="1"/>
  <c r="AC287" i="1" l="1"/>
  <c r="AE287" i="1" s="1"/>
  <c r="Q287" i="1"/>
  <c r="AI288" i="1"/>
  <c r="AJ288" i="1" s="1" a="1"/>
  <c r="AJ288" i="1" s="1"/>
  <c r="AS287" i="1"/>
  <c r="AT287" i="1"/>
  <c r="AF287" i="1" l="1"/>
  <c r="AG287" i="1" s="1"/>
  <c r="AH287" i="1" s="1"/>
  <c r="AU287" i="1"/>
  <c r="AV287" i="1" s="1"/>
  <c r="F287" i="1" l="1"/>
  <c r="K287" i="1" s="1"/>
  <c r="L287" i="1" s="1"/>
  <c r="I287" i="1" l="1"/>
  <c r="M287" i="1" s="1"/>
  <c r="H287" i="1" s="1"/>
  <c r="E288" i="1" s="1"/>
  <c r="C288" i="1" s="1"/>
  <c r="J288" i="1"/>
  <c r="R288" i="1" l="1"/>
  <c r="D288" i="1"/>
  <c r="U289" i="1" s="1"/>
  <c r="AI289" i="1" s="1"/>
  <c r="AJ289" i="1" s="1" a="1"/>
  <c r="AJ289" i="1" s="1"/>
  <c r="S288" i="1"/>
  <c r="N288" i="1" s="1"/>
  <c r="AP288" i="1" s="1"/>
  <c r="O288" i="1" l="1"/>
  <c r="Q288" i="1" s="1"/>
  <c r="AB288" i="1"/>
  <c r="P288" i="1"/>
  <c r="AR288" i="1"/>
  <c r="AD288" i="1"/>
  <c r="AC288" i="1" l="1"/>
  <c r="AE288" i="1" s="1"/>
  <c r="AQ288" i="1"/>
  <c r="AT288" i="1" s="1"/>
  <c r="V289" i="1" s="1" a="1"/>
  <c r="V289" i="1" s="1"/>
  <c r="AF288" i="1" l="1"/>
  <c r="AG288" i="1" s="1"/>
  <c r="AH288" i="1" s="1"/>
  <c r="AS288" i="1"/>
  <c r="AU288" i="1" s="1"/>
  <c r="AV288" i="1" s="1"/>
  <c r="F288" i="1" l="1"/>
  <c r="I288" i="1" s="1"/>
  <c r="K288" i="1" l="1"/>
  <c r="L288" i="1" s="1"/>
  <c r="M288" i="1" s="1"/>
  <c r="H288" i="1" s="1"/>
  <c r="E289" i="1" s="1"/>
  <c r="S289" i="1" s="1"/>
  <c r="J289" i="1"/>
  <c r="C289" i="1" l="1"/>
  <c r="N289" i="1" s="1"/>
  <c r="AP289" i="1" s="1"/>
  <c r="D289" i="1"/>
  <c r="R289" i="1"/>
  <c r="AR289" i="1" s="1"/>
  <c r="U290" i="1" l="1"/>
  <c r="AI290" i="1" s="1"/>
  <c r="AJ290" i="1" s="1" a="1"/>
  <c r="AJ290" i="1" s="1"/>
  <c r="O289" i="1"/>
  <c r="AC289" i="1" s="1"/>
  <c r="AD289" i="1"/>
  <c r="P289" i="1"/>
  <c r="AB289" i="1"/>
  <c r="V290" i="1" l="1" a="1"/>
  <c r="V290" i="1" s="1"/>
  <c r="AE289" i="1"/>
  <c r="Q289" i="1"/>
  <c r="AQ289" i="1"/>
  <c r="AS289" i="1" s="1"/>
  <c r="AF289" i="1"/>
  <c r="AT289" i="1" l="1"/>
  <c r="AU289" i="1" s="1"/>
  <c r="AV289" i="1" s="1"/>
  <c r="AG289" i="1"/>
  <c r="AH289" i="1" s="1"/>
  <c r="F289" i="1" l="1"/>
  <c r="K289" i="1" s="1"/>
  <c r="L289" i="1" s="1"/>
  <c r="J290" i="1" l="1"/>
  <c r="I289" i="1"/>
  <c r="M289" i="1" s="1"/>
  <c r="H289" i="1" s="1"/>
  <c r="E290" i="1" s="1"/>
  <c r="R290" i="1" l="1"/>
  <c r="D290" i="1"/>
  <c r="S290" i="1"/>
  <c r="C290" i="1"/>
  <c r="U291" i="1" l="1"/>
  <c r="V291" i="1" s="1" a="1"/>
  <c r="V291" i="1" s="1"/>
  <c r="AR290" i="1"/>
  <c r="O290" i="1"/>
  <c r="AQ290" i="1" s="1"/>
  <c r="AD290" i="1"/>
  <c r="N290" i="1"/>
  <c r="AP290" i="1" s="1"/>
  <c r="Q290" i="1" l="1"/>
  <c r="AI291" i="1"/>
  <c r="AJ291" i="1" s="1" a="1"/>
  <c r="AJ291" i="1" s="1"/>
  <c r="AC290" i="1"/>
  <c r="P290" i="1"/>
  <c r="AB290" i="1"/>
  <c r="AT290" i="1"/>
  <c r="AS290" i="1"/>
  <c r="AE290" i="1"/>
  <c r="AF290" i="1" l="1"/>
  <c r="AU290" i="1"/>
  <c r="AV290" i="1" s="1"/>
  <c r="AG290" i="1"/>
  <c r="AH290" i="1" s="1"/>
  <c r="F290" i="1" l="1"/>
  <c r="K290" i="1" s="1"/>
  <c r="I290" i="1" l="1"/>
  <c r="L290" i="1"/>
  <c r="J291" i="1"/>
  <c r="M290" i="1" l="1"/>
  <c r="H290" i="1" s="1"/>
  <c r="E291" i="1" s="1"/>
  <c r="S291" i="1" s="1"/>
  <c r="C291" i="1" l="1"/>
  <c r="N291" i="1" s="1"/>
  <c r="D291" i="1"/>
  <c r="R291" i="1"/>
  <c r="AR291" i="1" s="1"/>
  <c r="AD291" i="1" l="1"/>
  <c r="U292" i="1"/>
  <c r="AI292" i="1" s="1"/>
  <c r="AJ292" i="1" s="1" a="1"/>
  <c r="AJ292" i="1" s="1"/>
  <c r="O291" i="1"/>
  <c r="Q291" i="1" s="1"/>
  <c r="AB291" i="1"/>
  <c r="P291" i="1"/>
  <c r="AP291" i="1"/>
  <c r="V292" i="1" l="1" a="1"/>
  <c r="V292" i="1" s="1"/>
  <c r="AQ291" i="1"/>
  <c r="AT291" i="1" s="1"/>
  <c r="AC291" i="1"/>
  <c r="AF291" i="1" s="1"/>
  <c r="AS291" i="1" l="1"/>
  <c r="AE291" i="1"/>
  <c r="AG291" i="1" l="1"/>
  <c r="AH291" i="1" s="1"/>
  <c r="AU291" i="1"/>
  <c r="AV291" i="1" s="1"/>
  <c r="F291" i="1" l="1"/>
  <c r="K291" i="1" s="1"/>
  <c r="L291" i="1" s="1"/>
  <c r="J292" i="1" l="1"/>
  <c r="I291" i="1"/>
  <c r="M291" i="1" s="1"/>
  <c r="H291" i="1" s="1"/>
  <c r="E292" i="1" s="1"/>
  <c r="R292" i="1" s="1"/>
  <c r="D292" i="1" l="1"/>
  <c r="O292" i="1" s="1"/>
  <c r="Q292" i="1" s="1"/>
  <c r="C292" i="1"/>
  <c r="S292" i="1"/>
  <c r="AD292" i="1" s="1"/>
  <c r="U293" i="1" l="1"/>
  <c r="V293" i="1" s="1" a="1"/>
  <c r="V293" i="1" s="1"/>
  <c r="N292" i="1"/>
  <c r="AP292" i="1" s="1"/>
  <c r="AR292" i="1"/>
  <c r="AC292" i="1"/>
  <c r="AQ292" i="1"/>
  <c r="AI293" i="1" l="1"/>
  <c r="AJ293" i="1" s="1" a="1"/>
  <c r="AJ293" i="1" s="1"/>
  <c r="AB292" i="1"/>
  <c r="AF292" i="1" s="1"/>
  <c r="P292" i="1"/>
  <c r="AT292" i="1"/>
  <c r="AS292" i="1"/>
  <c r="AU292" i="1" l="1"/>
  <c r="AV292" i="1" s="1"/>
  <c r="AE292" i="1"/>
  <c r="AG292" i="1" l="1"/>
  <c r="AH292" i="1" s="1"/>
  <c r="F292" i="1" s="1"/>
  <c r="J293" i="1" l="1"/>
  <c r="K292" i="1"/>
  <c r="L292" i="1" s="1"/>
  <c r="I292" i="1"/>
  <c r="M292" i="1" l="1"/>
  <c r="H292" i="1" s="1"/>
  <c r="E293" i="1" s="1"/>
  <c r="S293" i="1" s="1"/>
  <c r="C293" i="1" l="1"/>
  <c r="N293" i="1" s="1"/>
  <c r="P293" i="1" s="1"/>
  <c r="D293" i="1"/>
  <c r="R293" i="1"/>
  <c r="AD293" i="1" s="1"/>
  <c r="AB293" i="1" l="1"/>
  <c r="AP293" i="1"/>
  <c r="U294" i="1"/>
  <c r="V294" i="1" s="1" a="1"/>
  <c r="V294" i="1" s="1"/>
  <c r="AR293" i="1"/>
  <c r="O293" i="1"/>
  <c r="AQ293" i="1" s="1"/>
  <c r="AT293" i="1" l="1"/>
  <c r="AI294" i="1"/>
  <c r="AJ294" i="1" s="1" a="1"/>
  <c r="AJ294" i="1" s="1"/>
  <c r="AS293" i="1"/>
  <c r="AC293" i="1"/>
  <c r="AE293" i="1" s="1"/>
  <c r="Q293" i="1"/>
  <c r="AU293" i="1" l="1"/>
  <c r="AV293" i="1" s="1"/>
  <c r="AF293" i="1"/>
  <c r="AG293" i="1" l="1"/>
  <c r="AH293" i="1" s="1"/>
  <c r="F293" i="1" s="1"/>
  <c r="K293" i="1" l="1"/>
  <c r="L293" i="1" s="1"/>
  <c r="I293" i="1"/>
  <c r="J294" i="1"/>
  <c r="M293" i="1" l="1"/>
  <c r="H293" i="1" s="1"/>
  <c r="E294" i="1" s="1"/>
  <c r="R294" i="1" s="1"/>
  <c r="S294" i="1" l="1"/>
  <c r="AD294" i="1" s="1"/>
  <c r="D294" i="1"/>
  <c r="O294" i="1" s="1"/>
  <c r="AC294" i="1" s="1"/>
  <c r="C294" i="1"/>
  <c r="N294" i="1" l="1"/>
  <c r="AP294" i="1" s="1"/>
  <c r="AR294" i="1"/>
  <c r="U295" i="1"/>
  <c r="AI295" i="1" s="1"/>
  <c r="AJ295" i="1" s="1" a="1"/>
  <c r="AJ295" i="1" s="1"/>
  <c r="AQ294" i="1"/>
  <c r="Q294" i="1"/>
  <c r="P294" i="1" l="1"/>
  <c r="AB294" i="1"/>
  <c r="AF294" i="1" s="1"/>
  <c r="AT294" i="1"/>
  <c r="V295" i="1" a="1"/>
  <c r="V295" i="1" s="1"/>
  <c r="AS294" i="1"/>
  <c r="AU294" i="1" l="1"/>
  <c r="AV294" i="1" s="1"/>
  <c r="AE294" i="1"/>
  <c r="AG294" i="1" l="1"/>
  <c r="AH294" i="1" s="1"/>
  <c r="F294" i="1" s="1"/>
  <c r="K294" i="1" s="1"/>
  <c r="L294" i="1" s="1"/>
  <c r="I294" i="1" l="1"/>
  <c r="M294" i="1" s="1"/>
  <c r="H294" i="1" s="1"/>
  <c r="E295" i="1" s="1"/>
  <c r="R295" i="1" s="1"/>
  <c r="J295" i="1"/>
  <c r="C295" i="1" l="1"/>
  <c r="D295" i="1"/>
  <c r="S295" i="1"/>
  <c r="AR295" i="1" s="1"/>
  <c r="U296" i="1" l="1"/>
  <c r="AI296" i="1" s="1"/>
  <c r="AJ296" i="1" s="1" a="1"/>
  <c r="AJ296" i="1" s="1"/>
  <c r="AD295" i="1"/>
  <c r="N295" i="1"/>
  <c r="P295" i="1" s="1"/>
  <c r="O295" i="1"/>
  <c r="AQ295" i="1" s="1"/>
  <c r="V296" i="1" l="1" a="1"/>
  <c r="V296" i="1" s="1"/>
  <c r="AP295" i="1"/>
  <c r="AT295" i="1" s="1"/>
  <c r="AB295" i="1"/>
  <c r="Q295" i="1"/>
  <c r="AC295" i="1"/>
  <c r="AS295" i="1" l="1"/>
  <c r="AE295" i="1"/>
  <c r="AF295" i="1"/>
  <c r="AG295" i="1" l="1"/>
  <c r="AH295" i="1" s="1"/>
  <c r="AU295" i="1"/>
  <c r="AV295" i="1" s="1"/>
  <c r="F295" i="1" l="1"/>
  <c r="K295" i="1" s="1"/>
  <c r="L295" i="1" s="1"/>
  <c r="J296" i="1" l="1"/>
  <c r="I295" i="1"/>
  <c r="M295" i="1" s="1"/>
  <c r="H295" i="1" s="1"/>
  <c r="E296" i="1" s="1"/>
  <c r="S296" i="1" s="1"/>
  <c r="C296" i="1" l="1"/>
  <c r="N296" i="1" s="1"/>
  <c r="R296" i="1"/>
  <c r="AD296" i="1" s="1"/>
  <c r="D296" i="1"/>
  <c r="AR296" i="1" l="1"/>
  <c r="P296" i="1"/>
  <c r="AP296" i="1"/>
  <c r="AB296" i="1"/>
  <c r="U297" i="1"/>
  <c r="V297" i="1" s="1" a="1"/>
  <c r="V297" i="1" s="1"/>
  <c r="O296" i="1"/>
  <c r="Q296" i="1" s="1"/>
  <c r="AQ296" i="1" l="1"/>
  <c r="AS296" i="1" s="1"/>
  <c r="AC296" i="1"/>
  <c r="AE296" i="1" s="1"/>
  <c r="AI297" i="1"/>
  <c r="AJ297" i="1" s="1" a="1"/>
  <c r="AJ297" i="1" s="1"/>
  <c r="AT296" i="1" l="1"/>
  <c r="AU296" i="1" s="1"/>
  <c r="AV296" i="1" s="1"/>
  <c r="AF296" i="1"/>
  <c r="AG296" i="1" s="1"/>
  <c r="AH296" i="1" s="1"/>
  <c r="F296" i="1" l="1"/>
  <c r="K296" i="1" s="1"/>
  <c r="L296" i="1" s="1"/>
  <c r="J297" i="1" l="1"/>
  <c r="I296" i="1"/>
  <c r="M296" i="1" s="1"/>
  <c r="H296" i="1" s="1"/>
  <c r="E297" i="1" s="1"/>
  <c r="R297" i="1" s="1"/>
  <c r="S297" i="1" l="1"/>
  <c r="AR297" i="1" s="1"/>
  <c r="D297" i="1"/>
  <c r="O297" i="1" s="1"/>
  <c r="AQ297" i="1" s="1"/>
  <c r="C297" i="1"/>
  <c r="AD297" i="1" l="1"/>
  <c r="N297" i="1"/>
  <c r="P297" i="1" s="1"/>
  <c r="Q297" i="1"/>
  <c r="AC297" i="1"/>
  <c r="U298" i="1"/>
  <c r="V298" i="1" s="1" a="1"/>
  <c r="V298" i="1" s="1"/>
  <c r="AB297" i="1" l="1"/>
  <c r="AP297" i="1"/>
  <c r="AT297" i="1" s="1"/>
  <c r="AE297" i="1"/>
  <c r="AI298" i="1"/>
  <c r="AJ298" i="1" s="1" a="1"/>
  <c r="AJ298" i="1" s="1"/>
  <c r="AS297" i="1"/>
  <c r="AF297" i="1"/>
  <c r="AG297" i="1" l="1"/>
  <c r="AH297" i="1" s="1"/>
  <c r="AU297" i="1"/>
  <c r="AV297" i="1" s="1"/>
  <c r="F297" i="1" l="1"/>
  <c r="I297" i="1" s="1"/>
  <c r="K297" i="1" l="1"/>
  <c r="L297" i="1" s="1"/>
  <c r="M297" i="1" s="1"/>
  <c r="H297" i="1" s="1"/>
  <c r="E298" i="1" s="1"/>
  <c r="C298" i="1" s="1"/>
  <c r="J298" i="1"/>
  <c r="D298" i="1" l="1"/>
  <c r="U299" i="1" s="1"/>
  <c r="AI299" i="1" s="1"/>
  <c r="AJ299" i="1" s="1" a="1"/>
  <c r="AJ299" i="1" s="1"/>
  <c r="S298" i="1"/>
  <c r="N298" i="1" s="1"/>
  <c r="AP298" i="1" s="1"/>
  <c r="R298" i="1"/>
  <c r="P298" i="1" l="1"/>
  <c r="AR298" i="1"/>
  <c r="AB298" i="1"/>
  <c r="V299" i="1" a="1"/>
  <c r="V299" i="1" s="1"/>
  <c r="AD298" i="1"/>
  <c r="O298" i="1"/>
  <c r="AQ298" i="1" s="1"/>
  <c r="AT298" i="1" s="1"/>
  <c r="Q298" i="1" l="1"/>
  <c r="AS298" i="1"/>
  <c r="AC298" i="1"/>
  <c r="AE298" i="1" s="1"/>
  <c r="AU298" i="1"/>
  <c r="AV298" i="1" s="1"/>
  <c r="AF298" i="1"/>
  <c r="AG298" i="1" l="1"/>
  <c r="AH298" i="1" s="1"/>
  <c r="F298" i="1" s="1"/>
  <c r="I298" i="1" s="1"/>
  <c r="J299" i="1" l="1"/>
  <c r="K298" i="1"/>
  <c r="L298" i="1" s="1"/>
  <c r="M298" i="1" s="1"/>
  <c r="H298" i="1" s="1"/>
  <c r="E299" i="1" s="1"/>
  <c r="S299" i="1" s="1"/>
  <c r="C299" i="1" l="1"/>
  <c r="N299" i="1" s="1"/>
  <c r="AB299" i="1" s="1"/>
  <c r="D299" i="1"/>
  <c r="R299" i="1"/>
  <c r="AD299" i="1" s="1"/>
  <c r="U300" i="1" l="1"/>
  <c r="AI300" i="1" s="1"/>
  <c r="AJ300" i="1" s="1" a="1"/>
  <c r="AJ300" i="1" s="1"/>
  <c r="P299" i="1"/>
  <c r="AP299" i="1"/>
  <c r="O299" i="1"/>
  <c r="AC299" i="1" s="1"/>
  <c r="AE299" i="1" s="1"/>
  <c r="AR299" i="1"/>
  <c r="V300" i="1" l="1" a="1"/>
  <c r="V300" i="1" s="1"/>
  <c r="Q299" i="1"/>
  <c r="AF299" i="1"/>
  <c r="AQ299" i="1"/>
  <c r="AT299" i="1" s="1"/>
  <c r="AG299" i="1" l="1"/>
  <c r="AH299" i="1" s="1"/>
  <c r="AS299" i="1"/>
  <c r="AU299" i="1" l="1"/>
  <c r="AV299" i="1" s="1"/>
  <c r="F299" i="1" s="1"/>
  <c r="K299" i="1" l="1"/>
  <c r="L299" i="1" s="1"/>
  <c r="J300" i="1"/>
  <c r="I299" i="1"/>
  <c r="M299" i="1" l="1"/>
  <c r="H299" i="1" s="1"/>
  <c r="E300" i="1" s="1"/>
  <c r="D300" i="1" s="1"/>
  <c r="C300" i="1" l="1"/>
  <c r="U301" i="1" s="1"/>
  <c r="V301" i="1" s="1" a="1"/>
  <c r="V301" i="1" s="1"/>
  <c r="R300" i="1"/>
  <c r="O300" i="1" s="1"/>
  <c r="AC300" i="1" s="1"/>
  <c r="S300" i="1"/>
  <c r="N300" i="1" l="1"/>
  <c r="AP300" i="1" s="1"/>
  <c r="AI301" i="1"/>
  <c r="AJ301" i="1" s="1" a="1"/>
  <c r="AJ301" i="1" s="1"/>
  <c r="AQ300" i="1"/>
  <c r="Q300" i="1"/>
  <c r="AD300" i="1"/>
  <c r="AR300" i="1"/>
  <c r="P300" i="1" l="1"/>
  <c r="AB300" i="1"/>
  <c r="AF300" i="1" s="1"/>
  <c r="AT300" i="1"/>
  <c r="AS300" i="1"/>
  <c r="AE300" i="1" l="1"/>
  <c r="AG300" i="1" s="1"/>
  <c r="AH300" i="1" s="1"/>
  <c r="AU300" i="1"/>
  <c r="AV300" i="1" s="1"/>
  <c r="F300" i="1" l="1"/>
  <c r="K300" i="1" s="1"/>
  <c r="L300" i="1" s="1"/>
  <c r="I300" i="1" l="1"/>
  <c r="M300" i="1" s="1"/>
  <c r="H300" i="1" s="1"/>
  <c r="E301" i="1" s="1"/>
  <c r="J301" i="1"/>
  <c r="S301" i="1" l="1"/>
  <c r="C301" i="1"/>
  <c r="R301" i="1"/>
  <c r="D301" i="1"/>
  <c r="AD301" i="1" l="1"/>
  <c r="N301" i="1"/>
  <c r="AP301" i="1" s="1"/>
  <c r="AR301" i="1"/>
  <c r="U302" i="1"/>
  <c r="AI302" i="1" s="1"/>
  <c r="AJ302" i="1" s="1" a="1"/>
  <c r="AJ302" i="1" s="1"/>
  <c r="O301" i="1"/>
  <c r="Q301" i="1" s="1"/>
  <c r="AB301" i="1" l="1"/>
  <c r="P301" i="1"/>
  <c r="V302" i="1" a="1"/>
  <c r="V302" i="1" s="1"/>
  <c r="AQ301" i="1"/>
  <c r="AS301" i="1" s="1"/>
  <c r="AC301" i="1"/>
  <c r="AF301" i="1" s="1"/>
  <c r="AT301" i="1" l="1"/>
  <c r="AU301" i="1" s="1"/>
  <c r="AV301" i="1" s="1"/>
  <c r="AE301" i="1"/>
  <c r="AG301" i="1" s="1"/>
  <c r="AH301" i="1" s="1"/>
  <c r="F301" i="1" l="1"/>
  <c r="J302" i="1" s="1"/>
  <c r="I301" i="1"/>
  <c r="K301" i="1" l="1"/>
  <c r="L301" i="1" s="1"/>
  <c r="M301" i="1" s="1"/>
  <c r="H301" i="1" s="1"/>
  <c r="E302" i="1" s="1"/>
  <c r="S302" i="1" s="1"/>
  <c r="C302" i="1" l="1"/>
  <c r="N302" i="1" s="1"/>
  <c r="AB302" i="1" s="1"/>
  <c r="D302" i="1"/>
  <c r="R302" i="1"/>
  <c r="AR302" i="1" s="1"/>
  <c r="P302" i="1" l="1"/>
  <c r="U303" i="1"/>
  <c r="V303" i="1" s="1" a="1"/>
  <c r="V303" i="1" s="1"/>
  <c r="AP302" i="1"/>
  <c r="O302" i="1"/>
  <c r="Q302" i="1" s="1"/>
  <c r="AD302" i="1"/>
  <c r="AC302" i="1" l="1"/>
  <c r="AF302" i="1" s="1"/>
  <c r="AQ302" i="1"/>
  <c r="AS302" i="1" s="1"/>
  <c r="AI303" i="1"/>
  <c r="AJ303" i="1" s="1" a="1"/>
  <c r="AJ303" i="1" s="1"/>
  <c r="AT302" i="1"/>
  <c r="AE302" i="1" l="1"/>
  <c r="AG302" i="1" s="1"/>
  <c r="AH302" i="1" s="1"/>
  <c r="AU302" i="1"/>
  <c r="AV302" i="1" s="1"/>
  <c r="F302" i="1" l="1"/>
  <c r="K302" i="1" s="1"/>
  <c r="L302" i="1" s="1"/>
  <c r="J303" i="1" l="1"/>
  <c r="I302" i="1"/>
  <c r="M302" i="1" s="1"/>
  <c r="H302" i="1" s="1"/>
  <c r="E303" i="1" s="1"/>
  <c r="C303" i="1" l="1"/>
  <c r="D303" i="1"/>
  <c r="S303" i="1"/>
  <c r="R303" i="1"/>
  <c r="N303" i="1" l="1"/>
  <c r="P303" i="1" s="1"/>
  <c r="U304" i="1"/>
  <c r="AI304" i="1" s="1"/>
  <c r="AJ304" i="1" s="1" a="1"/>
  <c r="AJ304" i="1" s="1"/>
  <c r="O303" i="1"/>
  <c r="AC303" i="1" s="1"/>
  <c r="AD303" i="1"/>
  <c r="AR303" i="1"/>
  <c r="AP303" i="1" l="1"/>
  <c r="AB303" i="1"/>
  <c r="V304" i="1" a="1"/>
  <c r="V304" i="1" s="1"/>
  <c r="AQ303" i="1"/>
  <c r="Q303" i="1"/>
  <c r="AF303" i="1"/>
  <c r="AE303" i="1"/>
  <c r="AT303" i="1" l="1"/>
  <c r="AG303" i="1"/>
  <c r="AH303" i="1" s="1"/>
  <c r="AS303" i="1"/>
  <c r="AU303" i="1" l="1"/>
  <c r="AV303" i="1" s="1"/>
  <c r="F303" i="1" s="1"/>
  <c r="K303" i="1" s="1"/>
  <c r="L303" i="1" s="1"/>
  <c r="I303" i="1" l="1"/>
  <c r="M303" i="1" s="1"/>
  <c r="H303" i="1" s="1"/>
  <c r="E304" i="1" s="1"/>
  <c r="R304" i="1" s="1"/>
  <c r="J304" i="1"/>
  <c r="S304" i="1" l="1"/>
  <c r="AR304" i="1" s="1"/>
  <c r="D304" i="1"/>
  <c r="O304" i="1" s="1"/>
  <c r="AQ304" i="1" s="1"/>
  <c r="C304" i="1"/>
  <c r="AD304" i="1" l="1"/>
  <c r="N304" i="1"/>
  <c r="AP304" i="1" s="1"/>
  <c r="AT304" i="1" s="1"/>
  <c r="Q304" i="1"/>
  <c r="AC304" i="1"/>
  <c r="U305" i="1"/>
  <c r="V305" i="1" s="1" a="1"/>
  <c r="V305" i="1" s="1"/>
  <c r="AB304" i="1" l="1"/>
  <c r="AE304" i="1" s="1"/>
  <c r="AS304" i="1"/>
  <c r="AU304" i="1" s="1"/>
  <c r="AV304" i="1" s="1"/>
  <c r="AI305" i="1"/>
  <c r="AJ305" i="1" s="1" a="1"/>
  <c r="AJ305" i="1" s="1"/>
  <c r="P304" i="1"/>
  <c r="AF304" i="1" l="1"/>
  <c r="AG304" i="1" s="1"/>
  <c r="AH304" i="1" s="1"/>
  <c r="F304" i="1" s="1"/>
  <c r="K304" i="1" l="1"/>
  <c r="L304" i="1" s="1"/>
  <c r="J305" i="1"/>
  <c r="I304" i="1"/>
  <c r="M304" i="1" l="1"/>
  <c r="H304" i="1" s="1"/>
  <c r="E305" i="1" s="1"/>
  <c r="S305" i="1" s="1"/>
  <c r="R305" i="1" l="1"/>
  <c r="AD305" i="1" s="1"/>
  <c r="D305" i="1"/>
  <c r="C305" i="1"/>
  <c r="N305" i="1" s="1"/>
  <c r="AB305" i="1" s="1"/>
  <c r="O305" i="1" l="1"/>
  <c r="Q305" i="1" s="1"/>
  <c r="AR305" i="1"/>
  <c r="AP305" i="1"/>
  <c r="P305" i="1"/>
  <c r="U306" i="1"/>
  <c r="AI306" i="1" s="1"/>
  <c r="AJ306" i="1" s="1" a="1"/>
  <c r="AJ306" i="1" s="1"/>
  <c r="V306" i="1" l="1" a="1"/>
  <c r="V306" i="1" s="1"/>
  <c r="AQ305" i="1"/>
  <c r="AT305" i="1" s="1"/>
  <c r="AC305" i="1"/>
  <c r="AF305" i="1" s="1"/>
  <c r="AS305" i="1" l="1"/>
  <c r="AU305" i="1" s="1"/>
  <c r="AV305" i="1" s="1"/>
  <c r="AE305" i="1"/>
  <c r="AG305" i="1" s="1"/>
  <c r="AH305" i="1" s="1"/>
  <c r="F305" i="1" l="1"/>
  <c r="J306" i="1" s="1"/>
  <c r="I305" i="1" l="1"/>
  <c r="K305" i="1"/>
  <c r="L305" i="1" s="1"/>
  <c r="M305" i="1" l="1"/>
  <c r="H305" i="1" s="1"/>
  <c r="E306" i="1" s="1"/>
  <c r="S306" i="1" s="1"/>
  <c r="R306" i="1" l="1"/>
  <c r="AD306" i="1" s="1"/>
  <c r="D306" i="1"/>
  <c r="C306" i="1"/>
  <c r="N306" i="1" s="1"/>
  <c r="AB306" i="1" s="1"/>
  <c r="O306" i="1" l="1"/>
  <c r="Q306" i="1" s="1"/>
  <c r="AR306" i="1"/>
  <c r="AP306" i="1"/>
  <c r="P306" i="1"/>
  <c r="U307" i="1"/>
  <c r="AI307" i="1" s="1"/>
  <c r="AJ307" i="1" s="1" a="1"/>
  <c r="AJ307" i="1" s="1"/>
  <c r="AQ306" i="1" l="1"/>
  <c r="AT306" i="1" s="1"/>
  <c r="AC306" i="1"/>
  <c r="AF306" i="1" s="1"/>
  <c r="V307" i="1" a="1"/>
  <c r="V307" i="1" s="1"/>
  <c r="AS306" i="1"/>
  <c r="AE306" i="1" l="1"/>
  <c r="AG306" i="1" s="1"/>
  <c r="AH306" i="1" s="1"/>
  <c r="AU306" i="1"/>
  <c r="AV306" i="1" s="1"/>
  <c r="F306" i="1" l="1"/>
  <c r="I306" i="1" s="1"/>
  <c r="K306" i="1" l="1"/>
  <c r="L306" i="1" s="1"/>
  <c r="M306" i="1" s="1"/>
  <c r="H306" i="1" s="1"/>
  <c r="E307" i="1" s="1"/>
  <c r="S307" i="1" s="1"/>
  <c r="J307" i="1"/>
  <c r="D307" i="1" l="1"/>
  <c r="C307" i="1"/>
  <c r="N307" i="1" s="1"/>
  <c r="AP307" i="1" s="1"/>
  <c r="R307" i="1"/>
  <c r="AR307" i="1" s="1"/>
  <c r="U308" i="1" l="1"/>
  <c r="V308" i="1" s="1" a="1"/>
  <c r="V308" i="1" s="1"/>
  <c r="O307" i="1"/>
  <c r="Q307" i="1" s="1"/>
  <c r="AB307" i="1"/>
  <c r="P307" i="1"/>
  <c r="AD307" i="1"/>
  <c r="AI308" i="1" l="1"/>
  <c r="AJ308" i="1" s="1" a="1"/>
  <c r="AJ308" i="1" s="1"/>
  <c r="AQ307" i="1"/>
  <c r="AT307" i="1" s="1"/>
  <c r="AC307" i="1"/>
  <c r="AE307" i="1" s="1"/>
  <c r="AF307" i="1" l="1"/>
  <c r="AS307" i="1"/>
  <c r="AG307" i="1" l="1"/>
  <c r="AH307" i="1" s="1"/>
  <c r="AU307" i="1"/>
  <c r="AV307" i="1" s="1"/>
  <c r="F307" i="1" l="1"/>
  <c r="K307" i="1" s="1"/>
  <c r="L307" i="1" s="1"/>
  <c r="I307" i="1" l="1"/>
  <c r="M307" i="1" s="1"/>
  <c r="H307" i="1" s="1"/>
  <c r="E308" i="1" s="1"/>
  <c r="J308" i="1"/>
  <c r="S308" i="1" l="1"/>
  <c r="R308" i="1"/>
  <c r="D308" i="1"/>
  <c r="C308" i="1"/>
  <c r="N308" i="1" l="1"/>
  <c r="AB308" i="1" s="1"/>
  <c r="AD308" i="1"/>
  <c r="O308" i="1"/>
  <c r="Q308" i="1" s="1"/>
  <c r="AR308" i="1"/>
  <c r="U309" i="1"/>
  <c r="AI309" i="1" s="1"/>
  <c r="AJ309" i="1" s="1" a="1"/>
  <c r="AJ309" i="1" s="1"/>
  <c r="AP308" i="1" l="1"/>
  <c r="P308" i="1"/>
  <c r="AC308" i="1"/>
  <c r="AF308" i="1" s="1"/>
  <c r="V309" i="1" a="1"/>
  <c r="V309" i="1" s="1"/>
  <c r="AQ308" i="1"/>
  <c r="AE308" i="1"/>
  <c r="AT308" i="1" l="1"/>
  <c r="AS308" i="1"/>
  <c r="AG308" i="1"/>
  <c r="AH308" i="1" s="1"/>
  <c r="AU308" i="1" l="1"/>
  <c r="AV308" i="1" s="1"/>
  <c r="F308" i="1" s="1"/>
  <c r="J309" i="1" s="1"/>
  <c r="K308" i="1" l="1"/>
  <c r="L308" i="1" s="1"/>
  <c r="I308" i="1"/>
  <c r="M308" i="1" l="1"/>
  <c r="H308" i="1" s="1"/>
  <c r="E309" i="1" s="1"/>
  <c r="S309" i="1" s="1"/>
  <c r="D309" i="1" l="1"/>
  <c r="C309" i="1"/>
  <c r="N309" i="1" s="1"/>
  <c r="AB309" i="1" s="1"/>
  <c r="R309" i="1"/>
  <c r="AR309" i="1" s="1"/>
  <c r="U310" i="1" l="1"/>
  <c r="AI310" i="1" s="1"/>
  <c r="AJ310" i="1" s="1" a="1"/>
  <c r="AJ310" i="1" s="1"/>
  <c r="AP309" i="1"/>
  <c r="P309" i="1"/>
  <c r="O309" i="1"/>
  <c r="Q309" i="1" s="1"/>
  <c r="AD309" i="1"/>
  <c r="V310" i="1" l="1" a="1"/>
  <c r="V310" i="1" s="1"/>
  <c r="AQ309" i="1"/>
  <c r="AS309" i="1" s="1"/>
  <c r="AC309" i="1"/>
  <c r="AF309" i="1" s="1"/>
  <c r="AE309" i="1" l="1"/>
  <c r="AG309" i="1" s="1"/>
  <c r="AH309" i="1" s="1"/>
  <c r="AT309" i="1"/>
  <c r="AU309" i="1" s="1"/>
  <c r="AV309" i="1" s="1"/>
  <c r="F309" i="1" l="1"/>
  <c r="J310" i="1" s="1"/>
  <c r="K309" i="1" l="1"/>
  <c r="L309" i="1" s="1"/>
  <c r="I309" i="1"/>
  <c r="M309" i="1" l="1"/>
  <c r="H309" i="1" s="1"/>
  <c r="E310" i="1" s="1"/>
  <c r="C310" i="1" s="1"/>
  <c r="R310" i="1" l="1"/>
  <c r="D310" i="1"/>
  <c r="U311" i="1" s="1"/>
  <c r="AI311" i="1" s="1"/>
  <c r="AJ311" i="1" s="1" a="1"/>
  <c r="AJ311" i="1" s="1"/>
  <c r="S310" i="1"/>
  <c r="N310" i="1" s="1"/>
  <c r="AP310" i="1" s="1"/>
  <c r="O310" i="1" l="1"/>
  <c r="AC310" i="1" s="1"/>
  <c r="P310" i="1"/>
  <c r="AR310" i="1"/>
  <c r="AB310" i="1"/>
  <c r="AD310" i="1"/>
  <c r="Q310" i="1" l="1"/>
  <c r="AQ310" i="1"/>
  <c r="AS310" i="1" s="1"/>
  <c r="AF310" i="1"/>
  <c r="V311" i="1" s="1" a="1"/>
  <c r="V311" i="1" s="1"/>
  <c r="AE310" i="1"/>
  <c r="AT310" i="1"/>
  <c r="AG310" i="1" l="1"/>
  <c r="AH310" i="1" s="1"/>
  <c r="AU310" i="1"/>
  <c r="AV310" i="1" s="1"/>
  <c r="F310" i="1" l="1"/>
  <c r="K310" i="1" s="1"/>
  <c r="L310" i="1" s="1"/>
  <c r="I310" i="1" l="1"/>
  <c r="M310" i="1" s="1"/>
  <c r="H310" i="1" s="1"/>
  <c r="E311" i="1" s="1"/>
  <c r="J311" i="1"/>
  <c r="R311" i="1" l="1"/>
  <c r="D311" i="1"/>
  <c r="S311" i="1"/>
  <c r="C311" i="1"/>
  <c r="U312" i="1" l="1"/>
  <c r="AI312" i="1" s="1"/>
  <c r="AJ312" i="1" s="1" a="1"/>
  <c r="AJ312" i="1" s="1"/>
  <c r="AR311" i="1"/>
  <c r="AD311" i="1"/>
  <c r="O311" i="1"/>
  <c r="Q311" i="1" s="1"/>
  <c r="N311" i="1"/>
  <c r="P311" i="1" s="1"/>
  <c r="V312" i="1" l="1" a="1"/>
  <c r="V312" i="1" s="1"/>
  <c r="AP311" i="1"/>
  <c r="AB311" i="1"/>
  <c r="AQ311" i="1"/>
  <c r="AC311" i="1"/>
  <c r="AF311" i="1" l="1"/>
  <c r="AE311" i="1"/>
  <c r="AS311" i="1"/>
  <c r="AT311" i="1"/>
  <c r="AU311" i="1" l="1"/>
  <c r="AV311" i="1" s="1"/>
  <c r="AG311" i="1"/>
  <c r="AH311" i="1" s="1"/>
  <c r="F311" i="1" l="1"/>
  <c r="K311" i="1" s="1"/>
  <c r="L311" i="1" s="1"/>
  <c r="J312" i="1" l="1"/>
  <c r="I311" i="1"/>
  <c r="M311" i="1" s="1"/>
  <c r="H311" i="1" s="1"/>
  <c r="E312" i="1" s="1"/>
  <c r="R312" i="1" s="1"/>
  <c r="D312" i="1" l="1"/>
  <c r="O312" i="1" s="1"/>
  <c r="AC312" i="1" s="1"/>
  <c r="S312" i="1"/>
  <c r="AR312" i="1" s="1"/>
  <c r="C312" i="1"/>
  <c r="U313" i="1" l="1"/>
  <c r="V313" i="1" s="1" a="1"/>
  <c r="V313" i="1" s="1"/>
  <c r="Q312" i="1"/>
  <c r="AQ312" i="1"/>
  <c r="AD312" i="1"/>
  <c r="N312" i="1"/>
  <c r="P312" i="1" s="1"/>
  <c r="AI313" i="1" l="1"/>
  <c r="AJ313" i="1" s="1" a="1"/>
  <c r="AJ313" i="1" s="1"/>
  <c r="AP312" i="1"/>
  <c r="AT312" i="1" s="1"/>
  <c r="AB312" i="1"/>
  <c r="AE312" i="1" s="1"/>
  <c r="AS312" i="1" l="1"/>
  <c r="AU312" i="1"/>
  <c r="AV312" i="1" s="1"/>
  <c r="AF312" i="1"/>
  <c r="AG312" i="1" s="1"/>
  <c r="AH312" i="1" s="1"/>
  <c r="F312" i="1" l="1"/>
  <c r="I312" i="1" s="1"/>
  <c r="K312" i="1" l="1"/>
  <c r="L312" i="1" s="1"/>
  <c r="M312" i="1" s="1"/>
  <c r="H312" i="1" s="1"/>
  <c r="E313" i="1" s="1"/>
  <c r="R313" i="1" s="1"/>
  <c r="J313" i="1"/>
  <c r="S313" i="1" l="1"/>
  <c r="C313" i="1"/>
  <c r="D313" i="1"/>
  <c r="O313" i="1" s="1"/>
  <c r="AR313" i="1"/>
  <c r="AD313" i="1"/>
  <c r="N313" i="1" l="1"/>
  <c r="P313" i="1" s="1"/>
  <c r="U314" i="1"/>
  <c r="AI314" i="1" s="1"/>
  <c r="AJ314" i="1" s="1" a="1"/>
  <c r="AJ314" i="1" s="1"/>
  <c r="AQ313" i="1"/>
  <c r="AC313" i="1"/>
  <c r="Q313" i="1"/>
  <c r="V314" i="1" a="1"/>
  <c r="V314" i="1" s="1"/>
  <c r="AB313" i="1"/>
  <c r="AF313" i="1" s="1"/>
  <c r="AP313" i="1"/>
  <c r="AT313" i="1" s="1"/>
  <c r="AS313" i="1" l="1"/>
  <c r="AU313" i="1" s="1"/>
  <c r="AV313" i="1" s="1"/>
  <c r="AE313" i="1"/>
  <c r="AG313" i="1" s="1"/>
  <c r="AH313" i="1" s="1"/>
  <c r="F313" i="1" l="1"/>
  <c r="I313" i="1" s="1"/>
  <c r="K313" i="1" l="1"/>
  <c r="L313" i="1" s="1"/>
  <c r="M313" i="1" s="1"/>
  <c r="H313" i="1" s="1"/>
  <c r="E314" i="1" s="1"/>
  <c r="S314" i="1" s="1"/>
  <c r="J314" i="1"/>
  <c r="R314" i="1" l="1"/>
  <c r="AD314" i="1" s="1"/>
  <c r="C314" i="1"/>
  <c r="N314" i="1" s="1"/>
  <c r="P314" i="1" s="1"/>
  <c r="D314" i="1"/>
  <c r="AP314" i="1" l="1"/>
  <c r="AB314" i="1"/>
  <c r="U315" i="1"/>
  <c r="AI315" i="1" s="1"/>
  <c r="AJ315" i="1" s="1" a="1"/>
  <c r="AJ315" i="1" s="1"/>
  <c r="AR314" i="1"/>
  <c r="O314" i="1"/>
  <c r="AC314" i="1" s="1"/>
  <c r="AF314" i="1" s="1"/>
  <c r="AE314" i="1" l="1"/>
  <c r="AG314" i="1" s="1"/>
  <c r="AH314" i="1" s="1"/>
  <c r="Q314" i="1"/>
  <c r="V315" i="1" a="1"/>
  <c r="V315" i="1" s="1"/>
  <c r="AQ314" i="1"/>
  <c r="AS314" i="1" s="1"/>
  <c r="AT314" i="1" l="1"/>
  <c r="AU314" i="1" s="1"/>
  <c r="AV314" i="1" s="1"/>
  <c r="F314" i="1" s="1"/>
  <c r="K314" i="1" s="1"/>
  <c r="L314" i="1" s="1"/>
  <c r="I314" i="1" l="1"/>
  <c r="M314" i="1" s="1"/>
  <c r="H314" i="1" s="1"/>
  <c r="E315" i="1" s="1"/>
  <c r="S315" i="1" s="1"/>
  <c r="J315" i="1"/>
  <c r="D315" i="1" l="1"/>
  <c r="C315" i="1"/>
  <c r="N315" i="1" s="1"/>
  <c r="AB315" i="1" s="1"/>
  <c r="R315" i="1"/>
  <c r="AR315" i="1" s="1"/>
  <c r="AD315" i="1" l="1"/>
  <c r="AP315" i="1"/>
  <c r="U316" i="1"/>
  <c r="AI316" i="1" s="1"/>
  <c r="AJ316" i="1" s="1" a="1"/>
  <c r="AJ316" i="1" s="1"/>
  <c r="P315" i="1"/>
  <c r="O315" i="1"/>
  <c r="AC315" i="1" s="1"/>
  <c r="AF315" i="1" l="1"/>
  <c r="V316" i="1" a="1"/>
  <c r="V316" i="1" s="1"/>
  <c r="Q315" i="1"/>
  <c r="AQ315" i="1"/>
  <c r="AT315" i="1" s="1"/>
  <c r="AE315" i="1"/>
  <c r="AG315" i="1" l="1"/>
  <c r="AH315" i="1" s="1"/>
  <c r="AS315" i="1"/>
  <c r="AU315" i="1" l="1"/>
  <c r="AV315" i="1" s="1"/>
  <c r="F315" i="1" s="1"/>
  <c r="K315" i="1" s="1"/>
  <c r="L315" i="1" s="1"/>
  <c r="I315" i="1" l="1"/>
  <c r="M315" i="1" s="1"/>
  <c r="H315" i="1" s="1"/>
  <c r="E316" i="1" s="1"/>
  <c r="D316" i="1" s="1"/>
  <c r="J316" i="1"/>
  <c r="C316" i="1" l="1"/>
  <c r="U317" i="1" s="1"/>
  <c r="AI317" i="1" s="1"/>
  <c r="AJ317" i="1" s="1" a="1"/>
  <c r="AJ317" i="1" s="1"/>
  <c r="S316" i="1"/>
  <c r="R316" i="1"/>
  <c r="O316" i="1" s="1"/>
  <c r="AC316" i="1" s="1"/>
  <c r="N316" i="1" l="1"/>
  <c r="AB316" i="1" s="1"/>
  <c r="V317" i="1" a="1"/>
  <c r="V317" i="1" s="1"/>
  <c r="AD316" i="1"/>
  <c r="AQ316" i="1"/>
  <c r="AR316" i="1"/>
  <c r="Q316" i="1"/>
  <c r="AF316" i="1" l="1"/>
  <c r="P316" i="1"/>
  <c r="AE316" i="1"/>
  <c r="AP316" i="1"/>
  <c r="AS316" i="1" s="1"/>
  <c r="AG316" i="1" l="1"/>
  <c r="AH316" i="1" s="1"/>
  <c r="AT316" i="1"/>
  <c r="AU316" i="1" l="1"/>
  <c r="AV316" i="1" s="1"/>
  <c r="F316" i="1" s="1"/>
  <c r="K316" i="1" s="1"/>
  <c r="L316" i="1" s="1"/>
  <c r="I316" i="1" l="1"/>
  <c r="M316" i="1" s="1"/>
  <c r="H316" i="1" s="1"/>
  <c r="E317" i="1" s="1"/>
  <c r="R317" i="1" s="1"/>
  <c r="J317" i="1"/>
  <c r="S317" i="1" l="1"/>
  <c r="AR317" i="1" s="1"/>
  <c r="C317" i="1"/>
  <c r="D317" i="1"/>
  <c r="O317" i="1" s="1"/>
  <c r="Q317" i="1" s="1"/>
  <c r="AD317" i="1" l="1"/>
  <c r="N317" i="1"/>
  <c r="AP317" i="1" s="1"/>
  <c r="AQ317" i="1"/>
  <c r="AC317" i="1"/>
  <c r="U318" i="1"/>
  <c r="AI318" i="1" s="1"/>
  <c r="AJ318" i="1" s="1" a="1"/>
  <c r="AJ318" i="1" s="1"/>
  <c r="AB317" i="1" l="1"/>
  <c r="AF317" i="1" s="1"/>
  <c r="P317" i="1"/>
  <c r="AT317" i="1"/>
  <c r="AS317" i="1"/>
  <c r="V318" i="1" a="1"/>
  <c r="V318" i="1" s="1"/>
  <c r="AU317" i="1" l="1"/>
  <c r="AV317" i="1" s="1"/>
  <c r="AE317" i="1"/>
  <c r="AG317" i="1" l="1"/>
  <c r="AH317" i="1" s="1"/>
  <c r="F317" i="1" s="1"/>
  <c r="K317" i="1" s="1"/>
  <c r="L317" i="1" s="1"/>
  <c r="I317" i="1" l="1"/>
  <c r="M317" i="1" s="1"/>
  <c r="H317" i="1" s="1"/>
  <c r="E318" i="1" s="1"/>
  <c r="R318" i="1" s="1"/>
  <c r="J318" i="1"/>
  <c r="C318" i="1" l="1"/>
  <c r="D318" i="1"/>
  <c r="O318" i="1" s="1"/>
  <c r="AQ318" i="1" s="1"/>
  <c r="S318" i="1"/>
  <c r="AD318" i="1" s="1"/>
  <c r="Q318" i="1" l="1"/>
  <c r="AC318" i="1"/>
  <c r="U319" i="1"/>
  <c r="V319" i="1" s="1" a="1"/>
  <c r="V319" i="1" s="1"/>
  <c r="N318" i="1"/>
  <c r="AB318" i="1" s="1"/>
  <c r="AR318" i="1"/>
  <c r="AE318" i="1" l="1"/>
  <c r="AI319" i="1"/>
  <c r="AJ319" i="1" s="1" a="1"/>
  <c r="AJ319" i="1" s="1"/>
  <c r="AF318" i="1"/>
  <c r="AP318" i="1"/>
  <c r="AT318" i="1" s="1"/>
  <c r="P318" i="1"/>
  <c r="AG318" i="1" l="1"/>
  <c r="AH318" i="1" s="1"/>
  <c r="AS318" i="1"/>
  <c r="AU318" i="1" l="1"/>
  <c r="AV318" i="1" s="1"/>
  <c r="F318" i="1" s="1"/>
  <c r="I318" i="1" s="1"/>
  <c r="J319" i="1" l="1"/>
  <c r="K318" i="1"/>
  <c r="L318" i="1" s="1"/>
  <c r="M318" i="1" s="1"/>
  <c r="H318" i="1" s="1"/>
  <c r="E319" i="1" s="1"/>
  <c r="D319" i="1" s="1"/>
  <c r="C319" i="1" l="1"/>
  <c r="U320" i="1" s="1"/>
  <c r="AI320" i="1" s="1"/>
  <c r="AJ320" i="1" s="1" a="1"/>
  <c r="AJ320" i="1" s="1"/>
  <c r="S319" i="1"/>
  <c r="R319" i="1"/>
  <c r="O319" i="1" s="1"/>
  <c r="Q319" i="1" s="1"/>
  <c r="N319" i="1" l="1"/>
  <c r="AB319" i="1" s="1"/>
  <c r="V320" i="1" a="1"/>
  <c r="V320" i="1" s="1"/>
  <c r="AR319" i="1"/>
  <c r="AC319" i="1"/>
  <c r="AQ319" i="1"/>
  <c r="AD319" i="1"/>
  <c r="AF319" i="1" l="1"/>
  <c r="AE319" i="1"/>
  <c r="AP319" i="1"/>
  <c r="AT319" i="1" s="1"/>
  <c r="P319" i="1"/>
  <c r="AG319" i="1" l="1"/>
  <c r="AH319" i="1" s="1"/>
  <c r="AS319" i="1"/>
  <c r="AU319" i="1" l="1"/>
  <c r="AV319" i="1" s="1"/>
  <c r="F319" i="1" s="1"/>
  <c r="K319" i="1" s="1"/>
  <c r="L319" i="1" s="1"/>
  <c r="J320" i="1" l="1"/>
  <c r="I319" i="1"/>
  <c r="M319" i="1" s="1"/>
  <c r="H319" i="1" s="1"/>
  <c r="E320" i="1" s="1"/>
  <c r="S320" i="1" s="1"/>
  <c r="D320" i="1" l="1"/>
  <c r="R320" i="1"/>
  <c r="AD320" i="1" s="1"/>
  <c r="C320" i="1"/>
  <c r="O320" i="1" l="1"/>
  <c r="AC320" i="1" s="1"/>
  <c r="U321" i="1"/>
  <c r="AI321" i="1" s="1"/>
  <c r="AJ321" i="1" s="1" a="1"/>
  <c r="AJ321" i="1" s="1"/>
  <c r="AR320" i="1"/>
  <c r="N320" i="1"/>
  <c r="AB320" i="1" s="1"/>
  <c r="V321" i="1" l="1" a="1"/>
  <c r="V321" i="1" s="1"/>
  <c r="AE320" i="1"/>
  <c r="AQ320" i="1"/>
  <c r="Q320" i="1"/>
  <c r="P320" i="1"/>
  <c r="AF320" i="1"/>
  <c r="AP320" i="1"/>
  <c r="AG320" i="1" l="1"/>
  <c r="AH320" i="1" s="1"/>
  <c r="AS320" i="1"/>
  <c r="AT320" i="1"/>
  <c r="AU320" i="1" l="1"/>
  <c r="AV320" i="1" s="1"/>
  <c r="F320" i="1" s="1"/>
  <c r="K320" i="1" s="1"/>
  <c r="L320" i="1" s="1"/>
  <c r="J321" i="1" l="1"/>
  <c r="I320" i="1"/>
  <c r="M320" i="1" s="1"/>
  <c r="H320" i="1" s="1"/>
  <c r="E321" i="1" s="1"/>
  <c r="C321" i="1" s="1"/>
  <c r="D321" i="1" l="1"/>
  <c r="U322" i="1" s="1"/>
  <c r="R321" i="1"/>
  <c r="S321" i="1"/>
  <c r="O321" i="1" l="1"/>
  <c r="Q321" i="1" s="1"/>
  <c r="AR321" i="1"/>
  <c r="N321" i="1"/>
  <c r="P321" i="1" s="1"/>
  <c r="AD321" i="1"/>
  <c r="AI322" i="1"/>
  <c r="AJ322" i="1" s="1" a="1"/>
  <c r="AJ322" i="1" s="1"/>
  <c r="V322" i="1" a="1"/>
  <c r="V322" i="1" s="1"/>
  <c r="AC321" i="1" l="1"/>
  <c r="AQ321" i="1"/>
  <c r="AB321" i="1"/>
  <c r="AP321" i="1"/>
  <c r="AT321" i="1" l="1"/>
  <c r="AF321" i="1"/>
  <c r="AS321" i="1"/>
  <c r="AE321" i="1"/>
  <c r="AG321" i="1" l="1"/>
  <c r="AH321" i="1" s="1"/>
  <c r="AU321" i="1"/>
  <c r="AV321" i="1" s="1"/>
  <c r="F321" i="1" l="1"/>
  <c r="K321" i="1" l="1"/>
  <c r="L321" i="1" s="1"/>
  <c r="I321" i="1"/>
  <c r="J322" i="1"/>
  <c r="M321" i="1" l="1"/>
  <c r="H321" i="1" s="1"/>
  <c r="E322" i="1" s="1"/>
  <c r="S322" i="1" s="1"/>
  <c r="D322" i="1" l="1"/>
  <c r="R322" i="1"/>
  <c r="AR322" i="1" s="1"/>
  <c r="C322" i="1"/>
  <c r="N322" i="1" s="1"/>
  <c r="P322" i="1" s="1"/>
  <c r="AD322" i="1" l="1"/>
  <c r="AB322" i="1"/>
  <c r="AP322" i="1"/>
  <c r="U323" i="1"/>
  <c r="V323" i="1" s="1" a="1"/>
  <c r="V323" i="1" s="1"/>
  <c r="O322" i="1"/>
  <c r="AC322" i="1" s="1"/>
  <c r="AF322" i="1" l="1"/>
  <c r="AE322" i="1"/>
  <c r="AI323" i="1"/>
  <c r="AJ323" i="1" s="1" a="1"/>
  <c r="AJ323" i="1" s="1"/>
  <c r="Q322" i="1"/>
  <c r="AQ322" i="1"/>
  <c r="AT322" i="1" s="1"/>
  <c r="AG322" i="1" l="1"/>
  <c r="AH322" i="1" s="1"/>
  <c r="AS322" i="1"/>
  <c r="AU322" i="1" l="1"/>
  <c r="AV322" i="1" s="1"/>
  <c r="F322" i="1" s="1"/>
  <c r="I322" i="1" s="1"/>
  <c r="J323" i="1" l="1"/>
  <c r="K322" i="1"/>
  <c r="L322" i="1" s="1"/>
  <c r="M322" i="1" s="1"/>
  <c r="H322" i="1" s="1"/>
  <c r="E323" i="1" s="1"/>
  <c r="R323" i="1" s="1"/>
  <c r="C323" i="1" l="1"/>
  <c r="D323" i="1"/>
  <c r="O323" i="1" s="1"/>
  <c r="AC323" i="1" s="1"/>
  <c r="S323" i="1"/>
  <c r="AR323" i="1" s="1"/>
  <c r="AD323" i="1" l="1"/>
  <c r="N323" i="1"/>
  <c r="AB323" i="1" s="1"/>
  <c r="Q323" i="1"/>
  <c r="AQ323" i="1"/>
  <c r="U324" i="1"/>
  <c r="AI324" i="1" s="1"/>
  <c r="AJ324" i="1" s="1" a="1"/>
  <c r="AJ324" i="1" s="1"/>
  <c r="AF323" i="1" l="1"/>
  <c r="AP323" i="1"/>
  <c r="AS323" i="1" s="1"/>
  <c r="P323" i="1"/>
  <c r="AE323" i="1"/>
  <c r="V324" i="1" a="1"/>
  <c r="V324" i="1" s="1"/>
  <c r="AG323" i="1" l="1"/>
  <c r="AH323" i="1" s="1"/>
  <c r="AT323" i="1"/>
  <c r="AU323" i="1" l="1"/>
  <c r="AV323" i="1" s="1"/>
  <c r="F323" i="1" s="1"/>
  <c r="K323" i="1" s="1"/>
  <c r="L323" i="1" s="1"/>
  <c r="I323" i="1" l="1"/>
  <c r="M323" i="1" s="1"/>
  <c r="H323" i="1" s="1"/>
  <c r="E324" i="1" s="1"/>
  <c r="C324" i="1" s="1"/>
  <c r="J324" i="1"/>
  <c r="R324" i="1" l="1"/>
  <c r="S324" i="1"/>
  <c r="N324" i="1" s="1"/>
  <c r="AB324" i="1" s="1"/>
  <c r="D324" i="1"/>
  <c r="U325" i="1" s="1"/>
  <c r="AI325" i="1" s="1"/>
  <c r="AJ325" i="1" s="1" a="1"/>
  <c r="AJ325" i="1" s="1"/>
  <c r="O324" i="1" l="1"/>
  <c r="Q324" i="1" s="1"/>
  <c r="AD324" i="1"/>
  <c r="P324" i="1"/>
  <c r="AP324" i="1"/>
  <c r="AR324" i="1"/>
  <c r="V325" i="1" a="1"/>
  <c r="V325" i="1" s="1"/>
  <c r="AC324" i="1" l="1"/>
  <c r="AF324" i="1" s="1"/>
  <c r="AQ324" i="1"/>
  <c r="AT324" i="1" s="1"/>
  <c r="AE324" i="1" l="1"/>
  <c r="AS324" i="1"/>
  <c r="AG324" i="1" l="1"/>
  <c r="AH324" i="1" s="1"/>
  <c r="AU324" i="1"/>
  <c r="AV324" i="1" s="1"/>
  <c r="F324" i="1" l="1"/>
  <c r="K324" i="1" s="1"/>
  <c r="L324" i="1" s="1"/>
  <c r="J325" i="1" l="1"/>
  <c r="I324" i="1"/>
  <c r="M324" i="1" s="1"/>
  <c r="H324" i="1" s="1"/>
  <c r="E325" i="1" s="1"/>
  <c r="C325" i="1" s="1"/>
  <c r="R325" i="1" l="1"/>
  <c r="S325" i="1"/>
  <c r="N325" i="1" s="1"/>
  <c r="P325" i="1" s="1"/>
  <c r="D325" i="1"/>
  <c r="U326" i="1" s="1"/>
  <c r="AI326" i="1" s="1"/>
  <c r="AJ326" i="1" s="1" a="1"/>
  <c r="AJ326" i="1" s="1"/>
  <c r="AB325" i="1" l="1"/>
  <c r="AD325" i="1"/>
  <c r="AR325" i="1"/>
  <c r="V326" i="1" a="1"/>
  <c r="V326" i="1" s="1"/>
  <c r="O325" i="1"/>
  <c r="AC325" i="1" s="1"/>
  <c r="AP325" i="1"/>
  <c r="AF325" i="1" l="1"/>
  <c r="AQ325" i="1"/>
  <c r="AT325" i="1" s="1"/>
  <c r="AE325" i="1"/>
  <c r="Q325" i="1"/>
  <c r="AG325" i="1" l="1"/>
  <c r="AH325" i="1" s="1"/>
  <c r="AS325" i="1"/>
  <c r="AU325" i="1" s="1"/>
  <c r="AV325" i="1" s="1"/>
  <c r="F325" i="1" l="1"/>
  <c r="I325" i="1" s="1"/>
  <c r="K325" i="1" l="1"/>
  <c r="L325" i="1" s="1"/>
  <c r="M325" i="1" s="1"/>
  <c r="H325" i="1" s="1"/>
  <c r="E326" i="1" s="1"/>
  <c r="S326" i="1" s="1"/>
  <c r="J326" i="1"/>
  <c r="D326" i="1" l="1"/>
  <c r="R326" i="1"/>
  <c r="AD326" i="1" s="1"/>
  <c r="C326" i="1"/>
  <c r="N326" i="1" s="1"/>
  <c r="AP326" i="1" s="1"/>
  <c r="AR326" i="1" l="1"/>
  <c r="O326" i="1"/>
  <c r="Q326" i="1" s="1"/>
  <c r="P326" i="1"/>
  <c r="AB326" i="1"/>
  <c r="U327" i="1"/>
  <c r="V327" i="1" s="1" a="1"/>
  <c r="V327" i="1" s="1"/>
  <c r="AQ326" i="1" l="1"/>
  <c r="AS326" i="1" s="1"/>
  <c r="AC326" i="1"/>
  <c r="AE326" i="1"/>
  <c r="AI327" i="1"/>
  <c r="AJ327" i="1" s="1" a="1"/>
  <c r="AJ327" i="1" s="1"/>
  <c r="AF326" i="1"/>
  <c r="AT326" i="1" l="1"/>
  <c r="AG326" i="1"/>
  <c r="AH326" i="1" s="1"/>
  <c r="AU326" i="1"/>
  <c r="AV326" i="1" s="1"/>
  <c r="F326" i="1" l="1"/>
  <c r="I326" i="1" s="1"/>
  <c r="K326" i="1" l="1"/>
  <c r="L326" i="1" s="1"/>
  <c r="M326" i="1" s="1"/>
  <c r="H326" i="1" s="1"/>
  <c r="E327" i="1" s="1"/>
  <c r="R327" i="1" s="1"/>
  <c r="J327" i="1"/>
  <c r="D327" i="1" l="1"/>
  <c r="O327" i="1" s="1"/>
  <c r="Q327" i="1" s="1"/>
  <c r="S327" i="1"/>
  <c r="AR327" i="1" s="1"/>
  <c r="C327" i="1"/>
  <c r="U328" i="1" l="1"/>
  <c r="V328" i="1" s="1" a="1"/>
  <c r="V328" i="1" s="1"/>
  <c r="AQ327" i="1"/>
  <c r="AC327" i="1"/>
  <c r="AD327" i="1"/>
  <c r="N327" i="1"/>
  <c r="AB327" i="1" s="1"/>
  <c r="AF327" i="1" l="1"/>
  <c r="AI328" i="1"/>
  <c r="AJ328" i="1" s="1" a="1"/>
  <c r="AJ328" i="1" s="1"/>
  <c r="AE327" i="1"/>
  <c r="P327" i="1"/>
  <c r="AP327" i="1"/>
  <c r="AT327" i="1" s="1"/>
  <c r="AS327" i="1" l="1"/>
  <c r="AU327" i="1" s="1"/>
  <c r="AV327" i="1" s="1"/>
  <c r="AG327" i="1"/>
  <c r="AH327" i="1" s="1"/>
  <c r="F327" i="1" l="1"/>
  <c r="K327" i="1" s="1"/>
  <c r="L327" i="1" s="1"/>
  <c r="I327" i="1" l="1"/>
  <c r="M327" i="1" s="1"/>
  <c r="H327" i="1" s="1"/>
  <c r="E328" i="1" s="1"/>
  <c r="R328" i="1" s="1"/>
  <c r="J328" i="1"/>
  <c r="D328" i="1" l="1"/>
  <c r="O328" i="1" s="1"/>
  <c r="Q328" i="1" s="1"/>
  <c r="C328" i="1"/>
  <c r="S328" i="1"/>
  <c r="AR328" i="1" s="1"/>
  <c r="AC328" i="1" l="1"/>
  <c r="U329" i="1"/>
  <c r="AI329" i="1" s="1"/>
  <c r="AJ329" i="1" s="1" a="1"/>
  <c r="AJ329" i="1" s="1"/>
  <c r="AD328" i="1"/>
  <c r="N328" i="1"/>
  <c r="AB328" i="1" s="1"/>
  <c r="AQ328" i="1"/>
  <c r="V329" i="1" l="1" a="1"/>
  <c r="V329" i="1" s="1"/>
  <c r="AF328" i="1"/>
  <c r="AP328" i="1"/>
  <c r="AT328" i="1" s="1"/>
  <c r="P328" i="1"/>
  <c r="AE328" i="1"/>
  <c r="AS328" i="1" l="1"/>
  <c r="AU328" i="1" s="1"/>
  <c r="AV328" i="1" s="1"/>
  <c r="AG328" i="1"/>
  <c r="AH328" i="1" s="1"/>
  <c r="F328" i="1" l="1"/>
  <c r="K328" i="1" s="1"/>
  <c r="L328" i="1" s="1"/>
  <c r="J329" i="1" l="1"/>
  <c r="I328" i="1"/>
  <c r="M328" i="1" s="1"/>
  <c r="H328" i="1" s="1"/>
  <c r="E329" i="1" s="1"/>
  <c r="R329" i="1" s="1"/>
  <c r="S329" i="1" l="1"/>
  <c r="AR329" i="1" s="1"/>
  <c r="D329" i="1"/>
  <c r="O329" i="1" s="1"/>
  <c r="AQ329" i="1" s="1"/>
  <c r="C329" i="1"/>
  <c r="Q329" i="1" l="1"/>
  <c r="AD329" i="1"/>
  <c r="N329" i="1"/>
  <c r="P329" i="1" s="1"/>
  <c r="AC329" i="1"/>
  <c r="U330" i="1"/>
  <c r="AI330" i="1" s="1"/>
  <c r="AJ330" i="1" s="1" a="1"/>
  <c r="AJ330" i="1" s="1"/>
  <c r="AP329" i="1"/>
  <c r="AB329" i="1"/>
  <c r="V330" i="1" l="1" a="1"/>
  <c r="V330" i="1" s="1"/>
  <c r="AT329" i="1"/>
  <c r="AS329" i="1"/>
  <c r="AE329" i="1"/>
  <c r="AF329" i="1"/>
  <c r="AU329" i="1" l="1"/>
  <c r="AV329" i="1" s="1"/>
  <c r="AG329" i="1"/>
  <c r="AH329" i="1" s="1"/>
  <c r="F329" i="1" l="1"/>
  <c r="K329" i="1" s="1"/>
  <c r="L329" i="1" s="1"/>
  <c r="I329" i="1" l="1"/>
  <c r="M329" i="1" s="1"/>
  <c r="H329" i="1" s="1"/>
  <c r="E330" i="1" s="1"/>
  <c r="D330" i="1" s="1"/>
  <c r="J330" i="1"/>
  <c r="C330" i="1" l="1"/>
  <c r="U331" i="1" s="1"/>
  <c r="R330" i="1"/>
  <c r="O330" i="1" s="1"/>
  <c r="AC330" i="1" s="1"/>
  <c r="S330" i="1"/>
  <c r="AR330" i="1" l="1"/>
  <c r="N330" i="1"/>
  <c r="AB330" i="1" s="1"/>
  <c r="AD330" i="1"/>
  <c r="AQ330" i="1"/>
  <c r="Q330" i="1"/>
  <c r="AI331" i="1"/>
  <c r="AJ331" i="1" s="1" a="1"/>
  <c r="AJ331" i="1" s="1"/>
  <c r="V331" i="1" a="1"/>
  <c r="V331" i="1" s="1"/>
  <c r="AP330" i="1" l="1"/>
  <c r="AS330" i="1" s="1"/>
  <c r="P330" i="1"/>
  <c r="AF330" i="1"/>
  <c r="AE330" i="1"/>
  <c r="AG330" i="1" l="1"/>
  <c r="AH330" i="1" s="1"/>
  <c r="AT330" i="1"/>
  <c r="AU330" i="1" l="1"/>
  <c r="AV330" i="1" s="1"/>
  <c r="F330" i="1" s="1"/>
  <c r="I330" i="1" s="1"/>
  <c r="J331" i="1" l="1"/>
  <c r="K330" i="1"/>
  <c r="L330" i="1" s="1"/>
  <c r="M330" i="1" s="1"/>
  <c r="H330" i="1" s="1"/>
  <c r="E331" i="1" s="1"/>
  <c r="R331" i="1" s="1"/>
  <c r="C331" i="1" l="1"/>
  <c r="D331" i="1"/>
  <c r="O331" i="1" s="1"/>
  <c r="AQ331" i="1" s="1"/>
  <c r="S331" i="1"/>
  <c r="U332" i="1" l="1"/>
  <c r="V332" i="1" s="1" a="1"/>
  <c r="V332" i="1" s="1"/>
  <c r="N331" i="1"/>
  <c r="P331" i="1" s="1"/>
  <c r="AD331" i="1"/>
  <c r="AR331" i="1"/>
  <c r="AC331" i="1"/>
  <c r="Q331" i="1"/>
  <c r="AB331" i="1" l="1"/>
  <c r="AF331" i="1" s="1"/>
  <c r="AP331" i="1"/>
  <c r="AT331" i="1" s="1"/>
  <c r="AI332" i="1"/>
  <c r="AJ332" i="1" s="1" a="1"/>
  <c r="AJ332" i="1" s="1"/>
  <c r="AS331" i="1" l="1"/>
  <c r="AE331" i="1"/>
  <c r="AG331" i="1" l="1"/>
  <c r="AH331" i="1" s="1"/>
  <c r="AU331" i="1"/>
  <c r="AV331" i="1" s="1"/>
  <c r="F331" i="1" l="1"/>
  <c r="K331" i="1" s="1"/>
  <c r="L331" i="1" s="1"/>
  <c r="J332" i="1" l="1"/>
  <c r="I331" i="1"/>
  <c r="M331" i="1" s="1"/>
  <c r="H331" i="1" s="1"/>
  <c r="E332" i="1" s="1"/>
  <c r="R332" i="1" s="1"/>
  <c r="S332" i="1" l="1"/>
  <c r="AR332" i="1" s="1"/>
  <c r="C332" i="1"/>
  <c r="D332" i="1"/>
  <c r="O332" i="1" s="1"/>
  <c r="Q332" i="1" s="1"/>
  <c r="N332" i="1" l="1"/>
  <c r="P332" i="1" s="1"/>
  <c r="AD332" i="1"/>
  <c r="AQ332" i="1"/>
  <c r="AC332" i="1"/>
  <c r="U333" i="1"/>
  <c r="V333" i="1" s="1" a="1"/>
  <c r="V333" i="1" s="1"/>
  <c r="AB332" i="1" l="1"/>
  <c r="AE332" i="1" s="1"/>
  <c r="AP332" i="1"/>
  <c r="AT332" i="1" s="1"/>
  <c r="AI333" i="1"/>
  <c r="AJ333" i="1" s="1" a="1"/>
  <c r="AJ333" i="1" s="1"/>
  <c r="AF332" i="1" l="1"/>
  <c r="AG332" i="1" s="1"/>
  <c r="AH332" i="1" s="1"/>
  <c r="AS332" i="1"/>
  <c r="AU332" i="1" s="1"/>
  <c r="AV332" i="1" s="1"/>
  <c r="F332" i="1" l="1"/>
  <c r="I332" i="1" s="1"/>
  <c r="K332" i="1" l="1"/>
  <c r="L332" i="1" s="1"/>
  <c r="M332" i="1" s="1"/>
  <c r="H332" i="1" s="1"/>
  <c r="E333" i="1" s="1"/>
  <c r="R333" i="1" s="1"/>
  <c r="J333" i="1"/>
  <c r="C333" i="1" l="1"/>
  <c r="S333" i="1"/>
  <c r="AR333" i="1" s="1"/>
  <c r="D333" i="1"/>
  <c r="O333" i="1" s="1"/>
  <c r="AC333" i="1" s="1"/>
  <c r="N333" i="1" l="1"/>
  <c r="AB333" i="1" s="1"/>
  <c r="AD333" i="1"/>
  <c r="Q333" i="1"/>
  <c r="AQ333" i="1"/>
  <c r="U334" i="1"/>
  <c r="AI334" i="1" s="1"/>
  <c r="AJ334" i="1" s="1" a="1"/>
  <c r="AJ334" i="1" s="1"/>
  <c r="AP333" i="1" l="1"/>
  <c r="AT333" i="1" s="1"/>
  <c r="P333" i="1"/>
  <c r="AF333" i="1"/>
  <c r="AE333" i="1"/>
  <c r="V334" i="1" a="1"/>
  <c r="V334" i="1" s="1"/>
  <c r="AG333" i="1" l="1"/>
  <c r="AH333" i="1" s="1"/>
  <c r="AS333" i="1"/>
  <c r="AU333" i="1" s="1"/>
  <c r="AV333" i="1" s="1"/>
  <c r="F333" i="1" l="1"/>
  <c r="K333" i="1" s="1"/>
  <c r="L333" i="1" s="1"/>
  <c r="I333" i="1" l="1"/>
  <c r="M333" i="1" s="1"/>
  <c r="H333" i="1" s="1"/>
  <c r="E334" i="1" s="1"/>
  <c r="D334" i="1" s="1"/>
  <c r="J334" i="1"/>
  <c r="C334" i="1" l="1"/>
  <c r="U335" i="1" s="1"/>
  <c r="S334" i="1"/>
  <c r="R334" i="1"/>
  <c r="AR334" i="1" l="1"/>
  <c r="O334" i="1"/>
  <c r="Q334" i="1" s="1"/>
  <c r="N334" i="1"/>
  <c r="P334" i="1" s="1"/>
  <c r="AD334" i="1"/>
  <c r="AI335" i="1"/>
  <c r="AJ335" i="1" s="1" a="1"/>
  <c r="AJ335" i="1" s="1"/>
  <c r="V335" i="1" a="1"/>
  <c r="V335" i="1" s="1"/>
  <c r="AB334" i="1" l="1"/>
  <c r="AP334" i="1"/>
  <c r="AQ334" i="1"/>
  <c r="AC334" i="1"/>
  <c r="AS334" i="1" l="1"/>
  <c r="AE334" i="1"/>
  <c r="AT334" i="1"/>
  <c r="AF334" i="1"/>
  <c r="AG334" i="1" s="1"/>
  <c r="AH334" i="1" s="1"/>
  <c r="AU334" i="1"/>
  <c r="AV334" i="1" s="1"/>
  <c r="F334" i="1" l="1"/>
  <c r="K334" i="1" l="1"/>
  <c r="L334" i="1" s="1"/>
  <c r="J335" i="1"/>
  <c r="I334" i="1"/>
  <c r="M334" i="1" l="1"/>
  <c r="H334" i="1" s="1"/>
  <c r="E335" i="1" s="1"/>
  <c r="S335" i="1" s="1"/>
  <c r="D335" i="1" l="1"/>
  <c r="C335" i="1"/>
  <c r="N335" i="1" s="1"/>
  <c r="AP335" i="1" s="1"/>
  <c r="R335" i="1"/>
  <c r="AD335" i="1" s="1"/>
  <c r="U336" i="1" l="1"/>
  <c r="V336" i="1" s="1" a="1"/>
  <c r="V336" i="1" s="1"/>
  <c r="P335" i="1"/>
  <c r="AB335" i="1"/>
  <c r="AR335" i="1"/>
  <c r="O335" i="1"/>
  <c r="AQ335" i="1" s="1"/>
  <c r="AT335" i="1" l="1"/>
  <c r="AI336" i="1"/>
  <c r="AJ336" i="1" s="1" a="1"/>
  <c r="AJ336" i="1" s="1"/>
  <c r="AC335" i="1"/>
  <c r="AF335" i="1" s="1"/>
  <c r="AS335" i="1"/>
  <c r="Q335" i="1"/>
  <c r="AU335" i="1" l="1"/>
  <c r="AV335" i="1" s="1"/>
  <c r="AE335" i="1"/>
  <c r="AG335" i="1" l="1"/>
  <c r="AH335" i="1" s="1"/>
  <c r="F335" i="1" s="1"/>
  <c r="J336" i="1" s="1"/>
  <c r="I335" i="1" l="1"/>
  <c r="K335" i="1"/>
  <c r="L335" i="1" s="1"/>
  <c r="M335" i="1" l="1"/>
  <c r="H335" i="1" s="1"/>
  <c r="E336" i="1" s="1"/>
  <c r="C336" i="1" s="1"/>
  <c r="R336" i="1" l="1"/>
  <c r="D336" i="1"/>
  <c r="U337" i="1" s="1"/>
  <c r="V337" i="1" s="1" a="1"/>
  <c r="V337" i="1" s="1"/>
  <c r="S336" i="1"/>
  <c r="N336" i="1" s="1"/>
  <c r="P336" i="1" s="1"/>
  <c r="O336" i="1" l="1"/>
  <c r="Q336" i="1" s="1"/>
  <c r="AI337" i="1"/>
  <c r="AJ337" i="1" s="1" a="1"/>
  <c r="AJ337" i="1" s="1"/>
  <c r="AR336" i="1"/>
  <c r="AD336" i="1"/>
  <c r="AP336" i="1"/>
  <c r="AB336" i="1"/>
  <c r="AC336" i="1" l="1"/>
  <c r="AF336" i="1" s="1"/>
  <c r="AQ336" i="1"/>
  <c r="AT336" i="1" s="1"/>
  <c r="AE336" i="1" l="1"/>
  <c r="AS336" i="1"/>
  <c r="AG336" i="1" l="1"/>
  <c r="AH336" i="1" s="1"/>
  <c r="AU336" i="1"/>
  <c r="AV336" i="1" s="1"/>
  <c r="F336" i="1" l="1"/>
  <c r="K336" i="1" s="1"/>
  <c r="L336" i="1" s="1"/>
  <c r="J337" i="1" l="1"/>
  <c r="I336" i="1"/>
  <c r="M336" i="1" s="1"/>
  <c r="H336" i="1" s="1"/>
  <c r="E337" i="1" s="1"/>
  <c r="D337" i="1" l="1"/>
  <c r="C337" i="1"/>
  <c r="S337" i="1"/>
  <c r="R337" i="1"/>
  <c r="O337" i="1" l="1"/>
  <c r="Q337" i="1" s="1"/>
  <c r="N337" i="1"/>
  <c r="AB337" i="1" s="1"/>
  <c r="AR337" i="1"/>
  <c r="AD337" i="1"/>
  <c r="U338" i="1"/>
  <c r="AC337" i="1" l="1"/>
  <c r="AF337" i="1" s="1"/>
  <c r="AQ337" i="1"/>
  <c r="AP337" i="1"/>
  <c r="P337" i="1"/>
  <c r="V338" i="1" a="1"/>
  <c r="V338" i="1" s="1"/>
  <c r="AI338" i="1"/>
  <c r="AJ338" i="1" s="1" a="1"/>
  <c r="AJ338" i="1" s="1"/>
  <c r="AT337" i="1" l="1"/>
  <c r="AE337" i="1"/>
  <c r="AG337" i="1" s="1"/>
  <c r="AH337" i="1" s="1"/>
  <c r="AS337" i="1"/>
  <c r="AU337" i="1" l="1"/>
  <c r="AV337" i="1" s="1"/>
  <c r="F337" i="1" s="1"/>
  <c r="I337" i="1" s="1"/>
  <c r="K337" i="1" l="1"/>
  <c r="L337" i="1" s="1"/>
  <c r="M337" i="1" s="1"/>
  <c r="H337" i="1" s="1"/>
  <c r="E338" i="1" s="1"/>
  <c r="C338" i="1" s="1"/>
  <c r="J338" i="1"/>
  <c r="D338" i="1" l="1"/>
  <c r="U339" i="1" s="1"/>
  <c r="V339" i="1" s="1" a="1"/>
  <c r="V339" i="1" s="1"/>
  <c r="S338" i="1"/>
  <c r="N338" i="1" s="1"/>
  <c r="AB338" i="1" s="1"/>
  <c r="R338" i="1"/>
  <c r="AR338" i="1" l="1"/>
  <c r="AI339" i="1"/>
  <c r="AJ339" i="1" s="1" a="1"/>
  <c r="AJ339" i="1" s="1"/>
  <c r="O338" i="1"/>
  <c r="AC338" i="1" s="1"/>
  <c r="AD338" i="1"/>
  <c r="P338" i="1"/>
  <c r="AP338" i="1"/>
  <c r="Q338" i="1" l="1"/>
  <c r="AQ338" i="1"/>
  <c r="AF338" i="1"/>
  <c r="AE338" i="1"/>
  <c r="AG338" i="1" s="1"/>
  <c r="AH338" i="1" s="1"/>
  <c r="AS338" i="1"/>
  <c r="AT338" i="1"/>
  <c r="AU338" i="1" l="1"/>
  <c r="AV338" i="1" s="1"/>
  <c r="F338" i="1" s="1"/>
  <c r="I338" i="1" s="1"/>
  <c r="J339" i="1" l="1"/>
  <c r="K338" i="1"/>
  <c r="L338" i="1" s="1"/>
  <c r="M338" i="1" s="1"/>
  <c r="H338" i="1" s="1"/>
  <c r="E339" i="1" s="1"/>
  <c r="D339" i="1" s="1"/>
  <c r="R339" i="1" l="1"/>
  <c r="O339" i="1" s="1"/>
  <c r="Q339" i="1" s="1"/>
  <c r="C339" i="1"/>
  <c r="U340" i="1" s="1"/>
  <c r="V340" i="1" s="1" a="1"/>
  <c r="V340" i="1" s="1"/>
  <c r="S339" i="1"/>
  <c r="AQ339" i="1" l="1"/>
  <c r="AC339" i="1"/>
  <c r="N339" i="1"/>
  <c r="AB339" i="1" s="1"/>
  <c r="AR339" i="1"/>
  <c r="AD339" i="1"/>
  <c r="AI340" i="1"/>
  <c r="AJ340" i="1" s="1" a="1"/>
  <c r="AJ340" i="1" s="1"/>
  <c r="AF339" i="1" l="1"/>
  <c r="AE339" i="1"/>
  <c r="P339" i="1"/>
  <c r="AP339" i="1"/>
  <c r="AS339" i="1" s="1"/>
  <c r="AG339" i="1" l="1"/>
  <c r="AH339" i="1" s="1"/>
  <c r="AT339" i="1"/>
  <c r="AU339" i="1" l="1"/>
  <c r="AV339" i="1" s="1"/>
  <c r="F339" i="1" s="1"/>
  <c r="I339" i="1" s="1"/>
  <c r="J340" i="1" l="1"/>
  <c r="K339" i="1"/>
  <c r="L339" i="1" s="1"/>
  <c r="M339" i="1" s="1"/>
  <c r="H339" i="1" s="1"/>
  <c r="E340" i="1" s="1"/>
  <c r="R340" i="1" s="1"/>
  <c r="C340" i="1" l="1"/>
  <c r="D340" i="1"/>
  <c r="O340" i="1" s="1"/>
  <c r="AC340" i="1" s="1"/>
  <c r="S340" i="1"/>
  <c r="AD340" i="1" s="1"/>
  <c r="U341" i="1" l="1"/>
  <c r="AI341" i="1" s="1"/>
  <c r="AJ341" i="1" s="1" a="1"/>
  <c r="AJ341" i="1" s="1"/>
  <c r="AQ340" i="1"/>
  <c r="Q340" i="1"/>
  <c r="AR340" i="1"/>
  <c r="N340" i="1"/>
  <c r="P340" i="1" s="1"/>
  <c r="V341" i="1" l="1" a="1"/>
  <c r="V341" i="1" s="1"/>
  <c r="AB340" i="1"/>
  <c r="AF340" i="1" s="1"/>
  <c r="AP340" i="1"/>
  <c r="AS340" i="1" s="1"/>
  <c r="AT340" i="1" l="1"/>
  <c r="AE340" i="1"/>
  <c r="AG340" i="1" l="1"/>
  <c r="AH340" i="1" s="1"/>
  <c r="AU340" i="1"/>
  <c r="AV340" i="1" s="1"/>
  <c r="F340" i="1" l="1"/>
  <c r="J341" i="1" s="1"/>
  <c r="K340" i="1" l="1"/>
  <c r="L340" i="1" s="1"/>
  <c r="I340" i="1"/>
  <c r="M340" i="1" l="1"/>
  <c r="H340" i="1" s="1"/>
  <c r="E341" i="1" s="1"/>
  <c r="R341" i="1" s="1"/>
  <c r="C341" i="1" l="1"/>
  <c r="D341" i="1"/>
  <c r="O341" i="1" s="1"/>
  <c r="Q341" i="1" s="1"/>
  <c r="S341" i="1"/>
  <c r="AR341" i="1" s="1"/>
  <c r="AC341" i="1" l="1"/>
  <c r="AQ341" i="1"/>
  <c r="N341" i="1"/>
  <c r="P341" i="1" s="1"/>
  <c r="AD341" i="1"/>
  <c r="U342" i="1"/>
  <c r="AI342" i="1" s="1"/>
  <c r="AJ342" i="1" s="1" a="1"/>
  <c r="AJ342" i="1" s="1"/>
  <c r="AB341" i="1" l="1"/>
  <c r="AF341" i="1" s="1"/>
  <c r="AP341" i="1"/>
  <c r="AT341" i="1" s="1"/>
  <c r="V342" i="1" a="1"/>
  <c r="V342" i="1" s="1"/>
  <c r="AE341" i="1"/>
  <c r="AS341" i="1" l="1"/>
  <c r="AU341" i="1" s="1"/>
  <c r="AV341" i="1" s="1"/>
  <c r="AG341" i="1"/>
  <c r="AH341" i="1" s="1"/>
  <c r="F341" i="1" l="1"/>
  <c r="J342" i="1" s="1"/>
  <c r="K341" i="1" l="1"/>
  <c r="L341" i="1" s="1"/>
  <c r="I341" i="1"/>
  <c r="M341" i="1" l="1"/>
  <c r="H341" i="1" s="1"/>
  <c r="E342" i="1" s="1"/>
  <c r="S342" i="1" s="1"/>
  <c r="C342" i="1" l="1"/>
  <c r="N342" i="1" s="1"/>
  <c r="AP342" i="1" s="1"/>
  <c r="R342" i="1"/>
  <c r="AD342" i="1" s="1"/>
  <c r="D342" i="1"/>
  <c r="U343" i="1" l="1"/>
  <c r="AI343" i="1" s="1"/>
  <c r="AJ343" i="1" s="1" a="1"/>
  <c r="AJ343" i="1" s="1"/>
  <c r="P342" i="1"/>
  <c r="AB342" i="1"/>
  <c r="O342" i="1"/>
  <c r="AQ342" i="1" s="1"/>
  <c r="AR342" i="1"/>
  <c r="AS342" i="1" l="1"/>
  <c r="AT342" i="1"/>
  <c r="V343" i="1" a="1"/>
  <c r="V343" i="1" s="1"/>
  <c r="AC342" i="1"/>
  <c r="AE342" i="1" s="1"/>
  <c r="Q342" i="1"/>
  <c r="AU342" i="1" l="1"/>
  <c r="AV342" i="1" s="1"/>
  <c r="AF342" i="1"/>
  <c r="AG342" i="1" s="1"/>
  <c r="AH342" i="1" s="1"/>
  <c r="F342" i="1" l="1"/>
  <c r="I342" i="1" s="1"/>
  <c r="J343" i="1" l="1"/>
  <c r="K342" i="1"/>
  <c r="L342" i="1" s="1"/>
  <c r="M342" i="1" s="1"/>
  <c r="H342" i="1" s="1"/>
  <c r="E343" i="1" s="1"/>
  <c r="S343" i="1" s="1"/>
  <c r="C343" i="1" l="1"/>
  <c r="N343" i="1" s="1"/>
  <c r="AP343" i="1" s="1"/>
  <c r="D343" i="1"/>
  <c r="R343" i="1"/>
  <c r="AR343" i="1" s="1"/>
  <c r="O343" i="1" l="1"/>
  <c r="AQ343" i="1" s="1"/>
  <c r="AT343" i="1" s="1"/>
  <c r="AD343" i="1"/>
  <c r="U344" i="1"/>
  <c r="AI344" i="1" s="1"/>
  <c r="AJ344" i="1" s="1" a="1"/>
  <c r="AJ344" i="1" s="1"/>
  <c r="P343" i="1"/>
  <c r="AB343" i="1"/>
  <c r="AC343" i="1" l="1"/>
  <c r="AE343" i="1" s="1"/>
  <c r="Q343" i="1"/>
  <c r="V344" i="1" a="1"/>
  <c r="V344" i="1" s="1"/>
  <c r="AS343" i="1"/>
  <c r="AU343" i="1" s="1"/>
  <c r="AV343" i="1" s="1"/>
  <c r="AF343" i="1" l="1"/>
  <c r="AG343" i="1" s="1"/>
  <c r="AH343" i="1" s="1"/>
  <c r="F343" i="1" s="1"/>
  <c r="K343" i="1" s="1"/>
  <c r="L343" i="1" s="1"/>
  <c r="J344" i="1" l="1"/>
  <c r="I343" i="1"/>
  <c r="M343" i="1" s="1"/>
  <c r="H343" i="1" s="1"/>
  <c r="E344" i="1" s="1"/>
  <c r="S344" i="1" s="1"/>
  <c r="D344" i="1" l="1"/>
  <c r="C344" i="1"/>
  <c r="N344" i="1" s="1"/>
  <c r="AP344" i="1" s="1"/>
  <c r="R344" i="1"/>
  <c r="AD344" i="1" s="1"/>
  <c r="U345" i="1" l="1"/>
  <c r="AI345" i="1" s="1"/>
  <c r="AJ345" i="1" s="1" a="1"/>
  <c r="AJ345" i="1" s="1"/>
  <c r="P344" i="1"/>
  <c r="AR344" i="1"/>
  <c r="AB344" i="1"/>
  <c r="O344" i="1"/>
  <c r="AC344" i="1" s="1"/>
  <c r="V345" i="1" l="1" a="1"/>
  <c r="V345" i="1" s="1"/>
  <c r="Q344" i="1"/>
  <c r="AE344" i="1"/>
  <c r="AF344" i="1"/>
  <c r="AQ344" i="1"/>
  <c r="AS344" i="1" s="1"/>
  <c r="AG344" i="1" l="1"/>
  <c r="AH344" i="1" s="1"/>
  <c r="AT344" i="1"/>
  <c r="AU344" i="1" l="1"/>
  <c r="AV344" i="1" s="1"/>
  <c r="F344" i="1" s="1"/>
  <c r="I344" i="1" s="1"/>
  <c r="J345" i="1" l="1"/>
  <c r="K344" i="1"/>
  <c r="L344" i="1" s="1"/>
  <c r="M344" i="1" s="1"/>
  <c r="H344" i="1" s="1"/>
  <c r="E345" i="1" s="1"/>
  <c r="R345" i="1" s="1"/>
  <c r="C345" i="1" l="1"/>
  <c r="D345" i="1"/>
  <c r="O345" i="1" s="1"/>
  <c r="Q345" i="1" s="1"/>
  <c r="S345" i="1"/>
  <c r="AD345" i="1" s="1"/>
  <c r="N345" i="1" l="1"/>
  <c r="AB345" i="1" s="1"/>
  <c r="AC345" i="1"/>
  <c r="AQ345" i="1"/>
  <c r="U346" i="1"/>
  <c r="V346" i="1" s="1" a="1"/>
  <c r="V346" i="1" s="1"/>
  <c r="AR345" i="1"/>
  <c r="AF345" i="1" l="1"/>
  <c r="AP345" i="1"/>
  <c r="AT345" i="1" s="1"/>
  <c r="AE345" i="1"/>
  <c r="P345" i="1"/>
  <c r="AI346" i="1"/>
  <c r="AJ346" i="1" s="1" a="1"/>
  <c r="AJ346" i="1" s="1"/>
  <c r="AG345" i="1" l="1"/>
  <c r="AH345" i="1" s="1"/>
  <c r="AS345" i="1"/>
  <c r="AU345" i="1" l="1"/>
  <c r="AV345" i="1" s="1"/>
  <c r="F345" i="1" s="1"/>
  <c r="K345" i="1" s="1"/>
  <c r="L345" i="1" s="1"/>
  <c r="I345" i="1" l="1"/>
  <c r="M345" i="1" s="1"/>
  <c r="H345" i="1" s="1"/>
  <c r="E346" i="1" s="1"/>
  <c r="R346" i="1" s="1"/>
  <c r="J346" i="1"/>
  <c r="S346" i="1" l="1"/>
  <c r="AR346" i="1" s="1"/>
  <c r="C346" i="1"/>
  <c r="D346" i="1"/>
  <c r="O346" i="1" s="1"/>
  <c r="AC346" i="1" s="1"/>
  <c r="AD346" i="1" l="1"/>
  <c r="N346" i="1"/>
  <c r="AP346" i="1" s="1"/>
  <c r="U347" i="1"/>
  <c r="V347" i="1" s="1" a="1"/>
  <c r="V347" i="1" s="1"/>
  <c r="AQ346" i="1"/>
  <c r="Q346" i="1"/>
  <c r="AB346" i="1" l="1"/>
  <c r="AE346" i="1" s="1"/>
  <c r="P346" i="1"/>
  <c r="AS346" i="1"/>
  <c r="AT346" i="1"/>
  <c r="AI347" i="1"/>
  <c r="AJ347" i="1" s="1" a="1"/>
  <c r="AJ347" i="1" s="1"/>
  <c r="AU346" i="1" l="1"/>
  <c r="AV346" i="1" s="1"/>
  <c r="AF346" i="1"/>
  <c r="AG346" i="1" l="1"/>
  <c r="AH346" i="1" s="1"/>
  <c r="F346" i="1" s="1"/>
  <c r="K346" i="1" s="1"/>
  <c r="L346" i="1" s="1"/>
  <c r="J347" i="1" l="1"/>
  <c r="I346" i="1"/>
  <c r="M346" i="1" s="1"/>
  <c r="H346" i="1" s="1"/>
  <c r="E347" i="1" s="1"/>
  <c r="R347" i="1" s="1"/>
  <c r="D347" i="1" l="1"/>
  <c r="O347" i="1" s="1"/>
  <c r="AC347" i="1" s="1"/>
  <c r="S347" i="1"/>
  <c r="AD347" i="1" s="1"/>
  <c r="C347" i="1"/>
  <c r="U348" i="1" l="1"/>
  <c r="AI348" i="1" s="1"/>
  <c r="AJ348" i="1" s="1" a="1"/>
  <c r="AJ348" i="1" s="1"/>
  <c r="AR347" i="1"/>
  <c r="N347" i="1"/>
  <c r="AP347" i="1" s="1"/>
  <c r="AQ347" i="1"/>
  <c r="Q347" i="1"/>
  <c r="V348" i="1" l="1" a="1"/>
  <c r="V348" i="1" s="1"/>
  <c r="AB347" i="1"/>
  <c r="AE347" i="1" s="1"/>
  <c r="P347" i="1"/>
  <c r="AS347" i="1"/>
  <c r="AT347" i="1"/>
  <c r="AU347" i="1" l="1"/>
  <c r="AV347" i="1" s="1"/>
  <c r="AF347" i="1"/>
  <c r="AG347" i="1" l="1"/>
  <c r="AH347" i="1" s="1"/>
  <c r="F347" i="1" s="1"/>
  <c r="K347" i="1" s="1"/>
  <c r="L347" i="1" s="1"/>
  <c r="I347" i="1" l="1"/>
  <c r="M347" i="1" s="1"/>
  <c r="H347" i="1" s="1"/>
  <c r="E348" i="1" s="1"/>
  <c r="R348" i="1" s="1"/>
  <c r="J348" i="1"/>
  <c r="C348" i="1" l="1"/>
  <c r="D348" i="1"/>
  <c r="O348" i="1" s="1"/>
  <c r="Q348" i="1" s="1"/>
  <c r="S348" i="1"/>
  <c r="AD348" i="1" s="1"/>
  <c r="U349" i="1" l="1"/>
  <c r="V349" i="1" s="1" a="1"/>
  <c r="V349" i="1" s="1"/>
  <c r="AC348" i="1"/>
  <c r="N348" i="1"/>
  <c r="AB348" i="1" s="1"/>
  <c r="AQ348" i="1"/>
  <c r="AR348" i="1"/>
  <c r="AE348" i="1" l="1"/>
  <c r="AI349" i="1"/>
  <c r="AJ349" i="1" s="1" a="1"/>
  <c r="AJ349" i="1" s="1"/>
  <c r="AF348" i="1"/>
  <c r="AP348" i="1"/>
  <c r="AT348" i="1" s="1"/>
  <c r="P348" i="1"/>
  <c r="AG348" i="1" l="1"/>
  <c r="AH348" i="1" s="1"/>
  <c r="AS348" i="1"/>
  <c r="AU348" i="1" l="1"/>
  <c r="AV348" i="1" s="1"/>
  <c r="F348" i="1" s="1"/>
  <c r="I348" i="1" s="1"/>
  <c r="K348" i="1" l="1"/>
  <c r="L348" i="1" s="1"/>
  <c r="M348" i="1" s="1"/>
  <c r="H348" i="1" s="1"/>
  <c r="E349" i="1" s="1"/>
  <c r="D349" i="1" s="1"/>
  <c r="J349" i="1"/>
  <c r="C349" i="1" l="1"/>
  <c r="U350" i="1" s="1"/>
  <c r="V350" i="1" s="1" a="1"/>
  <c r="V350" i="1" s="1"/>
  <c r="S349" i="1"/>
  <c r="R349" i="1"/>
  <c r="O349" i="1" s="1"/>
  <c r="AC349" i="1" s="1"/>
  <c r="N349" i="1" l="1"/>
  <c r="P349" i="1" s="1"/>
  <c r="AI350" i="1"/>
  <c r="AJ350" i="1" s="1" a="1"/>
  <c r="AJ350" i="1" s="1"/>
  <c r="AQ349" i="1"/>
  <c r="Q349" i="1"/>
  <c r="AD349" i="1"/>
  <c r="AR349" i="1"/>
  <c r="AB349" i="1" l="1"/>
  <c r="AE349" i="1" s="1"/>
  <c r="AP349" i="1"/>
  <c r="AS349" i="1" s="1"/>
  <c r="AF349" i="1" l="1"/>
  <c r="AT349" i="1"/>
  <c r="AG349" i="1" l="1"/>
  <c r="AH349" i="1" s="1"/>
  <c r="AU349" i="1"/>
  <c r="AV349" i="1" s="1"/>
  <c r="F349" i="1" l="1"/>
  <c r="J350" i="1" s="1"/>
  <c r="K349" i="1" l="1"/>
  <c r="L349" i="1" s="1"/>
  <c r="I349" i="1"/>
  <c r="M349" i="1" l="1"/>
  <c r="H349" i="1" s="1"/>
  <c r="E350" i="1" s="1"/>
  <c r="R350" i="1" s="1"/>
  <c r="C350" i="1" l="1"/>
  <c r="D350" i="1"/>
  <c r="O350" i="1" s="1"/>
  <c r="AQ350" i="1" s="1"/>
  <c r="S350" i="1"/>
  <c r="AR350" i="1" s="1"/>
  <c r="N350" i="1" l="1"/>
  <c r="P350" i="1" s="1"/>
  <c r="U351" i="1"/>
  <c r="V351" i="1" s="1" a="1"/>
  <c r="V351" i="1" s="1"/>
  <c r="AC350" i="1"/>
  <c r="Q350" i="1"/>
  <c r="AD350" i="1"/>
  <c r="AB350" i="1" l="1"/>
  <c r="AF350" i="1" s="1"/>
  <c r="AP350" i="1"/>
  <c r="AT350" i="1" s="1"/>
  <c r="AI351" i="1"/>
  <c r="AJ351" i="1" s="1" a="1"/>
  <c r="AJ351" i="1" s="1"/>
  <c r="AE350" i="1" l="1"/>
  <c r="AS350" i="1"/>
  <c r="AU350" i="1" s="1"/>
  <c r="AV350" i="1" s="1"/>
  <c r="AG350" i="1"/>
  <c r="AH350" i="1" s="1"/>
  <c r="F350" i="1" l="1"/>
  <c r="J351" i="1" s="1"/>
  <c r="K350" i="1" l="1"/>
  <c r="L350" i="1" s="1"/>
  <c r="I350" i="1"/>
  <c r="M350" i="1" l="1"/>
  <c r="H350" i="1" s="1"/>
  <c r="E351" i="1" s="1"/>
  <c r="S351" i="1" s="1"/>
  <c r="C351" i="1" l="1"/>
  <c r="N351" i="1" s="1"/>
  <c r="AB351" i="1" s="1"/>
  <c r="R351" i="1"/>
  <c r="AD351" i="1" s="1"/>
  <c r="D351" i="1"/>
  <c r="U352" i="1" l="1"/>
  <c r="AI352" i="1" s="1"/>
  <c r="AJ352" i="1" s="1" a="1"/>
  <c r="AJ352" i="1" s="1"/>
  <c r="P351" i="1"/>
  <c r="AP351" i="1"/>
  <c r="O351" i="1"/>
  <c r="Q351" i="1" s="1"/>
  <c r="AR351" i="1"/>
  <c r="V352" i="1" l="1" a="1"/>
  <c r="V352" i="1" s="1"/>
  <c r="AQ351" i="1"/>
  <c r="AS351" i="1" s="1"/>
  <c r="AC351" i="1"/>
  <c r="AF351" i="1" s="1"/>
  <c r="AE351" i="1" l="1"/>
  <c r="AG351" i="1" s="1"/>
  <c r="AH351" i="1" s="1"/>
  <c r="AT351" i="1"/>
  <c r="AU351" i="1" s="1"/>
  <c r="AV351" i="1" s="1"/>
  <c r="F351" i="1" l="1"/>
  <c r="K351" i="1" s="1"/>
  <c r="L351" i="1" s="1"/>
  <c r="J352" i="1" l="1"/>
  <c r="I351" i="1"/>
  <c r="M351" i="1" s="1"/>
  <c r="H351" i="1" s="1"/>
  <c r="E352" i="1" s="1"/>
  <c r="C352" i="1" s="1"/>
  <c r="R352" i="1" l="1"/>
  <c r="S352" i="1"/>
  <c r="N352" i="1" s="1"/>
  <c r="P352" i="1" s="1"/>
  <c r="D352" i="1"/>
  <c r="O352" i="1" l="1"/>
  <c r="Q352" i="1" s="1"/>
  <c r="AP352" i="1"/>
  <c r="AD352" i="1"/>
  <c r="AB352" i="1"/>
  <c r="AR352" i="1"/>
  <c r="AC352" i="1" l="1"/>
  <c r="AF352" i="1" s="1"/>
  <c r="AQ352" i="1"/>
  <c r="AT352" i="1" s="1"/>
  <c r="AS352" i="1" l="1"/>
  <c r="AU352" i="1" s="1"/>
  <c r="AV352" i="1" s="1"/>
  <c r="AE352" i="1"/>
  <c r="AG352" i="1" s="1"/>
  <c r="AH352" i="1" s="1"/>
  <c r="F352" i="1" l="1"/>
  <c r="I352" i="1" s="1"/>
  <c r="K352" i="1" l="1"/>
  <c r="L352" i="1" s="1"/>
  <c r="M352" i="1" s="1"/>
  <c r="H352" i="1" s="1"/>
  <c r="A14" i="4" s="1" a="1"/>
  <c r="P2" i="4" l="1" a="1"/>
  <c r="P2" i="4" s="1"/>
  <c r="P1" i="4" a="1"/>
  <c r="P1" i="4" s="1"/>
  <c r="A14" i="4"/>
  <c r="N2" i="4"/>
  <c r="L2" i="4" a="1"/>
  <c r="L2" i="4" s="1"/>
  <c r="L1" i="4" a="1"/>
  <c r="L1" i="4" s="1"/>
  <c r="M1" i="4" s="1"/>
  <c r="B12" i="2" l="1"/>
  <c r="N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<sst xmlns="http://schemas.openxmlformats.org/spreadsheetml/2006/main" count="170" uniqueCount="108">
  <si>
    <t>p</t>
  </si>
  <si>
    <t>i</t>
  </si>
  <si>
    <t>d</t>
  </si>
  <si>
    <t>Kp</t>
  </si>
  <si>
    <t>Ki</t>
  </si>
  <si>
    <t>Kd</t>
  </si>
  <si>
    <t>d_cap</t>
  </si>
  <si>
    <t>D_cap</t>
  </si>
  <si>
    <t>sin_angle</t>
  </si>
  <si>
    <t>cos_angle</t>
  </si>
  <si>
    <t>x1</t>
  </si>
  <si>
    <t>y1</t>
  </si>
  <si>
    <t>x2</t>
  </si>
  <si>
    <t>y2</t>
  </si>
  <si>
    <t>surfaceid</t>
  </si>
  <si>
    <t>id</t>
  </si>
  <si>
    <t>x1mod</t>
  </si>
  <si>
    <t>y1mod</t>
  </si>
  <si>
    <t>dx_seg</t>
  </si>
  <si>
    <t>dy_seg</t>
  </si>
  <si>
    <t>denom</t>
  </si>
  <si>
    <t>t</t>
  </si>
  <si>
    <t>u</t>
  </si>
  <si>
    <t>bem x example</t>
  </si>
  <si>
    <t>bem y example</t>
  </si>
  <si>
    <t>distance Surface1</t>
  </si>
  <si>
    <t>surface2id</t>
  </si>
  <si>
    <t>Surfaces</t>
  </si>
  <si>
    <t>distance Surface2</t>
  </si>
  <si>
    <t>Select Row</t>
  </si>
  <si>
    <t>RowData:</t>
  </si>
  <si>
    <t>usrot [rad]</t>
  </si>
  <si>
    <t>usNoTarget [mm]</t>
  </si>
  <si>
    <t>usFrontD [mm]</t>
  </si>
  <si>
    <t>us distance [mm]</t>
  </si>
  <si>
    <t>x robo [mm]</t>
  </si>
  <si>
    <t>y robo [mm]</t>
  </si>
  <si>
    <t>dt [s]</t>
  </si>
  <si>
    <t>Time [s]</t>
  </si>
  <si>
    <t>speed [mm/s]</t>
  </si>
  <si>
    <t>PID Result</t>
  </si>
  <si>
    <t>beam start x [mm]</t>
  </si>
  <si>
    <t>beam start y [mm]</t>
  </si>
  <si>
    <t>bis</t>
  </si>
  <si>
    <t>new heading [rad]</t>
  </si>
  <si>
    <t>rotation [rat/s]</t>
  </si>
  <si>
    <t>Ksoll</t>
  </si>
  <si>
    <t>Robo Pos:</t>
  </si>
  <si>
    <t>Data</t>
  </si>
  <si>
    <t>Robopos:</t>
  </si>
  <si>
    <t>Standartabwichung:</t>
  </si>
  <si>
    <t>Durchsnitt:</t>
  </si>
  <si>
    <t>Bewertung:</t>
  </si>
  <si>
    <t>DT</t>
  </si>
  <si>
    <t>Does Intercept</t>
  </si>
  <si>
    <t>Display Calculations</t>
  </si>
  <si>
    <t>S1 InterxepX</t>
  </si>
  <si>
    <t>S1 InterxepY</t>
  </si>
  <si>
    <t>S2 InterxepX</t>
  </si>
  <si>
    <t>S2 InterxepY</t>
  </si>
  <si>
    <t>Alle Paths</t>
  </si>
  <si>
    <t>Microsoft Excel 16.0 Antwortbericht</t>
  </si>
  <si>
    <t>Arbeitsblatt: [roborace24v6.xlsm]Konst</t>
  </si>
  <si>
    <t>Bericht erstellt: 12.11.2024 10:23:05</t>
  </si>
  <si>
    <t>Ergebnis: Solver kann die aktuelle Lösung nicht verbessern. Alle Nebenbedingungen wurden eingehalten.</t>
  </si>
  <si>
    <t>Solver-Modul</t>
  </si>
  <si>
    <t>Modul: EA (Evolutionärer Algorithmus)</t>
  </si>
  <si>
    <t>Lösungszeit: 57.172 Sekunden</t>
  </si>
  <si>
    <t>Iterationen: 0 Teilprobleme: 186</t>
  </si>
  <si>
    <t>Solver-Optionen</t>
  </si>
  <si>
    <t>Höchstzeit Unbegrenzt,  Iterationen Unbegrenzt, Precision 0.000001, Automatische Skalierung verwenden</t>
  </si>
  <si>
    <t xml:space="preserve"> Konvergenz 0.0001, Größe der Grundgesamtheit 100, Zufälliger Ausgangswert 0, Mutationsrate 0.075, Zeit ohne Verbesserung 30 Sek., Grenzwerte vorschreiben</t>
  </si>
  <si>
    <t>Höchstzahl der Teilprobleme Unbegrenzt, Max. Ganzzahllösungen Unbegrenzt, Ganzzahltoleranz 1%, Nicht-negativ annehmen</t>
  </si>
  <si>
    <t>Zielzelle (Min.)</t>
  </si>
  <si>
    <t>Zelle</t>
  </si>
  <si>
    <t>Name</t>
  </si>
  <si>
    <t>Ursprünglicher Wert</t>
  </si>
  <si>
    <t>Lösungswert</t>
  </si>
  <si>
    <t>Variablenzellen</t>
  </si>
  <si>
    <t>Integer</t>
  </si>
  <si>
    <t>Nebenbedingungen</t>
  </si>
  <si>
    <t>Zellwert</t>
  </si>
  <si>
    <t>Formel</t>
  </si>
  <si>
    <t>Status</t>
  </si>
  <si>
    <t>Puffer</t>
  </si>
  <si>
    <t>$B$12</t>
  </si>
  <si>
    <t>$B$3</t>
  </si>
  <si>
    <t>Fortlaufend</t>
  </si>
  <si>
    <t>$B$4</t>
  </si>
  <si>
    <t>$B$5</t>
  </si>
  <si>
    <t>$B$5&lt;=100</t>
  </si>
  <si>
    <t>Nicht einschränkend</t>
  </si>
  <si>
    <t>$B$5&gt;=0</t>
  </si>
  <si>
    <t>Einschränkend</t>
  </si>
  <si>
    <t>$B$4&lt;=100</t>
  </si>
  <si>
    <t>$B$4&gt;=0</t>
  </si>
  <si>
    <t>$B$3&lt;=100</t>
  </si>
  <si>
    <t>$B$3&gt;=0</t>
  </si>
  <si>
    <t>Microsoft Excel 16.0 Grundgesamtheits-Bericht</t>
  </si>
  <si>
    <t>Bericht erstellt: 12.11.2024 10:23:06</t>
  </si>
  <si>
    <t>Optimum</t>
  </si>
  <si>
    <t>Endwert</t>
  </si>
  <si>
    <t>Durchschnitt</t>
  </si>
  <si>
    <t>Standard</t>
  </si>
  <si>
    <t>Abweichung</t>
  </si>
  <si>
    <t>Maximum</t>
  </si>
  <si>
    <t>Minimum</t>
  </si>
  <si>
    <t>NONE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</si>
</sst>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43" fontId="3" fillId="0" borderId="0" applyFont="0" applyFill="0" applyBorder="0" applyAlignment="0" applyProtection="0"/>
  </cellStyleXfs>
  <cellXfs count="20">
    <xf numFmtId="0" fontId="0" fillId="0" borderId="0" xfId="0"/>
    <xf numFmtId="0" fontId="1" fillId="2" borderId="1" xfId="1"/>
    <xf numFmtId="0" fontId="0" fillId="0" borderId="0" xfId="0" applyAlignment="1"/>
    <xf numFmtId="0" fontId="0" fillId="4" borderId="0" xfId="0" applyFill="1" applyAlignment="1"/>
    <xf numFmtId="0" fontId="0" fillId="5" borderId="0" xfId="0" applyFill="1" applyAlignment="1"/>
    <xf numFmtId="0" fontId="2" fillId="3" borderId="1" xfId="2"/>
    <xf numFmtId="0" fontId="0" fillId="6" borderId="0" xfId="0" applyFill="1"/>
    <xf numFmtId="0" fontId="0" fillId="0" borderId="0" xfId="0" applyAlignment="1">
      <alignment horizontal="center"/>
    </xf>
    <xf numFmtId="43" fontId="0" fillId="0" borderId="0" xfId="3" applyFont="1"/>
    <xf numFmtId="16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/>
    <xf numFmtId="0" fontId="0" fillId="0" borderId="5" xfId="0" applyFill="1" applyBorder="1" applyAlignment="1"/>
    <xf numFmtId="0" fontId="5" fillId="0" borderId="4" xfId="0" applyFont="1" applyFill="1" applyBorder="1" applyAlignment="1">
      <alignment horizontal="center"/>
    </xf>
    <xf numFmtId="0" fontId="0" fillId="0" borderId="6" xfId="0" applyFill="1" applyBorder="1" applyAlignment="1"/>
    <xf numFmtId="164" fontId="0" fillId="0" borderId="5" xfId="0" applyNumberFormat="1" applyFill="1" applyBorder="1" applyAlignment="1"/>
    <xf numFmtId="0" fontId="0" fillId="0" borderId="6" xfId="0" applyNumberFormat="1" applyFill="1" applyBorder="1" applyAlignment="1"/>
    <xf numFmtId="0" fontId="0" fillId="0" borderId="5" xfId="0" applyNumberFormat="1" applyFill="1" applyBorder="1" applyAlignment="1"/>
    <xf numFmtId="0" fontId="5" fillId="0" borderId="2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</cellXfs>
  <cellStyles count="4">
    <cellStyle name="Berechnung" xfId="2" builtinId="22"/>
    <cellStyle name="Eingabe" xfId="1" builtinId="20"/>
    <cellStyle name="Komma" xfId="3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5"/>
          <c:order val="0"/>
          <c:tx>
            <c:v>ROBO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triangle"/>
            <c:size val="11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Display!$C$11</c:f>
              <c:numCache>
                <c:formatCode>General</c:formatCode>
                <c:ptCount val="1"/>
                <c:pt idx="0">
                  <c:v>-438.98416768626538</c:v>
                </c:pt>
              </c:numCache>
            </c:numRef>
          </c:xVal>
          <c:yVal>
            <c:numRef>
              <c:f>Display!$D$11</c:f>
              <c:numCache>
                <c:formatCode>General</c:formatCode>
                <c:ptCount val="1"/>
                <c:pt idx="0">
                  <c:v>321.04356723426923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2D-4565-B2E0-329E4694D85B}"/>
            </c:ext>
          </c:extLst>
        </c:ser>
        <c:ser>
          <c:idx val="6"/>
          <c:order val="1"/>
          <c:tx>
            <c:v>US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(Display!$N$11,Display!$P$11)</c:f>
              <c:numCache>
                <c:formatCode>General</c:formatCode>
                <c:ptCount val="2"/>
                <c:pt idx="0">
                  <c:v>-436.20163285482147</c:v>
                </c:pt>
                <c:pt idx="1">
                  <c:v>-408.37628454038213</c:v>
                </c:pt>
              </c:numCache>
            </c:numRef>
          </c:xVal>
          <c:yVal>
            <c:numRef>
              <c:f>(Display!$O$11,Display!$Q$11)</c:f>
              <c:numCache>
                <c:formatCode>General</c:formatCode>
                <c:ptCount val="2"/>
                <c:pt idx="0">
                  <c:v>330.64864401229664</c:v>
                </c:pt>
                <c:pt idx="1">
                  <c:v>426.69941179257069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2D-4565-B2E0-329E4694D85B}"/>
            </c:ext>
          </c:extLst>
        </c:ser>
        <c:ser>
          <c:idx val="7"/>
          <c:order val="2"/>
          <c:tx>
            <c:v>Surface1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(Display!$V$11,Display!$X$11)</c:f>
              <c:numCache>
                <c:formatCode>General</c:formatCode>
                <c:ptCount val="2"/>
                <c:pt idx="0">
                  <c:v>0</c:v>
                </c:pt>
                <c:pt idx="1">
                  <c:v>-500</c:v>
                </c:pt>
              </c:numCache>
            </c:numRef>
          </c:xVal>
          <c:yVal>
            <c:numRef>
              <c:f>(Display!$W$11,Display!$Y$11)</c:f>
              <c:numCache>
                <c:formatCode>General</c:formatCode>
                <c:ptCount val="2"/>
                <c:pt idx="0">
                  <c:v>100</c:v>
                </c:pt>
                <c:pt idx="1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AC-4710-A88A-2D887E8CD63F}"/>
            </c:ext>
          </c:extLst>
        </c:ser>
        <c:ser>
          <c:idx val="2"/>
          <c:order val="3"/>
          <c:tx>
            <c:v>Interxept1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star"/>
            <c:size val="15"/>
            <c:spPr>
              <a:noFill/>
              <a:ln w="31750">
                <a:solidFill>
                  <a:srgbClr val="FF0000"/>
                </a:solidFill>
              </a:ln>
              <a:effectLst/>
            </c:spPr>
          </c:marker>
          <c:xVal>
            <c:numRef>
              <c:f>Display!$A$5</c:f>
              <c:numCache>
                <c:formatCode>General</c:formatCode>
                <c:ptCount val="1"/>
                <c:pt idx="0">
                  <c:v>-408.37590451413092</c:v>
                </c:pt>
              </c:numCache>
            </c:numRef>
          </c:xVal>
          <c:yVal>
            <c:numRef>
              <c:f>Display!$B$5</c:f>
              <c:numCache>
                <c:formatCode>General</c:formatCode>
                <c:ptCount val="1"/>
                <c:pt idx="0">
                  <c:v>426.70072361130474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B2D-4565-B2E0-329E4694D85B}"/>
            </c:ext>
          </c:extLst>
        </c:ser>
        <c:ser>
          <c:idx val="1"/>
          <c:order val="4"/>
          <c:tx>
            <c:v>Surface2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(Display!$AJ$11,Display!$AL$11)</c:f>
              <c:numCache>
                <c:formatCode>General</c:formatCode>
                <c:ptCount val="2"/>
                <c:pt idx="0">
                  <c:v>-500</c:v>
                </c:pt>
                <c:pt idx="1">
                  <c:v>-500</c:v>
                </c:pt>
              </c:numCache>
            </c:numRef>
          </c:xVal>
          <c:yVal>
            <c:numRef>
              <c:f>(Display!$AK$11,Display!$AM$11)</c:f>
              <c:numCache>
                <c:formatCode>General</c:formatCode>
                <c:ptCount val="2"/>
                <c:pt idx="0">
                  <c:v>500</c:v>
                </c:pt>
                <c:pt idx="1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B2D-4565-B2E0-329E4694D85B}"/>
            </c:ext>
          </c:extLst>
        </c:ser>
        <c:ser>
          <c:idx val="3"/>
          <c:order val="5"/>
          <c:tx>
            <c:v>Intersept2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star"/>
            <c:size val="13"/>
            <c:spPr>
              <a:noFill/>
              <a:ln w="31750">
                <a:solidFill>
                  <a:srgbClr val="FF0000"/>
                </a:solidFill>
              </a:ln>
              <a:effectLst/>
            </c:spPr>
          </c:marker>
          <c:xVal>
            <c:strRef>
              <c:f>Display!$C$5</c:f>
              <c:strCache>
                <c:ptCount val="1"/>
                <c:pt idx="0">
                  <c:v>no</c:v>
                </c:pt>
              </c:strCache>
            </c:strRef>
          </c:xVal>
          <c:yVal>
            <c:numRef>
              <c:f>Display!$D$5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B2D-4565-B2E0-329E4694D85B}"/>
            </c:ext>
          </c:extLst>
        </c:ser>
        <c:ser>
          <c:idx val="4"/>
          <c:order val="6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Display!$C$14:$C$507</c:f>
              <c:numCache>
                <c:formatCode>General</c:formatCode>
                <c:ptCount val="494"/>
                <c:pt idx="0">
                  <c:v>-110</c:v>
                </c:pt>
                <c:pt idx="1">
                  <c:v>-109.20991596637195</c:v>
                </c:pt>
                <c:pt idx="2">
                  <c:v>-108.00224902196395</c:v>
                </c:pt>
                <c:pt idx="3">
                  <c:v>-106.61174462546073</c:v>
                </c:pt>
                <c:pt idx="4">
                  <c:v>-105.21062597866003</c:v>
                </c:pt>
                <c:pt idx="5">
                  <c:v>-103.9266389919795</c:v>
                </c:pt>
                <c:pt idx="6">
                  <c:v>-102.8458602704888</c:v>
                </c:pt>
                <c:pt idx="7">
                  <c:v>-102.01261132799297</c:v>
                </c:pt>
                <c:pt idx="8">
                  <c:v>-101.43233399821504</c:v>
                </c:pt>
                <c:pt idx="9">
                  <c:v>-101.07962806475651</c:v>
                </c:pt>
                <c:pt idx="10">
                  <c:v>-100.91024011833534</c:v>
                </c:pt>
                <c:pt idx="11">
                  <c:v>-100.87358496857905</c:v>
                </c:pt>
                <c:pt idx="12">
                  <c:v>-100.98868573964647</c:v>
                </c:pt>
                <c:pt idx="13">
                  <c:v>-102.09707025810521</c:v>
                </c:pt>
                <c:pt idx="14">
                  <c:v>-105.21439317580621</c:v>
                </c:pt>
                <c:pt idx="15">
                  <c:v>-110.99672852247286</c:v>
                </c:pt>
                <c:pt idx="16">
                  <c:v>-119.11683432154697</c:v>
                </c:pt>
                <c:pt idx="17">
                  <c:v>-128.47473439503156</c:v>
                </c:pt>
                <c:pt idx="18">
                  <c:v>-138.12891825150592</c:v>
                </c:pt>
                <c:pt idx="19">
                  <c:v>-147.68303404662703</c:v>
                </c:pt>
                <c:pt idx="20">
                  <c:v>-157.09404166820451</c:v>
                </c:pt>
                <c:pt idx="21">
                  <c:v>-166.35548218489808</c:v>
                </c:pt>
                <c:pt idx="22">
                  <c:v>-175.46314066864724</c:v>
                </c:pt>
                <c:pt idx="23">
                  <c:v>-184.41638879334494</c:v>
                </c:pt>
                <c:pt idx="24">
                  <c:v>-193.21794330755094</c:v>
                </c:pt>
                <c:pt idx="25">
                  <c:v>-201.87352772279988</c:v>
                </c:pt>
                <c:pt idx="26">
                  <c:v>-210.39147156314195</c:v>
                </c:pt>
                <c:pt idx="27">
                  <c:v>-218.78225412022712</c:v>
                </c:pt>
                <c:pt idx="28">
                  <c:v>-227.05800182821156</c:v>
                </c:pt>
                <c:pt idx="29">
                  <c:v>-235.23195353505815</c:v>
                </c:pt>
                <c:pt idx="30">
                  <c:v>-243.31791351570655</c:v>
                </c:pt>
                <c:pt idx="31">
                  <c:v>-251.3297168499642</c:v>
                </c:pt>
                <c:pt idx="32">
                  <c:v>-259.28073460278847</c:v>
                </c:pt>
                <c:pt idx="33">
                  <c:v>-267.18344604558422</c:v>
                </c:pt>
                <c:pt idx="34">
                  <c:v>-275.04910131926391</c:v>
                </c:pt>
                <c:pt idx="35">
                  <c:v>-282.88749055692716</c:v>
                </c:pt>
                <c:pt idx="36">
                  <c:v>-290.7068254956784</c:v>
                </c:pt>
                <c:pt idx="37">
                  <c:v>-298.51372865984428</c:v>
                </c:pt>
                <c:pt idx="38">
                  <c:v>-306.31331524496221</c:v>
                </c:pt>
                <c:pt idx="39">
                  <c:v>-314.10934559917604</c:v>
                </c:pt>
                <c:pt idx="40">
                  <c:v>-321.90442271744394</c:v>
                </c:pt>
                <c:pt idx="41">
                  <c:v>-329.70020954874934</c:v>
                </c:pt>
                <c:pt idx="42">
                  <c:v>-337.49764445176362</c:v>
                </c:pt>
                <c:pt idx="43">
                  <c:v>-345.29713859929109</c:v>
                </c:pt>
                <c:pt idx="44">
                  <c:v>-353.09874520657627</c:v>
                </c:pt>
                <c:pt idx="45">
                  <c:v>-360.90229605803069</c:v>
                </c:pt>
                <c:pt idx="46">
                  <c:v>-368.70750525453832</c:v>
                </c:pt>
                <c:pt idx="47">
                  <c:v>-376.51404314297264</c:v>
                </c:pt>
                <c:pt idx="48">
                  <c:v>-384.32158508871981</c:v>
                </c:pt>
                <c:pt idx="49">
                  <c:v>-392.12984036718871</c:v>
                </c:pt>
                <c:pt idx="50">
                  <c:v>-399.93856630399824</c:v>
                </c:pt>
                <c:pt idx="51">
                  <c:v>-407.74757219048911</c:v>
                </c:pt>
                <c:pt idx="52">
                  <c:v>-415.55671668539509</c:v>
                </c:pt>
                <c:pt idx="53">
                  <c:v>-423.36590155642125</c:v>
                </c:pt>
                <c:pt idx="54">
                  <c:v>-431.1750638228188</c:v>
                </c:pt>
                <c:pt idx="55">
                  <c:v>-438.98416768626538</c:v>
                </c:pt>
                <c:pt idx="56">
                  <c:v>-446.79319710128539</c:v>
                </c:pt>
                <c:pt idx="57">
                  <c:v>-454.60214943464956</c:v>
                </c:pt>
                <c:pt idx="58">
                  <c:v>-462.41103038007134</c:v>
                </c:pt>
                <c:pt idx="59">
                  <c:v>-470.21985010918024</c:v>
                </c:pt>
                <c:pt idx="60">
                  <c:v>-478.02862053040803</c:v>
                </c:pt>
                <c:pt idx="61">
                  <c:v>-485.83735347388972</c:v>
                </c:pt>
                <c:pt idx="62">
                  <c:v>-493.64605960546191</c:v>
                </c:pt>
                <c:pt idx="63">
                  <c:v>-501.45474788237141</c:v>
                </c:pt>
                <c:pt idx="64">
                  <c:v>-509.26342538670531</c:v>
                </c:pt>
                <c:pt idx="65">
                  <c:v>-517.07209740210749</c:v>
                </c:pt>
                <c:pt idx="66">
                  <c:v>-524.88076762982405</c:v>
                </c:pt>
                <c:pt idx="67">
                  <c:v>-532.68943846829166</c:v>
                </c:pt>
                <c:pt idx="68">
                  <c:v>-540.07560303394621</c:v>
                </c:pt>
                <c:pt idx="69">
                  <c:v>-546.9851601109475</c:v>
                </c:pt>
                <c:pt idx="70">
                  <c:v>-553.47658109081533</c:v>
                </c:pt>
                <c:pt idx="71">
                  <c:v>-559.44264932029523</c:v>
                </c:pt>
                <c:pt idx="72">
                  <c:v>-564.99195935162743</c:v>
                </c:pt>
                <c:pt idx="73">
                  <c:v>-570.03451260595421</c:v>
                </c:pt>
                <c:pt idx="74">
                  <c:v>-574.63462632349206</c:v>
                </c:pt>
                <c:pt idx="75">
                  <c:v>-578.77638374504852</c:v>
                </c:pt>
                <c:pt idx="76">
                  <c:v>-582.48171829091939</c:v>
                </c:pt>
                <c:pt idx="77">
                  <c:v>-585.7663105090935</c:v>
                </c:pt>
                <c:pt idx="78">
                  <c:v>-588.65033823044496</c:v>
                </c:pt>
                <c:pt idx="79">
                  <c:v>-591.15644369600591</c:v>
                </c:pt>
                <c:pt idx="80">
                  <c:v>-593.30947003390634</c:v>
                </c:pt>
                <c:pt idx="81">
                  <c:v>-595.13606894111263</c:v>
                </c:pt>
                <c:pt idx="82">
                  <c:v>-596.66427904890463</c:v>
                </c:pt>
                <c:pt idx="83">
                  <c:v>-597.92307566931891</c:v>
                </c:pt>
                <c:pt idx="84">
                  <c:v>-598.94189367214472</c:v>
                </c:pt>
                <c:pt idx="85">
                  <c:v>-599.75012866280213</c:v>
                </c:pt>
                <c:pt idx="86">
                  <c:v>-600.37662614300041</c:v>
                </c:pt>
                <c:pt idx="87">
                  <c:v>-600.84917349571867</c:v>
                </c:pt>
                <c:pt idx="88">
                  <c:v>-601.19401472569552</c:v>
                </c:pt>
                <c:pt idx="89">
                  <c:v>-601.43541187656888</c:v>
                </c:pt>
                <c:pt idx="90">
                  <c:v>-601.59527874428761</c:v>
                </c:pt>
                <c:pt idx="91">
                  <c:v>-601.69291085459179</c:v>
                </c:pt>
                <c:pt idx="92">
                  <c:v>-601.74483012254143</c:v>
                </c:pt>
                <c:pt idx="93">
                  <c:v>-601.76475345811514</c:v>
                </c:pt>
                <c:pt idx="94">
                  <c:v>-601.76368307844928</c:v>
                </c:pt>
                <c:pt idx="95">
                  <c:v>-601.75010444398106</c:v>
                </c:pt>
                <c:pt idx="96">
                  <c:v>-601.7302678033144</c:v>
                </c:pt>
                <c:pt idx="97">
                  <c:v>-601.70852315176785</c:v>
                </c:pt>
                <c:pt idx="98">
                  <c:v>-601.68767688528305</c:v>
                </c:pt>
                <c:pt idx="99">
                  <c:v>-601.66934133558402</c:v>
                </c:pt>
                <c:pt idx="100">
                  <c:v>-601.65425453537409</c:v>
                </c:pt>
                <c:pt idx="101">
                  <c:v>-601.64255533706591</c:v>
                </c:pt>
                <c:pt idx="102">
                  <c:v>-601.63400678523215</c:v>
                </c:pt>
                <c:pt idx="103">
                  <c:v>-601.62816722672085</c:v>
                </c:pt>
                <c:pt idx="104">
                  <c:v>-601.62451340679797</c:v>
                </c:pt>
                <c:pt idx="105">
                  <c:v>-601.6225226398177</c:v>
                </c:pt>
                <c:pt idx="106">
                  <c:v>-601.62172231354418</c:v>
                </c:pt>
                <c:pt idx="107">
                  <c:v>-601.62171491653169</c:v>
                </c:pt>
                <c:pt idx="108">
                  <c:v>-601.62218592261581</c:v>
                </c:pt>
                <c:pt idx="109">
                  <c:v>-601.62290061549459</c:v>
                </c:pt>
                <c:pt idx="110">
                  <c:v>-601.62369457759257</c:v>
                </c:pt>
                <c:pt idx="111">
                  <c:v>-601.62446128626789</c:v>
                </c:pt>
                <c:pt idx="112">
                  <c:v>-601.62513915739942</c:v>
                </c:pt>
                <c:pt idx="113">
                  <c:v>-601.62569949057809</c:v>
                </c:pt>
                <c:pt idx="114">
                  <c:v>-601.62613610111202</c:v>
                </c:pt>
                <c:pt idx="115">
                  <c:v>-601.6264569491417</c:v>
                </c:pt>
                <c:pt idx="116">
                  <c:v>-601.62667776252454</c:v>
                </c:pt>
                <c:pt idx="117">
                  <c:v>-601.62681746260466</c:v>
                </c:pt>
                <c:pt idx="118">
                  <c:v>-601.62689510756809</c:v>
                </c:pt>
                <c:pt idx="119">
                  <c:v>-601.62692803833977</c:v>
                </c:pt>
                <c:pt idx="120">
                  <c:v>-601.62693092383245</c:v>
                </c:pt>
                <c:pt idx="121">
                  <c:v>-601.6269154380808</c:v>
                </c:pt>
                <c:pt idx="122">
                  <c:v>-601.62689034852212</c:v>
                </c:pt>
                <c:pt idx="123">
                  <c:v>-601.62686184363974</c:v>
                </c:pt>
                <c:pt idx="124">
                  <c:v>-601.62683397388219</c:v>
                </c:pt>
                <c:pt idx="125">
                  <c:v>-601.62680911919313</c:v>
                </c:pt>
                <c:pt idx="126">
                  <c:v>-601.62678842842638</c:v>
                </c:pt>
                <c:pt idx="127">
                  <c:v>-606.62680634714536</c:v>
                </c:pt>
                <c:pt idx="128">
                  <c:v>-597.96654196393627</c:v>
                </c:pt>
                <c:pt idx="129">
                  <c:v>-588.77916193198678</c:v>
                </c:pt>
                <c:pt idx="130">
                  <c:v>-579.18088213148758</c:v>
                </c:pt>
                <c:pt idx="131">
                  <c:v>-569.28080400469071</c:v>
                </c:pt>
                <c:pt idx="132">
                  <c:v>-559.31781300244495</c:v>
                </c:pt>
                <c:pt idx="133">
                  <c:v>-552.65067429451199</c:v>
                </c:pt>
                <c:pt idx="134">
                  <c:v>-554.69801694036209</c:v>
                </c:pt>
                <c:pt idx="135">
                  <c:v>-557.81905416517964</c:v>
                </c:pt>
                <c:pt idx="136">
                  <c:v>-550.36591647363161</c:v>
                </c:pt>
                <c:pt idx="137">
                  <c:v>-546.7609981187328</c:v>
                </c:pt>
                <c:pt idx="138">
                  <c:v>-548.58033554758038</c:v>
                </c:pt>
                <c:pt idx="139">
                  <c:v>-551.92129707496315</c:v>
                </c:pt>
                <c:pt idx="140">
                  <c:v>-544.31524453455563</c:v>
                </c:pt>
                <c:pt idx="141">
                  <c:v>-540.99535254410125</c:v>
                </c:pt>
                <c:pt idx="142">
                  <c:v>-543.59745295483594</c:v>
                </c:pt>
                <c:pt idx="143">
                  <c:v>-546.17172807672023</c:v>
                </c:pt>
                <c:pt idx="144">
                  <c:v>-539.11085236222141</c:v>
                </c:pt>
                <c:pt idx="145">
                  <c:v>-537.19051125858255</c:v>
                </c:pt>
                <c:pt idx="146">
                  <c:v>-543.76051669646597</c:v>
                </c:pt>
                <c:pt idx="147">
                  <c:v>-534.30127457568892</c:v>
                </c:pt>
                <c:pt idx="148">
                  <c:v>-527.61111399143692</c:v>
                </c:pt>
                <c:pt idx="149">
                  <c:v>-525.54485719799698</c:v>
                </c:pt>
                <c:pt idx="150">
                  <c:v>-532.22638840973832</c:v>
                </c:pt>
                <c:pt idx="151">
                  <c:v>-522.71989367208471</c:v>
                </c:pt>
                <c:pt idx="152">
                  <c:v>-517.07173440301256</c:v>
                </c:pt>
                <c:pt idx="153">
                  <c:v>-509.08377260003476</c:v>
                </c:pt>
                <c:pt idx="154">
                  <c:v>-503.51898189116258</c:v>
                </c:pt>
                <c:pt idx="155">
                  <c:v>-493.5296938377482</c:v>
                </c:pt>
                <c:pt idx="156">
                  <c:v>-484.77103630304094</c:v>
                </c:pt>
                <c:pt idx="157">
                  <c:v>-477.65112302632826</c:v>
                </c:pt>
                <c:pt idx="158">
                  <c:v>-468.78728545216524</c:v>
                </c:pt>
                <c:pt idx="159">
                  <c:v>-460.62625551727047</c:v>
                </c:pt>
                <c:pt idx="160">
                  <c:v>-451.79204071321357</c:v>
                </c:pt>
                <c:pt idx="161">
                  <c:v>-442.88902183338706</c:v>
                </c:pt>
                <c:pt idx="162">
                  <c:v>-433.73284793950751</c:v>
                </c:pt>
                <c:pt idx="163">
                  <c:v>-424.40417700073698</c:v>
                </c:pt>
                <c:pt idx="164">
                  <c:v>-414.92507167407121</c:v>
                </c:pt>
                <c:pt idx="165">
                  <c:v>-405.32217361463961</c:v>
                </c:pt>
                <c:pt idx="166">
                  <c:v>-395.61890382099779</c:v>
                </c:pt>
                <c:pt idx="167">
                  <c:v>-385.83575033583048</c:v>
                </c:pt>
                <c:pt idx="168">
                  <c:v>-375.99032966291668</c:v>
                </c:pt>
                <c:pt idx="169">
                  <c:v>-366.09749336676759</c:v>
                </c:pt>
                <c:pt idx="170">
                  <c:v>-356.16948627352929</c:v>
                </c:pt>
                <c:pt idx="171">
                  <c:v>-346.21615306776818</c:v>
                </c:pt>
                <c:pt idx="172">
                  <c:v>-336.24518632142411</c:v>
                </c:pt>
                <c:pt idx="173">
                  <c:v>-326.26240556065648</c:v>
                </c:pt>
                <c:pt idx="174">
                  <c:v>-316.27205399012928</c:v>
                </c:pt>
                <c:pt idx="175">
                  <c:v>-306.27709754203926</c:v>
                </c:pt>
                <c:pt idx="176">
                  <c:v>-296.2795105768422</c:v>
                </c:pt>
                <c:pt idx="177">
                  <c:v>-286.28053417015099</c:v>
                </c:pt>
                <c:pt idx="178">
                  <c:v>-276.28089639570806</c:v>
                </c:pt>
                <c:pt idx="179">
                  <c:v>-266.28098880370283</c:v>
                </c:pt>
                <c:pt idx="180">
                  <c:v>-256.2809984794755</c:v>
                </c:pt>
                <c:pt idx="181">
                  <c:v>-246.28099963112012</c:v>
                </c:pt>
                <c:pt idx="182">
                  <c:v>-236.28101179218601</c:v>
                </c:pt>
                <c:pt idx="183">
                  <c:v>-226.2810330832302</c:v>
                </c:pt>
                <c:pt idx="184">
                  <c:v>-216.28105670003833</c:v>
                </c:pt>
                <c:pt idx="185">
                  <c:v>-206.28107739842986</c:v>
                </c:pt>
                <c:pt idx="186">
                  <c:v>-196.28109286369346</c:v>
                </c:pt>
                <c:pt idx="187">
                  <c:v>-186.28110302948753</c:v>
                </c:pt>
                <c:pt idx="188">
                  <c:v>-176.28110897180576</c:v>
                </c:pt>
                <c:pt idx="189">
                  <c:v>-166.28111204896317</c:v>
                </c:pt>
                <c:pt idx="190">
                  <c:v>-156.28111343198958</c:v>
                </c:pt>
                <c:pt idx="191">
                  <c:v>-146.28111394494968</c:v>
                </c:pt>
                <c:pt idx="192">
                  <c:v>-136.28111408284221</c:v>
                </c:pt>
                <c:pt idx="193">
                  <c:v>-126.28111409933076</c:v>
                </c:pt>
                <c:pt idx="194">
                  <c:v>-116.28111410023664</c:v>
                </c:pt>
                <c:pt idx="195">
                  <c:v>-106.28111411530264</c:v>
                </c:pt>
                <c:pt idx="196">
                  <c:v>-96.281114143176794</c:v>
                </c:pt>
                <c:pt idx="197">
                  <c:v>-86.281114174794808</c:v>
                </c:pt>
                <c:pt idx="198">
                  <c:v>-76.281114202870697</c:v>
                </c:pt>
                <c:pt idx="199">
                  <c:v>-66.28111422405668</c:v>
                </c:pt>
                <c:pt idx="200">
                  <c:v>-56.281114238111194</c:v>
                </c:pt>
                <c:pt idx="201">
                  <c:v>-46.281114246408521</c:v>
                </c:pt>
                <c:pt idx="202">
                  <c:v>-36.281114250757184</c:v>
                </c:pt>
                <c:pt idx="203">
                  <c:v>-44.941515740920202</c:v>
                </c:pt>
                <c:pt idx="204">
                  <c:v>-39.941260341663593</c:v>
                </c:pt>
                <c:pt idx="205">
                  <c:v>-35.992014994824068</c:v>
                </c:pt>
                <c:pt idx="206">
                  <c:v>-33.184887892667824</c:v>
                </c:pt>
                <c:pt idx="207">
                  <c:v>-31.771769679648024</c:v>
                </c:pt>
                <c:pt idx="208">
                  <c:v>-32.622365693110225</c:v>
                </c:pt>
                <c:pt idx="209">
                  <c:v>-40.037050047789783</c:v>
                </c:pt>
                <c:pt idx="210">
                  <c:v>-30.260806290979552</c:v>
                </c:pt>
                <c:pt idx="211">
                  <c:v>-39.77907283027379</c:v>
                </c:pt>
                <c:pt idx="212">
                  <c:v>-33.069195341043198</c:v>
                </c:pt>
                <c:pt idx="213">
                  <c:v>-23.716164542087839</c:v>
                </c:pt>
                <c:pt idx="214">
                  <c:v>-13.89504916241598</c:v>
                </c:pt>
                <c:pt idx="215">
                  <c:v>-23.34188506583596</c:v>
                </c:pt>
                <c:pt idx="216">
                  <c:v>-16.800600690022449</c:v>
                </c:pt>
                <c:pt idx="217">
                  <c:v>-7.3452796401637048</c:v>
                </c:pt>
                <c:pt idx="218">
                  <c:v>2.2966143224729212</c:v>
                </c:pt>
                <c:pt idx="219">
                  <c:v>-7.3795840167469393</c:v>
                </c:pt>
                <c:pt idx="220">
                  <c:v>-0.26181083174514619</c:v>
                </c:pt>
                <c:pt idx="221">
                  <c:v>9.5596651523480585</c:v>
                </c:pt>
                <c:pt idx="222">
                  <c:v>1.9945770540154522</c:v>
                </c:pt>
                <c:pt idx="223">
                  <c:v>5.2762180199658353</c:v>
                </c:pt>
                <c:pt idx="224">
                  <c:v>12.728649679520407</c:v>
                </c:pt>
                <c:pt idx="225">
                  <c:v>22.672830369404899</c:v>
                </c:pt>
                <c:pt idx="226">
                  <c:v>14.588475422240096</c:v>
                </c:pt>
                <c:pt idx="227">
                  <c:v>18.646808247262534</c:v>
                </c:pt>
                <c:pt idx="228">
                  <c:v>27.53223704609206</c:v>
                </c:pt>
                <c:pt idx="229">
                  <c:v>20.277813988695737</c:v>
                </c:pt>
                <c:pt idx="230">
                  <c:v>30.001743547964878</c:v>
                </c:pt>
                <c:pt idx="231">
                  <c:v>20.413826559490197</c:v>
                </c:pt>
                <c:pt idx="232">
                  <c:v>27.296656363008054</c:v>
                </c:pt>
                <c:pt idx="233">
                  <c:v>36.355754004858909</c:v>
                </c:pt>
                <c:pt idx="234">
                  <c:v>45.866229392947012</c:v>
                </c:pt>
                <c:pt idx="235">
                  <c:v>39.175139219155923</c:v>
                </c:pt>
                <c:pt idx="236">
                  <c:v>41.253971970096117</c:v>
                </c:pt>
                <c:pt idx="237">
                  <c:v>47.941375407113149</c:v>
                </c:pt>
                <c:pt idx="238">
                  <c:v>54.548145682005661</c:v>
                </c:pt>
                <c:pt idx="239">
                  <c:v>60.206925349067319</c:v>
                </c:pt>
                <c:pt idx="240">
                  <c:v>65.834317029397283</c:v>
                </c:pt>
                <c:pt idx="241">
                  <c:v>70.71550989630758</c:v>
                </c:pt>
                <c:pt idx="242">
                  <c:v>75.27819404250242</c:v>
                </c:pt>
                <c:pt idx="243">
                  <c:v>79.348231445217721</c:v>
                </c:pt>
                <c:pt idx="244">
                  <c:v>82.99095748630576</c:v>
                </c:pt>
                <c:pt idx="245">
                  <c:v>86.215302671507871</c:v>
                </c:pt>
                <c:pt idx="246">
                  <c:v>89.042245209505012</c:v>
                </c:pt>
                <c:pt idx="247">
                  <c:v>91.494789826153436</c:v>
                </c:pt>
                <c:pt idx="248">
                  <c:v>93.598072895457506</c:v>
                </c:pt>
                <c:pt idx="249">
                  <c:v>95.37897768191857</c:v>
                </c:pt>
                <c:pt idx="250">
                  <c:v>96.865709663655707</c:v>
                </c:pt>
                <c:pt idx="251">
                  <c:v>98.08734233902328</c:v>
                </c:pt>
                <c:pt idx="252">
                  <c:v>99.073336530072666</c:v>
                </c:pt>
                <c:pt idx="253">
                  <c:v>99.853039076672459</c:v>
                </c:pt>
                <c:pt idx="254">
                  <c:v>100.45517135789756</c:v>
                </c:pt>
                <c:pt idx="255">
                  <c:v>100.90732326259744</c:v>
                </c:pt>
                <c:pt idx="256">
                  <c:v>101.235473225818</c:v>
                </c:pt>
                <c:pt idx="257">
                  <c:v>101.46355867507663</c:v>
                </c:pt>
                <c:pt idx="258">
                  <c:v>101.61312249405279</c:v>
                </c:pt>
                <c:pt idx="259">
                  <c:v>101.70305890308096</c:v>
                </c:pt>
                <c:pt idx="260">
                  <c:v>101.74947603395489</c:v>
                </c:pt>
                <c:pt idx="261">
                  <c:v>101.76568287616672</c:v>
                </c:pt>
                <c:pt idx="262">
                  <c:v>101.7622965793487</c:v>
                </c:pt>
                <c:pt idx="263">
                  <c:v>101.74745439597945</c:v>
                </c:pt>
                <c:pt idx="264">
                  <c:v>101.72710507039652</c:v>
                </c:pt>
                <c:pt idx="265">
                  <c:v>101.70534895571575</c:v>
                </c:pt>
                <c:pt idx="266">
                  <c:v>101.68479530927391</c:v>
                </c:pt>
                <c:pt idx="267">
                  <c:v>101.66690869163907</c:v>
                </c:pt>
                <c:pt idx="268">
                  <c:v>101.65232290215205</c:v>
                </c:pt>
                <c:pt idx="269">
                  <c:v>101.64110875327735</c:v>
                </c:pt>
                <c:pt idx="270">
                  <c:v>101.63298964905746</c:v>
                </c:pt>
                <c:pt idx="271">
                  <c:v>101.62750527456514</c:v>
                </c:pt>
                <c:pt idx="272">
                  <c:v>101.62412818035959</c:v>
                </c:pt>
                <c:pt idx="273">
                  <c:v>101.62234061827516</c:v>
                </c:pt>
                <c:pt idx="274">
                  <c:v>101.62167994398231</c:v>
                </c:pt>
                <c:pt idx="275">
                  <c:v>101.62176068889677</c:v>
                </c:pt>
                <c:pt idx="276">
                  <c:v>101.62228046803109</c:v>
                </c:pt>
                <c:pt idx="277">
                  <c:v>101.62301560812527</c:v>
                </c:pt>
                <c:pt idx="278">
                  <c:v>101.62381102355273</c:v>
                </c:pt>
                <c:pt idx="279">
                  <c:v>101.62456760811311</c:v>
                </c:pt>
                <c:pt idx="280">
                  <c:v>101.62522933844267</c:v>
                </c:pt>
                <c:pt idx="281">
                  <c:v>101.62577143153834</c:v>
                </c:pt>
                <c:pt idx="282">
                  <c:v>101.626190260317</c:v>
                </c:pt>
                <c:pt idx="283">
                  <c:v>101.62649528206829</c:v>
                </c:pt>
                <c:pt idx="284">
                  <c:v>101.62670294173877</c:v>
                </c:pt>
                <c:pt idx="285">
                  <c:v>101.62683234023599</c:v>
                </c:pt>
                <c:pt idx="286">
                  <c:v>101.62690237457704</c:v>
                </c:pt>
                <c:pt idx="287">
                  <c:v>101.62693003449583</c:v>
                </c:pt>
              </c:numCache>
            </c:numRef>
          </c:xVal>
          <c:yVal>
            <c:numRef>
              <c:f>Display!$D$14:$D$507</c:f>
              <c:numCache>
                <c:formatCode>General</c:formatCode>
                <c:ptCount val="494"/>
                <c:pt idx="0">
                  <c:v>-50</c:v>
                </c:pt>
                <c:pt idx="1">
                  <c:v>-40.031260499952566</c:v>
                </c:pt>
                <c:pt idx="2">
                  <c:v>-30.104451317169598</c:v>
                </c:pt>
                <c:pt idx="3">
                  <c:v>-20.201598317992783</c:v>
                </c:pt>
                <c:pt idx="4">
                  <c:v>-10.300241515130491</c:v>
                </c:pt>
                <c:pt idx="5">
                  <c:v>-0.3830152185274418</c:v>
                </c:pt>
                <c:pt idx="6">
                  <c:v>9.5584090936711341</c:v>
                </c:pt>
                <c:pt idx="7">
                  <c:v>19.523633436345492</c:v>
                </c:pt>
                <c:pt idx="8">
                  <c:v>29.506783150766577</c:v>
                </c:pt>
                <c:pt idx="9">
                  <c:v>39.500561141321654</c:v>
                </c:pt>
                <c:pt idx="10">
                  <c:v>49.499126424581405</c:v>
                </c:pt>
                <c:pt idx="11">
                  <c:v>59.499059244355564</c:v>
                </c:pt>
                <c:pt idx="12">
                  <c:v>69.49839681303979</c:v>
                </c:pt>
                <c:pt idx="13">
                  <c:v>79.43678117666957</c:v>
                </c:pt>
                <c:pt idx="14">
                  <c:v>88.938480910231775</c:v>
                </c:pt>
                <c:pt idx="15">
                  <c:v>97.097193917728077</c:v>
                </c:pt>
                <c:pt idx="16">
                  <c:v>102.93362106212412</c:v>
                </c:pt>
                <c:pt idx="17">
                  <c:v>106.45919991029602</c:v>
                </c:pt>
                <c:pt idx="18">
                  <c:v>109.06625458279329</c:v>
                </c:pt>
                <c:pt idx="19">
                  <c:v>112.01902808806206</c:v>
                </c:pt>
                <c:pt idx="20">
                  <c:v>115.40029050713137</c:v>
                </c:pt>
                <c:pt idx="21">
                  <c:v>119.17199033025445</c:v>
                </c:pt>
                <c:pt idx="22">
                  <c:v>123.30122233431912</c:v>
                </c:pt>
                <c:pt idx="23">
                  <c:v>127.75536063679661</c:v>
                </c:pt>
                <c:pt idx="24">
                  <c:v>132.50221624166389</c:v>
                </c:pt>
                <c:pt idx="25">
                  <c:v>137.51029555717994</c:v>
                </c:pt>
                <c:pt idx="26">
                  <c:v>142.74905807639939</c:v>
                </c:pt>
                <c:pt idx="27">
                  <c:v>148.18916543560798</c:v>
                </c:pt>
                <c:pt idx="28">
                  <c:v>153.80272044770061</c:v>
                </c:pt>
                <c:pt idx="29">
                  <c:v>159.56349413655002</c:v>
                </c:pt>
                <c:pt idx="30">
                  <c:v>165.44713681701191</c:v>
                </c:pt>
                <c:pt idx="31">
                  <c:v>171.43136670340311</c:v>
                </c:pt>
                <c:pt idx="32">
                  <c:v>177.49612693726837</c:v>
                </c:pt>
                <c:pt idx="33">
                  <c:v>183.62370001736338</c:v>
                </c:pt>
                <c:pt idx="34">
                  <c:v>189.79876820448771</c:v>
                </c:pt>
                <c:pt idx="35">
                  <c:v>196.00841023594856</c:v>
                </c:pt>
                <c:pt idx="36">
                  <c:v>202.24202885723298</c:v>
                </c:pt>
                <c:pt idx="37">
                  <c:v>208.49120984239713</c:v>
                </c:pt>
                <c:pt idx="38">
                  <c:v>214.74952024547304</c:v>
                </c:pt>
                <c:pt idx="39">
                  <c:v>221.01226011841817</c:v>
                </c:pt>
                <c:pt idx="40">
                  <c:v>227.27618642068705</c:v>
                </c:pt>
                <c:pt idx="41">
                  <c:v>233.53922942555658</c:v>
                </c:pt>
                <c:pt idx="42">
                  <c:v>239.80022047596182</c:v>
                </c:pt>
                <c:pt idx="43">
                  <c:v>246.05864608011217</c:v>
                </c:pt>
                <c:pt idx="44">
                  <c:v>252.31443814388507</c:v>
                </c:pt>
                <c:pt idx="45">
                  <c:v>258.56780476585476</c:v>
                </c:pt>
                <c:pt idx="46">
                  <c:v>264.81910138325765</c:v>
                </c:pt>
                <c:pt idx="47">
                  <c:v>271.06873866844779</c:v>
                </c:pt>
                <c:pt idx="48">
                  <c:v>277.31712156047661</c:v>
                </c:pt>
                <c:pt idx="49">
                  <c:v>283.56461301755462</c:v>
                </c:pt>
                <c:pt idx="50">
                  <c:v>289.81151618983114</c:v>
                </c:pt>
                <c:pt idx="51">
                  <c:v>296.0580694045849</c:v>
                </c:pt>
                <c:pt idx="52">
                  <c:v>302.30444933680803</c:v>
                </c:pt>
                <c:pt idx="53">
                  <c:v>308.55077879098639</c:v>
                </c:pt>
                <c:pt idx="54">
                  <c:v>314.79713650545267</c:v>
                </c:pt>
                <c:pt idx="55">
                  <c:v>321.04356723426923</c:v>
                </c:pt>
                <c:pt idx="56">
                  <c:v>327.29009103518058</c:v>
                </c:pt>
                <c:pt idx="57">
                  <c:v>333.53671119773617</c:v>
                </c:pt>
                <c:pt idx="58">
                  <c:v>339.78342060191278</c:v>
                </c:pt>
                <c:pt idx="59">
                  <c:v>346.03020653055478</c:v>
                </c:pt>
                <c:pt idx="60">
                  <c:v>352.27705409621205</c:v>
                </c:pt>
                <c:pt idx="61">
                  <c:v>358.52394851002953</c:v>
                </c:pt>
                <c:pt idx="62">
                  <c:v>364.77087643907964</c:v>
                </c:pt>
                <c:pt idx="63">
                  <c:v>371.01782668652487</c:v>
                </c:pt>
                <c:pt idx="64">
                  <c:v>377.26479039966659</c:v>
                </c:pt>
                <c:pt idx="65">
                  <c:v>383.51176097394301</c:v>
                </c:pt>
                <c:pt idx="66">
                  <c:v>389.75873378281403</c:v>
                </c:pt>
                <c:pt idx="67">
                  <c:v>396.0057058282506</c:v>
                </c:pt>
                <c:pt idx="68">
                  <c:v>402.74696483596347</c:v>
                </c:pt>
                <c:pt idx="69">
                  <c:v>409.97593578622053</c:v>
                </c:pt>
                <c:pt idx="70">
                  <c:v>417.58260744090182</c:v>
                </c:pt>
                <c:pt idx="71">
                  <c:v>425.60794418655865</c:v>
                </c:pt>
                <c:pt idx="72">
                  <c:v>433.9269079547305</c:v>
                </c:pt>
                <c:pt idx="73">
                  <c:v>442.5624540681664</c:v>
                </c:pt>
                <c:pt idx="74">
                  <c:v>451.44158430629898</c:v>
                </c:pt>
                <c:pt idx="75">
                  <c:v>460.54355362403356</c:v>
                </c:pt>
                <c:pt idx="76">
                  <c:v>469.83174483132336</c:v>
                </c:pt>
                <c:pt idx="77">
                  <c:v>479.27692635209416</c:v>
                </c:pt>
                <c:pt idx="78">
                  <c:v>488.85201821079067</c:v>
                </c:pt>
                <c:pt idx="79">
                  <c:v>498.53289809825367</c:v>
                </c:pt>
                <c:pt idx="80">
                  <c:v>508.29837184960371</c:v>
                </c:pt>
                <c:pt idx="81">
                  <c:v>518.13013346348521</c:v>
                </c:pt>
                <c:pt idx="82">
                  <c:v>528.0126723005676</c:v>
                </c:pt>
                <c:pt idx="83">
                  <c:v>537.93312748510596</c:v>
                </c:pt>
                <c:pt idx="84">
                  <c:v>547.88109259748535</c:v>
                </c:pt>
                <c:pt idx="85">
                  <c:v>557.84837689160861</c:v>
                </c:pt>
                <c:pt idx="86">
                  <c:v>567.82873264214697</c:v>
                </c:pt>
                <c:pt idx="87">
                  <c:v>577.81756135223304</c:v>
                </c:pt>
                <c:pt idx="88">
                  <c:v>587.81161380987544</c:v>
                </c:pt>
                <c:pt idx="89">
                  <c:v>597.80869975606743</c:v>
                </c:pt>
                <c:pt idx="90">
                  <c:v>607.80742180363961</c:v>
                </c:pt>
                <c:pt idx="91">
                  <c:v>617.80694519083352</c:v>
                </c:pt>
                <c:pt idx="92">
                  <c:v>627.80681040940601</c:v>
                </c:pt>
                <c:pt idx="93">
                  <c:v>637.80679056242127</c:v>
                </c:pt>
                <c:pt idx="94">
                  <c:v>647.80679050513561</c:v>
                </c:pt>
                <c:pt idx="95">
                  <c:v>657.80678128616569</c:v>
                </c:pt>
                <c:pt idx="96">
                  <c:v>667.80676161153065</c:v>
                </c:pt>
                <c:pt idx="97">
                  <c:v>677.80673797000918</c:v>
                </c:pt>
                <c:pt idx="98">
                  <c:v>687.80671624164427</c:v>
                </c:pt>
                <c:pt idx="99">
                  <c:v>697.80669943201099</c:v>
                </c:pt>
                <c:pt idx="100">
                  <c:v>707.8066880514275</c:v>
                </c:pt>
                <c:pt idx="101">
                  <c:v>717.80668120786311</c:v>
                </c:pt>
                <c:pt idx="102">
                  <c:v>727.80667755397553</c:v>
                </c:pt>
                <c:pt idx="103">
                  <c:v>737.8066758489532</c:v>
                </c:pt>
                <c:pt idx="104">
                  <c:v>747.80667518143321</c:v>
                </c:pt>
                <c:pt idx="105">
                  <c:v>757.80667498327557</c:v>
                </c:pt>
                <c:pt idx="106">
                  <c:v>767.80667495124942</c:v>
                </c:pt>
                <c:pt idx="107">
                  <c:v>777.80667495124669</c:v>
                </c:pt>
                <c:pt idx="108">
                  <c:v>787.80667494015438</c:v>
                </c:pt>
                <c:pt idx="109">
                  <c:v>797.80667491461509</c:v>
                </c:pt>
                <c:pt idx="110">
                  <c:v>807.80667488309632</c:v>
                </c:pt>
                <c:pt idx="111">
                  <c:v>817.80667485370418</c:v>
                </c:pt>
                <c:pt idx="112">
                  <c:v>827.80667483072875</c:v>
                </c:pt>
                <c:pt idx="113">
                  <c:v>837.80667481503008</c:v>
                </c:pt>
                <c:pt idx="114">
                  <c:v>847.80667480549869</c:v>
                </c:pt>
                <c:pt idx="115">
                  <c:v>857.80667480035152</c:v>
                </c:pt>
                <c:pt idx="116">
                  <c:v>867.80667479791362</c:v>
                </c:pt>
                <c:pt idx="117">
                  <c:v>877.80667479693784</c:v>
                </c:pt>
                <c:pt idx="118">
                  <c:v>887.80667479663646</c:v>
                </c:pt>
                <c:pt idx="119">
                  <c:v>897.80667479658223</c:v>
                </c:pt>
                <c:pt idx="120">
                  <c:v>907.80667479658177</c:v>
                </c:pt>
                <c:pt idx="121">
                  <c:v>917.80667479656984</c:v>
                </c:pt>
                <c:pt idx="122">
                  <c:v>927.80667479653835</c:v>
                </c:pt>
                <c:pt idx="123">
                  <c:v>937.80667479649776</c:v>
                </c:pt>
                <c:pt idx="124">
                  <c:v>947.80667479645888</c:v>
                </c:pt>
                <c:pt idx="125">
                  <c:v>957.80667479642796</c:v>
                </c:pt>
                <c:pt idx="126">
                  <c:v>967.80667479640658</c:v>
                </c:pt>
                <c:pt idx="127">
                  <c:v>959.14643110396412</c:v>
                </c:pt>
                <c:pt idx="128">
                  <c:v>964.14641318522388</c:v>
                </c:pt>
                <c:pt idx="129">
                  <c:v>968.09508994440989</c:v>
                </c:pt>
                <c:pt idx="130">
                  <c:v>970.90098104552726</c:v>
                </c:pt>
                <c:pt idx="131">
                  <c:v>972.31110624681878</c:v>
                </c:pt>
                <c:pt idx="132">
                  <c:v>971.45156550364845</c:v>
                </c:pt>
                <c:pt idx="133">
                  <c:v>963.99842781209986</c:v>
                </c:pt>
                <c:pt idx="134">
                  <c:v>973.78660374485071</c:v>
                </c:pt>
                <c:pt idx="135">
                  <c:v>964.28612340745178</c:v>
                </c:pt>
                <c:pt idx="136">
                  <c:v>970.95326211538531</c:v>
                </c:pt>
                <c:pt idx="137">
                  <c:v>980.28088580282645</c:v>
                </c:pt>
                <c:pt idx="138">
                  <c:v>990.11399372046844</c:v>
                </c:pt>
                <c:pt idx="139">
                  <c:v>980.68860375121267</c:v>
                </c:pt>
                <c:pt idx="140">
                  <c:v>987.18075014147223</c:v>
                </c:pt>
                <c:pt idx="141">
                  <c:v>996.61358201592634</c:v>
                </c:pt>
                <c:pt idx="142">
                  <c:v>1006.2691023774839</c:v>
                </c:pt>
                <c:pt idx="143">
                  <c:v>996.60612625224962</c:v>
                </c:pt>
                <c:pt idx="144">
                  <c:v>1003.6873714919233</c:v>
                </c:pt>
                <c:pt idx="145">
                  <c:v>1013.5012540083219</c:v>
                </c:pt>
                <c:pt idx="146">
                  <c:v>1005.9623529911853</c:v>
                </c:pt>
                <c:pt idx="147">
                  <c:v>1009.2062300697006</c:v>
                </c:pt>
                <c:pt idx="148">
                  <c:v>1016.6387095588699</c:v>
                </c:pt>
                <c:pt idx="149">
                  <c:v>1026.422910234631</c:v>
                </c:pt>
                <c:pt idx="150">
                  <c:v>1018.9826722904166</c:v>
                </c:pt>
                <c:pt idx="151">
                  <c:v>1022.0853417544369</c:v>
                </c:pt>
                <c:pt idx="152">
                  <c:v>1030.3375109765987</c:v>
                </c:pt>
                <c:pt idx="153">
                  <c:v>1036.3535284494928</c:v>
                </c:pt>
                <c:pt idx="154">
                  <c:v>1044.6621447221612</c:v>
                </c:pt>
                <c:pt idx="155">
                  <c:v>1044.1994091757497</c:v>
                </c:pt>
                <c:pt idx="156">
                  <c:v>1049.0249576616438</c:v>
                </c:pt>
                <c:pt idx="157">
                  <c:v>1056.0468402391361</c:v>
                </c:pt>
                <c:pt idx="158">
                  <c:v>1060.6763524660187</c:v>
                </c:pt>
                <c:pt idx="159">
                  <c:v>1066.4554173040137</c:v>
                </c:pt>
                <c:pt idx="160">
                  <c:v>1071.1412095311384</c:v>
                </c:pt>
                <c:pt idx="161">
                  <c:v>1075.6949173418629</c:v>
                </c:pt>
                <c:pt idx="162">
                  <c:v>1079.7154247258927</c:v>
                </c:pt>
                <c:pt idx="163">
                  <c:v>1083.3176321763513</c:v>
                </c:pt>
                <c:pt idx="164">
                  <c:v>1086.5029990635364</c:v>
                </c:pt>
                <c:pt idx="165">
                  <c:v>1089.2930436617758</c:v>
                </c:pt>
                <c:pt idx="166">
                  <c:v>1091.7110087797619</c:v>
                </c:pt>
                <c:pt idx="167">
                  <c:v>1093.7822180607518</c:v>
                </c:pt>
                <c:pt idx="168">
                  <c:v>1095.5337007964251</c:v>
                </c:pt>
                <c:pt idx="169">
                  <c:v>1096.9937658694942</c:v>
                </c:pt>
                <c:pt idx="170">
                  <c:v>1098.1915451298796</c:v>
                </c:pt>
                <c:pt idx="171">
                  <c:v>1099.1565104635024</c:v>
                </c:pt>
                <c:pt idx="172">
                  <c:v>1099.9179709964919</c:v>
                </c:pt>
                <c:pt idx="173">
                  <c:v>1100.5045613837708</c:v>
                </c:pt>
                <c:pt idx="174">
                  <c:v>1100.9437373135124</c:v>
                </c:pt>
                <c:pt idx="175">
                  <c:v>1101.2612992772038</c:v>
                </c:pt>
                <c:pt idx="176">
                  <c:v>1101.4809691962239</c:v>
                </c:pt>
                <c:pt idx="177">
                  <c:v>1101.6240454641104</c:v>
                </c:pt>
                <c:pt idx="178">
                  <c:v>1101.7091593873749</c:v>
                </c:pt>
                <c:pt idx="179">
                  <c:v>1101.7521495182893</c:v>
                </c:pt>
                <c:pt idx="180">
                  <c:v>1101.7660604981093</c:v>
                </c:pt>
                <c:pt idx="181">
                  <c:v>1101.7612612386833</c:v>
                </c:pt>
                <c:pt idx="182">
                  <c:v>1101.7456656890122</c:v>
                </c:pt>
                <c:pt idx="183">
                  <c:v>1101.7250302721138</c:v>
                </c:pt>
                <c:pt idx="184">
                  <c:v>1101.7032969887625</c:v>
                </c:pt>
                <c:pt idx="185">
                  <c:v>1101.6829507998764</c:v>
                </c:pt>
                <c:pt idx="186">
                  <c:v>1101.6653637298273</c:v>
                </c:pt>
                <c:pt idx="187">
                  <c:v>1101.6511048456532</c:v>
                </c:pt>
                <c:pt idx="188">
                  <c:v>1101.6402031792825</c:v>
                </c:pt>
                <c:pt idx="189">
                  <c:v>1101.6323582357927</c:v>
                </c:pt>
                <c:pt idx="190">
                  <c:v>1101.6270989082436</c:v>
                </c:pt>
                <c:pt idx="191">
                  <c:v>1101.6238959093514</c:v>
                </c:pt>
                <c:pt idx="192">
                  <c:v>1101.6222352316317</c:v>
                </c:pt>
                <c:pt idx="193">
                  <c:v>1101.6216609745527</c:v>
                </c:pt>
                <c:pt idx="194">
                  <c:v>1101.6217955761069</c:v>
                </c:pt>
                <c:pt idx="195">
                  <c:v>1101.6223445025516</c:v>
                </c:pt>
                <c:pt idx="196">
                  <c:v>1101.6230911503883</c:v>
                </c:pt>
                <c:pt idx="197">
                  <c:v>1101.6238863612718</c:v>
                </c:pt>
                <c:pt idx="198">
                  <c:v>1101.6246357062605</c:v>
                </c:pt>
                <c:pt idx="199">
                  <c:v>1101.6252866437135</c:v>
                </c:pt>
                <c:pt idx="200">
                  <c:v>1101.6258168232032</c:v>
                </c:pt>
                <c:pt idx="201">
                  <c:v>1101.6262241885711</c:v>
                </c:pt>
                <c:pt idx="202">
                  <c:v>1101.6265191007401</c:v>
                </c:pt>
                <c:pt idx="203">
                  <c:v>1106.6262636971353</c:v>
                </c:pt>
                <c:pt idx="204">
                  <c:v>1097.9661571191418</c:v>
                </c:pt>
                <c:pt idx="205">
                  <c:v>1088.7790214833483</c:v>
                </c:pt>
                <c:pt idx="206">
                  <c:v>1079.1811030927627</c:v>
                </c:pt>
                <c:pt idx="207">
                  <c:v>1069.2814517395063</c:v>
                </c:pt>
                <c:pt idx="208">
                  <c:v>1059.3176930901873</c:v>
                </c:pt>
                <c:pt idx="209">
                  <c:v>1052.6078156009576</c:v>
                </c:pt>
                <c:pt idx="210">
                  <c:v>1054.7113977855724</c:v>
                </c:pt>
                <c:pt idx="211">
                  <c:v>1057.7777640531524</c:v>
                </c:pt>
                <c:pt idx="212">
                  <c:v>1050.3630796984737</c:v>
                </c:pt>
                <c:pt idx="213">
                  <c:v>1046.8246033492815</c:v>
                </c:pt>
                <c:pt idx="214">
                  <c:v>1048.7076043315365</c:v>
                </c:pt>
                <c:pt idx="215">
                  <c:v>1051.9874353353925</c:v>
                </c:pt>
                <c:pt idx="216">
                  <c:v>1044.4236004142208</c:v>
                </c:pt>
                <c:pt idx="217">
                  <c:v>1041.1683118180902</c:v>
                </c:pt>
                <c:pt idx="218">
                  <c:v>1043.8204582720537</c:v>
                </c:pt>
                <c:pt idx="219">
                  <c:v>1046.3445790496867</c:v>
                </c:pt>
                <c:pt idx="220">
                  <c:v>1039.3205271644235</c:v>
                </c:pt>
                <c:pt idx="221">
                  <c:v>1037.4394079513272</c:v>
                </c:pt>
                <c:pt idx="222">
                  <c:v>1043.9792429694653</c:v>
                </c:pt>
                <c:pt idx="223">
                  <c:v>1034.5330356580309</c:v>
                </c:pt>
                <c:pt idx="224">
                  <c:v>1027.865107767024</c:v>
                </c:pt>
                <c:pt idx="225">
                  <c:v>1026.8099914668333</c:v>
                </c:pt>
                <c:pt idx="226">
                  <c:v>1032.6958393316911</c:v>
                </c:pt>
                <c:pt idx="227">
                  <c:v>1023.5563680843297</c:v>
                </c:pt>
                <c:pt idx="228">
                  <c:v>1018.9684322673277</c:v>
                </c:pt>
                <c:pt idx="229">
                  <c:v>1012.0856024638009</c:v>
                </c:pt>
                <c:pt idx="230">
                  <c:v>1014.4190963948776</c:v>
                </c:pt>
                <c:pt idx="231">
                  <c:v>1017.2601961506268</c:v>
                </c:pt>
                <c:pt idx="232">
                  <c:v>1010.005773093222</c:v>
                </c:pt>
                <c:pt idx="233">
                  <c:v>1005.7710653210833</c:v>
                </c:pt>
                <c:pt idx="234">
                  <c:v>1002.6806190923696</c:v>
                </c:pt>
                <c:pt idx="235">
                  <c:v>1010.1122617295123</c:v>
                </c:pt>
                <c:pt idx="236">
                  <c:v>1000.3307253270028</c:v>
                </c:pt>
                <c:pt idx="237">
                  <c:v>992.89576498611518</c:v>
                </c:pt>
                <c:pt idx="238">
                  <c:v>985.38906221227387</c:v>
                </c:pt>
                <c:pt idx="239">
                  <c:v>977.14417211721195</c:v>
                </c:pt>
                <c:pt idx="240">
                  <c:v>968.87782692261999</c:v>
                </c:pt>
                <c:pt idx="241">
                  <c:v>960.15005766604452</c:v>
                </c:pt>
                <c:pt idx="242">
                  <c:v>951.25163570582811</c:v>
                </c:pt>
                <c:pt idx="243">
                  <c:v>942.11737079065847</c:v>
                </c:pt>
                <c:pt idx="244">
                  <c:v>932.8044471364251</c:v>
                </c:pt>
                <c:pt idx="245">
                  <c:v>923.33852942462011</c:v>
                </c:pt>
                <c:pt idx="246">
                  <c:v>913.74642872212212</c:v>
                </c:pt>
                <c:pt idx="247">
                  <c:v>904.05184131969236</c:v>
                </c:pt>
                <c:pt idx="248">
                  <c:v>894.27553320617733</c:v>
                </c:pt>
                <c:pt idx="249">
                  <c:v>884.4353920414602</c:v>
                </c:pt>
                <c:pt idx="250">
                  <c:v>874.54652820305694</c:v>
                </c:pt>
                <c:pt idx="251">
                  <c:v>864.62142802187623</c:v>
                </c:pt>
                <c:pt idx="252">
                  <c:v>854.67015596976069</c:v>
                </c:pt>
                <c:pt idx="253">
                  <c:v>844.70059911206511</c:v>
                </c:pt>
                <c:pt idx="254">
                  <c:v>834.7187437376416</c:v>
                </c:pt>
                <c:pt idx="255">
                  <c:v>824.72897103476816</c:v>
                </c:pt>
                <c:pt idx="256">
                  <c:v>814.73435660490452</c:v>
                </c:pt>
                <c:pt idx="257">
                  <c:v>804.7369580918994</c:v>
                </c:pt>
                <c:pt idx="258">
                  <c:v>794.73807662125216</c:v>
                </c:pt>
                <c:pt idx="259">
                  <c:v>784.73848105731406</c:v>
                </c:pt>
                <c:pt idx="260">
                  <c:v>774.73858878539625</c:v>
                </c:pt>
                <c:pt idx="261">
                  <c:v>764.73860191849155</c:v>
                </c:pt>
                <c:pt idx="262">
                  <c:v>754.7386024918419</c:v>
                </c:pt>
                <c:pt idx="263">
                  <c:v>744.73861350636832</c:v>
                </c:pt>
                <c:pt idx="264">
                  <c:v>734.73863421114231</c:v>
                </c:pt>
                <c:pt idx="265">
                  <c:v>724.73865787759667</c:v>
                </c:pt>
                <c:pt idx="266">
                  <c:v>714.73867900023811</c:v>
                </c:pt>
                <c:pt idx="267">
                  <c:v>704.73869499680541</c:v>
                </c:pt>
                <c:pt idx="268">
                  <c:v>694.73870563407377</c:v>
                </c:pt>
                <c:pt idx="269">
                  <c:v>684.73871192193246</c:v>
                </c:pt>
                <c:pt idx="270">
                  <c:v>674.73871521792569</c:v>
                </c:pt>
                <c:pt idx="271">
                  <c:v>664.73871672184396</c:v>
                </c:pt>
                <c:pt idx="272">
                  <c:v>654.73871729208224</c:v>
                </c:pt>
                <c:pt idx="273">
                  <c:v>644.73871745185113</c:v>
                </c:pt>
                <c:pt idx="274">
                  <c:v>634.73871747367571</c:v>
                </c:pt>
                <c:pt idx="275">
                  <c:v>624.73871747400165</c:v>
                </c:pt>
                <c:pt idx="276">
                  <c:v>614.73871748751014</c:v>
                </c:pt>
                <c:pt idx="277">
                  <c:v>604.73871751453169</c:v>
                </c:pt>
                <c:pt idx="278">
                  <c:v>594.73871754616596</c:v>
                </c:pt>
                <c:pt idx="279">
                  <c:v>584.73871757478696</c:v>
                </c:pt>
                <c:pt idx="280">
                  <c:v>574.73871759668134</c:v>
                </c:pt>
                <c:pt idx="281">
                  <c:v>564.73871761137457</c:v>
                </c:pt>
                <c:pt idx="282">
                  <c:v>554.73871762014539</c:v>
                </c:pt>
                <c:pt idx="283">
                  <c:v>544.73871762479735</c:v>
                </c:pt>
                <c:pt idx="284">
                  <c:v>534.73871762695342</c:v>
                </c:pt>
                <c:pt idx="285">
                  <c:v>524.73871762779061</c:v>
                </c:pt>
                <c:pt idx="286">
                  <c:v>514.73871762803583</c:v>
                </c:pt>
                <c:pt idx="287">
                  <c:v>504.73871762807408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B2D-4565-B2E0-329E4694D85B}"/>
            </c:ext>
          </c:extLst>
        </c:ser>
        <c:ser>
          <c:idx val="0"/>
          <c:order val="7"/>
          <c:tx>
            <c:v>AlleWände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surface!$B$2:$B$16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-500</c:v>
                </c:pt>
                <c:pt idx="3">
                  <c:v>-500</c:v>
                </c:pt>
                <c:pt idx="4">
                  <c:v>0</c:v>
                </c:pt>
              </c:numCache>
            </c:numRef>
          </c:xVal>
          <c:yVal>
            <c:numRef>
              <c:f>surface!$C$2:$C$16</c:f>
              <c:numCache>
                <c:formatCode>General</c:formatCode>
                <c:ptCount val="15"/>
                <c:pt idx="0">
                  <c:v>-100</c:v>
                </c:pt>
                <c:pt idx="1">
                  <c:v>100</c:v>
                </c:pt>
                <c:pt idx="2">
                  <c:v>500</c:v>
                </c:pt>
                <c:pt idx="3">
                  <c:v>1000</c:v>
                </c:pt>
                <c:pt idx="4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CEC-44B1-B056-EFC5D07E96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09215"/>
        <c:axId val="935408383"/>
      </c:scatterChart>
      <c:valAx>
        <c:axId val="935409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35408383"/>
        <c:crosses val="autoZero"/>
        <c:crossBetween val="midCat"/>
      </c:valAx>
      <c:valAx>
        <c:axId val="93540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354092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Display!$A$14:$A$82</c:f>
              <c:numCache>
                <c:formatCode>General</c:formatCode>
                <c:ptCount val="6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</c:numCache>
            </c:numRef>
          </c:xVal>
          <c:yVal>
            <c:numRef>
              <c:f>Display!$I$14:$I$82</c:f>
              <c:numCache>
                <c:formatCode>General</c:formatCode>
                <c:ptCount val="69"/>
                <c:pt idx="0">
                  <c:v>-45.315710160816636</c:v>
                </c:pt>
                <c:pt idx="1">
                  <c:v>-24.047817302594581</c:v>
                </c:pt>
                <c:pt idx="2">
                  <c:v>-10.565502721182085</c:v>
                </c:pt>
                <c:pt idx="3">
                  <c:v>-0.61416405157125098</c:v>
                </c:pt>
                <c:pt idx="4">
                  <c:v>6.7725039667900688</c:v>
                </c:pt>
                <c:pt idx="5">
                  <c:v>11.725438790718883</c:v>
                </c:pt>
                <c:pt idx="6">
                  <c:v>14.248185120740047</c:v>
                </c:pt>
                <c:pt idx="7">
                  <c:v>14.530937522349845</c:v>
                </c:pt>
                <c:pt idx="8">
                  <c:v>13.053375133772676</c:v>
                </c:pt>
                <c:pt idx="9">
                  <c:v>10.507075103713746</c:v>
                </c:pt>
                <c:pt idx="10">
                  <c:v>7.6054885165807917</c:v>
                </c:pt>
                <c:pt idx="11">
                  <c:v>8.6951241060335605</c:v>
                </c:pt>
                <c:pt idx="12">
                  <c:v>57.041574860558768</c:v>
                </c:pt>
                <c:pt idx="13">
                  <c:v>118.00006598840348</c:v>
                </c:pt>
                <c:pt idx="14">
                  <c:v>171.62737065328017</c:v>
                </c:pt>
                <c:pt idx="15">
                  <c:v>189.66443672324814</c:v>
                </c:pt>
                <c:pt idx="16">
                  <c:v>150.63314958656923</c:v>
                </c:pt>
                <c:pt idx="17">
                  <c:v>55.319206331408566</c:v>
                </c:pt>
                <c:pt idx="18">
                  <c:v>-20.622430803564313</c:v>
                </c:pt>
                <c:pt idx="19">
                  <c:v>-25.885863901055828</c:v>
                </c:pt>
                <c:pt idx="20">
                  <c:v>-23.957389881801774</c:v>
                </c:pt>
                <c:pt idx="21">
                  <c:v>-22.301038005606202</c:v>
                </c:pt>
                <c:pt idx="22">
                  <c:v>-20.612201012075317</c:v>
                </c:pt>
                <c:pt idx="23">
                  <c:v>-18.890603355825206</c:v>
                </c:pt>
                <c:pt idx="24">
                  <c:v>-17.145878527923841</c:v>
                </c:pt>
                <c:pt idx="25">
                  <c:v>-15.391571182846775</c:v>
                </c:pt>
                <c:pt idx="26">
                  <c:v>-13.644628313869589</c:v>
                </c:pt>
                <c:pt idx="27">
                  <c:v>-11.92504927162112</c:v>
                </c:pt>
                <c:pt idx="28">
                  <c:v>-10.25524350174976</c:v>
                </c:pt>
                <c:pt idx="29">
                  <c:v>-8.6590146321760386</c:v>
                </c:pt>
                <c:pt idx="30">
                  <c:v>-7.1601840023915031</c:v>
                </c:pt>
                <c:pt idx="31">
                  <c:v>-5.7809454416712214</c:v>
                </c:pt>
                <c:pt idx="32">
                  <c:v>-4.5401206397334448</c:v>
                </c:pt>
                <c:pt idx="33">
                  <c:v>-3.451544474779098</c:v>
                </c:pt>
                <c:pt idx="34">
                  <c:v>-2.522830548623034</c:v>
                </c:pt>
                <c:pt idx="35">
                  <c:v>-1.7547330822441154</c:v>
                </c:pt>
                <c:pt idx="36">
                  <c:v>-1.1412311381518236</c:v>
                </c:pt>
                <c:pt idx="37">
                  <c:v>-0.67033274553487843</c:v>
                </c:pt>
                <c:pt idx="38">
                  <c:v>-0.32546313897022117</c:v>
                </c:pt>
                <c:pt idx="39">
                  <c:v>-8.7200210670772549E-2</c:v>
                </c:pt>
                <c:pt idx="40">
                  <c:v>6.4921627366913981E-2</c:v>
                </c:pt>
                <c:pt idx="41">
                  <c:v>0.15079414874193731</c:v>
                </c:pt>
                <c:pt idx="42">
                  <c:v>0.1884848500247216</c:v>
                </c:pt>
                <c:pt idx="43">
                  <c:v>0.19343602703834506</c:v>
                </c:pt>
                <c:pt idx="44">
                  <c:v>0.1781046785671947</c:v>
                </c:pt>
                <c:pt idx="45">
                  <c:v>0.15196918165486295</c:v>
                </c:pt>
                <c:pt idx="46">
                  <c:v>0.12179640334039732</c:v>
                </c:pt>
                <c:pt idx="47">
                  <c:v>9.2059775029369462E-2</c:v>
                </c:pt>
                <c:pt idx="48">
                  <c:v>6.5415117272564771E-2</c:v>
                </c:pt>
                <c:pt idx="49">
                  <c:v>4.3166135370853453E-2</c:v>
                </c:pt>
                <c:pt idx="50">
                  <c:v>2.5677338149634465E-2</c:v>
                </c:pt>
                <c:pt idx="51">
                  <c:v>1.2713871268204002E-2</c:v>
                </c:pt>
                <c:pt idx="52">
                  <c:v>3.7035701522825093E-3</c:v>
                </c:pt>
                <c:pt idx="53">
                  <c:v>-2.0734527331001118E-3</c:v>
                </c:pt>
                <c:pt idx="54">
                  <c:v>-5.3570787914480889E-3</c:v>
                </c:pt>
                <c:pt idx="55">
                  <c:v>-6.8287779701137197E-3</c:v>
                </c:pt>
                <c:pt idx="56">
                  <c:v>-7.0702035759495629E-3</c:v>
                </c:pt>
                <c:pt idx="57">
                  <c:v>-6.5478586594736043E-3</c:v>
                </c:pt>
                <c:pt idx="58">
                  <c:v>-5.6148199887218198E-3</c:v>
                </c:pt>
                <c:pt idx="59">
                  <c:v>-4.5225169836271562E-3</c:v>
                </c:pt>
                <c:pt idx="60">
                  <c:v>-3.4374276049931041E-3</c:v>
                </c:pt>
                <c:pt idx="61">
                  <c:v>-2.4591501455262232E-3</c:v>
                </c:pt>
                <c:pt idx="62">
                  <c:v>-1.6375969146764646E-3</c:v>
                </c:pt>
                <c:pt idx="63">
                  <c:v>-9.8803804540636975E-4</c:v>
                </c:pt>
                <c:pt idx="64">
                  <c:v>-5.0343249476725305E-4</c:v>
                </c:pt>
                <c:pt idx="65">
                  <c:v>-1.6396239054472517E-4</c:v>
                </c:pt>
                <c:pt idx="66">
                  <c:v>5.6016668921188284E-5</c:v>
                </c:pt>
                <c:pt idx="67">
                  <c:v>-37.263415917924902</c:v>
                </c:pt>
                <c:pt idx="68">
                  <c:v>-39.078827831362375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1A-471D-81EF-28DB622A09B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Display!$A$14:$A$82</c:f>
              <c:numCache>
                <c:formatCode>General</c:formatCode>
                <c:ptCount val="6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</c:numCache>
            </c:numRef>
          </c:xVal>
          <c:yVal>
            <c:numRef>
              <c:f>Display!$J$14:$J$82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1A-471D-81EF-28DB622A09BC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Display!$A$14:$A$82</c:f>
              <c:numCache>
                <c:formatCode>General</c:formatCode>
                <c:ptCount val="6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</c:numCache>
            </c:numRef>
          </c:xVal>
          <c:yVal>
            <c:numRef>
              <c:f>Display!$L$14:$L$82</c:f>
              <c:numCache>
                <c:formatCode>General</c:formatCode>
                <c:ptCount val="6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1A-471D-81EF-28DB622A09BC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Display!$A$14:$A$82</c:f>
              <c:numCache>
                <c:formatCode>General</c:formatCode>
                <c:ptCount val="6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</c:numCache>
            </c:numRef>
          </c:xVal>
          <c:yVal>
            <c:numRef>
              <c:f>Display!$M$14:$M$82</c:f>
              <c:numCache>
                <c:formatCode>General</c:formatCode>
                <c:ptCount val="69"/>
                <c:pt idx="0">
                  <c:v>-45.315710160816636</c:v>
                </c:pt>
                <c:pt idx="1">
                  <c:v>-24.047817302594581</c:v>
                </c:pt>
                <c:pt idx="2">
                  <c:v>-10.565502721182085</c:v>
                </c:pt>
                <c:pt idx="3">
                  <c:v>-0.61416405157125098</c:v>
                </c:pt>
                <c:pt idx="4">
                  <c:v>6.7725039667900688</c:v>
                </c:pt>
                <c:pt idx="5">
                  <c:v>11.725438790718883</c:v>
                </c:pt>
                <c:pt idx="6">
                  <c:v>14.248185120740047</c:v>
                </c:pt>
                <c:pt idx="7">
                  <c:v>14.530937522349845</c:v>
                </c:pt>
                <c:pt idx="8">
                  <c:v>13.053375133772676</c:v>
                </c:pt>
                <c:pt idx="9">
                  <c:v>10.507075103713746</c:v>
                </c:pt>
                <c:pt idx="10">
                  <c:v>7.6054885165807917</c:v>
                </c:pt>
                <c:pt idx="11">
                  <c:v>8.6951241060335605</c:v>
                </c:pt>
                <c:pt idx="12">
                  <c:v>57.041574860558768</c:v>
                </c:pt>
                <c:pt idx="13">
                  <c:v>118.00006598840348</c:v>
                </c:pt>
                <c:pt idx="14">
                  <c:v>171.62737065328017</c:v>
                </c:pt>
                <c:pt idx="15">
                  <c:v>189.66443672324814</c:v>
                </c:pt>
                <c:pt idx="16">
                  <c:v>150.63314958656923</c:v>
                </c:pt>
                <c:pt idx="17">
                  <c:v>55.319206331408566</c:v>
                </c:pt>
                <c:pt idx="18">
                  <c:v>-20.622430803564313</c:v>
                </c:pt>
                <c:pt idx="19">
                  <c:v>-25.885863901055828</c:v>
                </c:pt>
                <c:pt idx="20">
                  <c:v>-23.957389881801774</c:v>
                </c:pt>
                <c:pt idx="21">
                  <c:v>-22.301038005606202</c:v>
                </c:pt>
                <c:pt idx="22">
                  <c:v>-20.612201012075317</c:v>
                </c:pt>
                <c:pt idx="23">
                  <c:v>-18.890603355825206</c:v>
                </c:pt>
                <c:pt idx="24">
                  <c:v>-17.145878527923841</c:v>
                </c:pt>
                <c:pt idx="25">
                  <c:v>-15.391571182846775</c:v>
                </c:pt>
                <c:pt idx="26">
                  <c:v>-13.644628313869589</c:v>
                </c:pt>
                <c:pt idx="27">
                  <c:v>-11.92504927162112</c:v>
                </c:pt>
                <c:pt idx="28">
                  <c:v>-10.25524350174976</c:v>
                </c:pt>
                <c:pt idx="29">
                  <c:v>-8.6590146321760386</c:v>
                </c:pt>
                <c:pt idx="30">
                  <c:v>-7.1601840023915031</c:v>
                </c:pt>
                <c:pt idx="31">
                  <c:v>-5.7809454416712214</c:v>
                </c:pt>
                <c:pt idx="32">
                  <c:v>-4.5401206397334448</c:v>
                </c:pt>
                <c:pt idx="33">
                  <c:v>-3.451544474779098</c:v>
                </c:pt>
                <c:pt idx="34">
                  <c:v>-2.522830548623034</c:v>
                </c:pt>
                <c:pt idx="35">
                  <c:v>-1.7547330822441154</c:v>
                </c:pt>
                <c:pt idx="36">
                  <c:v>-1.1412311381518236</c:v>
                </c:pt>
                <c:pt idx="37">
                  <c:v>-0.67033274553487843</c:v>
                </c:pt>
                <c:pt idx="38">
                  <c:v>-0.32546313897022117</c:v>
                </c:pt>
                <c:pt idx="39">
                  <c:v>-8.7200210670772549E-2</c:v>
                </c:pt>
                <c:pt idx="40">
                  <c:v>6.4921627366913981E-2</c:v>
                </c:pt>
                <c:pt idx="41">
                  <c:v>0.15079414874193731</c:v>
                </c:pt>
                <c:pt idx="42">
                  <c:v>0.1884848500247216</c:v>
                </c:pt>
                <c:pt idx="43">
                  <c:v>0.19343602703834506</c:v>
                </c:pt>
                <c:pt idx="44">
                  <c:v>0.1781046785671947</c:v>
                </c:pt>
                <c:pt idx="45">
                  <c:v>0.15196918165486295</c:v>
                </c:pt>
                <c:pt idx="46">
                  <c:v>0.12179640334039732</c:v>
                </c:pt>
                <c:pt idx="47">
                  <c:v>9.2059775029369462E-2</c:v>
                </c:pt>
                <c:pt idx="48">
                  <c:v>6.5415117272564771E-2</c:v>
                </c:pt>
                <c:pt idx="49">
                  <c:v>4.3166135370853453E-2</c:v>
                </c:pt>
                <c:pt idx="50">
                  <c:v>2.5677338149634465E-2</c:v>
                </c:pt>
                <c:pt idx="51">
                  <c:v>1.2713871268204002E-2</c:v>
                </c:pt>
                <c:pt idx="52">
                  <c:v>3.7035701522825093E-3</c:v>
                </c:pt>
                <c:pt idx="53">
                  <c:v>-2.0734527331001118E-3</c:v>
                </c:pt>
                <c:pt idx="54">
                  <c:v>-5.3570787914480889E-3</c:v>
                </c:pt>
                <c:pt idx="55">
                  <c:v>-6.8287779701137197E-3</c:v>
                </c:pt>
                <c:pt idx="56">
                  <c:v>-7.0702035759495629E-3</c:v>
                </c:pt>
                <c:pt idx="57">
                  <c:v>-6.5478586594736043E-3</c:v>
                </c:pt>
                <c:pt idx="58">
                  <c:v>-5.6148199887218198E-3</c:v>
                </c:pt>
                <c:pt idx="59">
                  <c:v>-4.5225169836271562E-3</c:v>
                </c:pt>
                <c:pt idx="60">
                  <c:v>-3.4374276049931041E-3</c:v>
                </c:pt>
                <c:pt idx="61">
                  <c:v>-2.4591501455262232E-3</c:v>
                </c:pt>
                <c:pt idx="62">
                  <c:v>-1.6375969146764646E-3</c:v>
                </c:pt>
                <c:pt idx="63">
                  <c:v>-9.8803804540636975E-4</c:v>
                </c:pt>
                <c:pt idx="64">
                  <c:v>-5.0343249476725305E-4</c:v>
                </c:pt>
                <c:pt idx="65">
                  <c:v>-1.6396239054472517E-4</c:v>
                </c:pt>
                <c:pt idx="66">
                  <c:v>5.6016668921188284E-5</c:v>
                </c:pt>
                <c:pt idx="67">
                  <c:v>-37.263415917924902</c:v>
                </c:pt>
                <c:pt idx="68">
                  <c:v>-39.078827831362375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1A-471D-81EF-28DB622A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9916656"/>
        <c:axId val="1449919152"/>
      </c:scatterChart>
      <c:valAx>
        <c:axId val="1449916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9919152"/>
        <c:crosses val="autoZero"/>
        <c:crossBetween val="midCat"/>
      </c:valAx>
      <c:valAx>
        <c:axId val="144991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49916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surface!$A$2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(surface!$B$2,surface!$D$2,surface!$F$2)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(surface!$C$2,surface!$E$2,surface!$G$2)</c:f>
              <c:numCache>
                <c:formatCode>General</c:formatCode>
                <c:ptCount val="3"/>
                <c:pt idx="0">
                  <c:v>-100</c:v>
                </c:pt>
                <c:pt idx="1">
                  <c:v>100</c:v>
                </c:pt>
                <c:pt idx="2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10F-4ECE-8E54-35EDFF13D978}"/>
            </c:ext>
          </c:extLst>
        </c:ser>
        <c:ser>
          <c:idx val="1"/>
          <c:order val="1"/>
          <c:tx>
            <c:strRef>
              <c:f>surface!$A$3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(surface!$B$3,surface!$D$3)</c:f>
              <c:numCache>
                <c:formatCode>General</c:formatCode>
                <c:ptCount val="2"/>
                <c:pt idx="0">
                  <c:v>0</c:v>
                </c:pt>
                <c:pt idx="1">
                  <c:v>-500</c:v>
                </c:pt>
              </c:numCache>
            </c:numRef>
          </c:xVal>
          <c:yVal>
            <c:numRef>
              <c:f>(surface!$C$3,surface!$E$3)</c:f>
              <c:numCache>
                <c:formatCode>General</c:formatCode>
                <c:ptCount val="2"/>
                <c:pt idx="0">
                  <c:v>100</c:v>
                </c:pt>
                <c:pt idx="1">
                  <c:v>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10F-4ECE-8E54-35EDFF13D978}"/>
            </c:ext>
          </c:extLst>
        </c:ser>
        <c:ser>
          <c:idx val="2"/>
          <c:order val="2"/>
          <c:tx>
            <c:strRef>
              <c:f>surface!$A$4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(surface!$B$4,surface!$D$4)</c:f>
              <c:numCache>
                <c:formatCode>General</c:formatCode>
                <c:ptCount val="2"/>
                <c:pt idx="0">
                  <c:v>-500</c:v>
                </c:pt>
                <c:pt idx="1">
                  <c:v>-500</c:v>
                </c:pt>
              </c:numCache>
            </c:numRef>
          </c:xVal>
          <c:yVal>
            <c:numRef>
              <c:f>(surface!$C$4,surface!$E$4)</c:f>
              <c:numCache>
                <c:formatCode>General</c:formatCode>
                <c:ptCount val="2"/>
                <c:pt idx="0">
                  <c:v>500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10F-4ECE-8E54-35EDFF13D978}"/>
            </c:ext>
          </c:extLst>
        </c:ser>
        <c:ser>
          <c:idx val="3"/>
          <c:order val="3"/>
          <c:tx>
            <c:strRef>
              <c:f>surface!$A$5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(surface!$B$5,surface!$D$5)</c:f>
              <c:numCache>
                <c:formatCode>General</c:formatCode>
                <c:ptCount val="2"/>
                <c:pt idx="0">
                  <c:v>-500</c:v>
                </c:pt>
                <c:pt idx="1">
                  <c:v>0</c:v>
                </c:pt>
              </c:numCache>
            </c:numRef>
          </c:xVal>
          <c:yVal>
            <c:numRef>
              <c:f>(surface!$C$5,surface!$E$5)</c:f>
              <c:numCache>
                <c:formatCode>General</c:formatCode>
                <c:ptCount val="2"/>
                <c:pt idx="0">
                  <c:v>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10F-4ECE-8E54-35EDFF13D978}"/>
            </c:ext>
          </c:extLst>
        </c:ser>
        <c:ser>
          <c:idx val="4"/>
          <c:order val="4"/>
          <c:tx>
            <c:strRef>
              <c:f>surface!$A$6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(surface!$B$6,surface!$D$6)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(surface!$C$6,surface!$E$6)</c:f>
              <c:numCache>
                <c:formatCode>General</c:formatCode>
                <c:ptCount val="2"/>
                <c:pt idx="0">
                  <c:v>1000</c:v>
                </c:pt>
                <c:pt idx="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10F-4ECE-8E54-35EDFF13D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409215"/>
        <c:axId val="935408383"/>
      </c:scatterChart>
      <c:valAx>
        <c:axId val="9354092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35408383"/>
        <c:crosses val="autoZero"/>
        <c:crossBetween val="midCat"/>
      </c:valAx>
      <c:valAx>
        <c:axId val="93540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354092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408581</xdr:colOff>
      <xdr:row>16</xdr:row>
      <xdr:rowOff>96749</xdr:rowOff>
    </xdr:from>
    <xdr:to>
      <xdr:col>14</xdr:col>
      <xdr:colOff>230841</xdr:colOff>
      <xdr:row>60</xdr:row>
      <xdr:rowOff>154268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3221C90C-2A97-4D99-8DCB-738B6E4094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397565</xdr:colOff>
      <xdr:row>0</xdr:row>
      <xdr:rowOff>88349</xdr:rowOff>
    </xdr:from>
    <xdr:to>
      <xdr:col>8</xdr:col>
      <xdr:colOff>209826</xdr:colOff>
      <xdr:row>2</xdr:row>
      <xdr:rowOff>112060</xdr:rowOff>
    </xdr:to>
    <xdr:sp macro="[0]!IncrementDisplayF1" textlink="">
      <xdr:nvSpPr>
        <xdr:cNvPr id="11" name="Pfeil: nach rechts 10">
          <a:extLst>
            <a:ext uri="{FF2B5EF4-FFF2-40B4-BE49-F238E27FC236}">
              <a16:creationId xmlns:a16="http://schemas.microsoft.com/office/drawing/2014/main" id="{0446BA50-16E7-4E8A-BA75-907043BAE55F}"/>
            </a:ext>
          </a:extLst>
        </xdr:cNvPr>
        <xdr:cNvSpPr/>
      </xdr:nvSpPr>
      <xdr:spPr>
        <a:xfrm>
          <a:off x="6075212" y="88349"/>
          <a:ext cx="955261" cy="3972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358913</xdr:colOff>
      <xdr:row>0</xdr:row>
      <xdr:rowOff>110435</xdr:rowOff>
    </xdr:from>
    <xdr:to>
      <xdr:col>7</xdr:col>
      <xdr:colOff>270565</xdr:colOff>
      <xdr:row>2</xdr:row>
      <xdr:rowOff>67236</xdr:rowOff>
    </xdr:to>
    <xdr:sp macro="[0]!DecrementDisplayF1" textlink="">
      <xdr:nvSpPr>
        <xdr:cNvPr id="12" name="Pfeil: nach links 11">
          <a:extLst>
            <a:ext uri="{FF2B5EF4-FFF2-40B4-BE49-F238E27FC236}">
              <a16:creationId xmlns:a16="http://schemas.microsoft.com/office/drawing/2014/main" id="{24663095-350C-43E2-8FEF-B21E1FF6424C}"/>
            </a:ext>
          </a:extLst>
        </xdr:cNvPr>
        <xdr:cNvSpPr/>
      </xdr:nvSpPr>
      <xdr:spPr>
        <a:xfrm>
          <a:off x="5274560" y="110435"/>
          <a:ext cx="673652" cy="33033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14</xdr:col>
      <xdr:colOff>328706</xdr:colOff>
      <xdr:row>16</xdr:row>
      <xdr:rowOff>82176</xdr:rowOff>
    </xdr:from>
    <xdr:to>
      <xdr:col>30</xdr:col>
      <xdr:colOff>201706</xdr:colOff>
      <xdr:row>61</xdr:row>
      <xdr:rowOff>141939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2732948D-E7C3-4293-991C-BC5098CF24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517524</xdr:colOff>
      <xdr:row>6</xdr:row>
      <xdr:rowOff>177800</xdr:rowOff>
    </xdr:from>
    <xdr:to>
      <xdr:col>22</xdr:col>
      <xdr:colOff>539750</xdr:colOff>
      <xdr:row>38</xdr:row>
      <xdr:rowOff>152400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D43FD450-AA54-416B-ADB8-D036927E6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D9D29-8F0B-4C96-84D7-F282CC6AF01D}">
  <sheetPr codeName="Tabelle1">
    <outlinePr summaryRight="0"/>
  </sheetPr>
  <dimension ref="A1:AV352"/>
  <sheetViews>
    <sheetView zoomScale="115" zoomScaleNormal="115" workbookViewId="0">
      <pane ySplit="1" topLeftCell="A2" activePane="bottomLeft" state="frozen"/>
      <selection pane="bottomLeft" activeCell="J4" sqref="J4"/>
    </sheetView>
    <sheetView topLeftCell="K325" workbookViewId="1">
      <selection activeCell="P358" sqref="P358"/>
    </sheetView>
  </sheetViews>
  <sheetFormatPr baseColWidth="10" defaultRowHeight="15" outlineLevelCol="1" x14ac:dyDescent="0.25"/>
  <cols>
    <col min="1" max="1" width="7.42578125" bestFit="1" customWidth="1"/>
    <col min="2" max="2" width="5.140625" bestFit="1" customWidth="1"/>
    <col min="3" max="4" width="11.140625" bestFit="1" customWidth="1"/>
    <col min="5" max="5" width="17.85546875" customWidth="1"/>
    <col min="6" max="6" width="15.140625" bestFit="1" customWidth="1"/>
    <col min="7" max="8" width="15.42578125" customWidth="1"/>
    <col min="9" max="12" width="9" customWidth="1"/>
    <col min="13" max="13" width="10.42578125" customWidth="1"/>
    <col min="14" max="15" width="16.28515625" bestFit="1" customWidth="1"/>
    <col min="16" max="17" width="13.42578125" bestFit="1" customWidth="1"/>
    <col min="18" max="18" width="12.42578125" bestFit="1" customWidth="1"/>
    <col min="19" max="19" width="9.140625" bestFit="1" customWidth="1"/>
    <col min="20" max="20" width="8" bestFit="1" customWidth="1"/>
    <col min="21" max="21" width="8.5703125" bestFit="1" customWidth="1"/>
    <col min="22" max="22" width="8.28515625" customWidth="1" outlineLevel="1"/>
    <col min="23" max="25" width="7.28515625" customWidth="1" outlineLevel="1"/>
    <col min="26" max="26" width="6.5703125" customWidth="1" outlineLevel="1"/>
    <col min="27" max="27" width="6.7109375" customWidth="1" outlineLevel="1"/>
    <col min="28" max="28" width="6.5703125" customWidth="1" outlineLevel="1"/>
    <col min="29" max="30" width="6.7109375" customWidth="1" outlineLevel="1"/>
    <col min="31" max="31" width="11" customWidth="1" outlineLevel="1"/>
    <col min="32" max="32" width="7.28515625" customWidth="1" outlineLevel="1"/>
    <col min="33" max="33" width="12.85546875" customWidth="1" outlineLevel="1"/>
    <col min="34" max="34" width="15.42578125" bestFit="1" customWidth="1" collapsed="1"/>
    <col min="35" max="35" width="9.5703125" bestFit="1" customWidth="1"/>
    <col min="36" max="39" width="7.28515625" customWidth="1" outlineLevel="1"/>
    <col min="40" max="40" width="6.5703125" customWidth="1" outlineLevel="1"/>
    <col min="41" max="41" width="6.7109375" customWidth="1" outlineLevel="1"/>
    <col min="42" max="42" width="6.5703125" customWidth="1" outlineLevel="1"/>
    <col min="43" max="43" width="6.7109375" customWidth="1" outlineLevel="1"/>
    <col min="44" max="45" width="12.42578125" customWidth="1" outlineLevel="1"/>
    <col min="46" max="46" width="13.140625" customWidth="1" outlineLevel="1"/>
    <col min="47" max="47" width="12.42578125" customWidth="1" outlineLevel="1"/>
    <col min="48" max="48" width="16" customWidth="1"/>
  </cols>
  <sheetData>
    <row r="1" spans="1:48" s="2" customFormat="1" x14ac:dyDescent="0.25">
      <c r="A1" s="2" t="s">
        <v>38</v>
      </c>
      <c r="B1" s="2" t="s">
        <v>37</v>
      </c>
      <c r="C1" s="2" t="s">
        <v>35</v>
      </c>
      <c r="D1" s="2" t="s">
        <v>36</v>
      </c>
      <c r="E1" s="2" t="s">
        <v>44</v>
      </c>
      <c r="F1" s="2" t="s">
        <v>34</v>
      </c>
      <c r="G1" s="2" t="s">
        <v>39</v>
      </c>
      <c r="H1" s="2" t="s">
        <v>45</v>
      </c>
      <c r="I1" s="2" t="s">
        <v>0</v>
      </c>
      <c r="J1" s="2" t="s">
        <v>1</v>
      </c>
      <c r="K1" s="2" t="s">
        <v>2</v>
      </c>
      <c r="L1" s="2" t="s">
        <v>6</v>
      </c>
      <c r="M1" s="2" t="s">
        <v>40</v>
      </c>
      <c r="N1" s="2" t="s">
        <v>41</v>
      </c>
      <c r="O1" s="2" t="s">
        <v>42</v>
      </c>
      <c r="P1" s="2" t="s">
        <v>23</v>
      </c>
      <c r="Q1" s="2" t="s">
        <v>24</v>
      </c>
      <c r="R1" s="2" t="s">
        <v>8</v>
      </c>
      <c r="S1" s="2" t="s">
        <v>9</v>
      </c>
      <c r="T1" s="3" t="s">
        <v>27</v>
      </c>
      <c r="U1" s="3" t="s">
        <v>14</v>
      </c>
      <c r="V1" s="3" t="s">
        <v>10</v>
      </c>
      <c r="W1" s="3" t="s">
        <v>11</v>
      </c>
      <c r="X1" s="3" t="s">
        <v>12</v>
      </c>
      <c r="Y1" s="3" t="s">
        <v>13</v>
      </c>
      <c r="Z1" s="3" t="s">
        <v>18</v>
      </c>
      <c r="AA1" s="3" t="s">
        <v>19</v>
      </c>
      <c r="AB1" s="3" t="s">
        <v>16</v>
      </c>
      <c r="AC1" s="3" t="s">
        <v>17</v>
      </c>
      <c r="AD1" s="3" t="s">
        <v>20</v>
      </c>
      <c r="AE1" s="3" t="s">
        <v>21</v>
      </c>
      <c r="AF1" s="3" t="s">
        <v>22</v>
      </c>
      <c r="AG1" s="3" t="s">
        <v>54</v>
      </c>
      <c r="AH1" s="3" t="s">
        <v>25</v>
      </c>
      <c r="AI1" s="4" t="s">
        <v>26</v>
      </c>
      <c r="AJ1" s="4" t="s">
        <v>10</v>
      </c>
      <c r="AK1" s="4" t="s">
        <v>11</v>
      </c>
      <c r="AL1" s="4" t="s">
        <v>12</v>
      </c>
      <c r="AM1" s="4" t="s">
        <v>13</v>
      </c>
      <c r="AN1" s="4" t="s">
        <v>18</v>
      </c>
      <c r="AO1" s="4" t="s">
        <v>19</v>
      </c>
      <c r="AP1" s="4" t="s">
        <v>16</v>
      </c>
      <c r="AQ1" s="4" t="s">
        <v>17</v>
      </c>
      <c r="AR1" s="4" t="s">
        <v>20</v>
      </c>
      <c r="AS1" s="4" t="s">
        <v>21</v>
      </c>
      <c r="AT1" s="4" t="s">
        <v>22</v>
      </c>
      <c r="AU1" s="4" t="s">
        <v>54</v>
      </c>
      <c r="AV1" s="4" t="s">
        <v>28</v>
      </c>
    </row>
    <row r="2" spans="1:48" x14ac:dyDescent="0.25">
      <c r="A2">
        <v>0</v>
      </c>
      <c r="B2">
        <v>0</v>
      </c>
      <c r="C2">
        <v>-110</v>
      </c>
      <c r="D2">
        <v>-50</v>
      </c>
      <c r="E2">
        <f>1/2*PI()</f>
        <v>1.5707963267948966</v>
      </c>
      <c r="F2">
        <f t="shared" ref="F2:F65" si="0">MIN(AH2,AV2)</f>
        <v>109.06314203216333</v>
      </c>
      <c r="G2">
        <v>100</v>
      </c>
      <c r="H2">
        <f>RADIANS(M2)</f>
        <v>-0.79090834518569941</v>
      </c>
      <c r="I2">
        <f t="shared" ref="I2:I65" si="1">(Ksoll-F2)*Kp</f>
        <v>-45.315710160816636</v>
      </c>
      <c r="J2">
        <f>0</f>
        <v>0</v>
      </c>
      <c r="K2">
        <v>0</v>
      </c>
      <c r="L2">
        <f t="shared" ref="L2:L65" si="2">IF(Dcap&lt;&gt;-1,MAX(MIN(K2,Dcap),-Dcap),K2)</f>
        <v>0</v>
      </c>
      <c r="M2">
        <f>I2+J2+L2</f>
        <v>-45.315710160816636</v>
      </c>
      <c r="N2">
        <f t="shared" ref="N2:N65" si="3">C2+usFrontD*S2</f>
        <v>-100.76120467488713</v>
      </c>
      <c r="O2">
        <f t="shared" ref="O2:O65" si="4">D2+usFrontD*R2</f>
        <v>-46.1731656763491</v>
      </c>
      <c r="P2">
        <f>N2+S2*100</f>
        <v>-8.3732514237584468</v>
      </c>
      <c r="Q2">
        <f>O2+R2*100</f>
        <v>-7.9048224398401246</v>
      </c>
      <c r="R2">
        <f t="shared" ref="R2:R65" si="5">SIN(E2+usrot)</f>
        <v>0.38268343236508978</v>
      </c>
      <c r="S2">
        <f t="shared" ref="S2:S65" si="6">COS(E2+usrot)</f>
        <v>0.92387953251128674</v>
      </c>
      <c r="U2">
        <v>0</v>
      </c>
      <c r="V2" cm="1">
        <f t="array" ref="V2:AA2">INDEX(surface!$A$2:$I$40,U2+1,COLUMN(surface!$B$1:$G$1))</f>
        <v>0</v>
      </c>
      <c r="W2">
        <v>-100</v>
      </c>
      <c r="X2">
        <v>0</v>
      </c>
      <c r="Y2">
        <v>100</v>
      </c>
      <c r="Z2">
        <v>0</v>
      </c>
      <c r="AA2">
        <v>-200</v>
      </c>
      <c r="AB2">
        <f>2*$N2-V2</f>
        <v>-201.52240934977425</v>
      </c>
      <c r="AC2">
        <f>2*$O2-W2</f>
        <v>7.6536686473017994</v>
      </c>
      <c r="AD2">
        <f t="shared" ref="AD2:AD65" si="7">AA2*$S2-Z2*$R2</f>
        <v>-184.77590650225736</v>
      </c>
      <c r="AE2">
        <f t="shared" ref="AE2:AE65" si="8">((($N2 - AB2) * AA2) - (($O2 - AC2) * Z2)) / AD2</f>
        <v>109.06314203216333</v>
      </c>
      <c r="AF2">
        <f t="shared" ref="AF2:AF65" si="9">((AB2 - $N2) * $R2 - (AC2 - $O2) * $S2) / AD2</f>
        <v>0.47781745930520225</v>
      </c>
      <c r="AG2" t="b">
        <f>IF(NOT(OR(ISERROR(AE2),ISERROR(AF2))),IF(AND(AF2&gt;=0,AF2&lt;=1,AE2&gt;=0),TRUE,FALSE),FALSE)</f>
        <v>1</v>
      </c>
      <c r="AH2">
        <f t="shared" ref="AH2:AH65" si="10">IF(AG2,AE2,usNoTarget)</f>
        <v>109.06314203216333</v>
      </c>
      <c r="AI2">
        <f>U2+1</f>
        <v>1</v>
      </c>
      <c r="AJ2" cm="1">
        <f t="array" ref="AJ2:AO2">INDEX(surface!$A$2:$I$40,AI2+1,COLUMN(surface!$B$1:$G$1))</f>
        <v>0</v>
      </c>
      <c r="AK2">
        <v>100</v>
      </c>
      <c r="AL2">
        <v>-500</v>
      </c>
      <c r="AM2">
        <v>500</v>
      </c>
      <c r="AN2">
        <v>500</v>
      </c>
      <c r="AO2">
        <v>-400</v>
      </c>
      <c r="AP2">
        <f>2*$N2-AJ2</f>
        <v>-201.52240934977425</v>
      </c>
      <c r="AQ2">
        <f>2*$O2-AK2</f>
        <v>-192.3463313526982</v>
      </c>
      <c r="AR2">
        <f>AO2*$S2-AN2*$R2</f>
        <v>-560.89352918705958</v>
      </c>
      <c r="AS2">
        <f t="shared" ref="AS2:AS65" si="11">((($N2 - AP2) * AO2) - (($O2 - AQ2) * AN2)) / AR2</f>
        <v>202.16147772728746</v>
      </c>
      <c r="AT2">
        <f t="shared" ref="AT2:AT65" si="12">((AP2 - $N2) * $R2 - (AQ2 - $O2) * $S2) / AR2</f>
        <v>-0.17202329371918024</v>
      </c>
      <c r="AU2" t="b">
        <f>IF(NOT(OR(ISERROR(AS2),ISERROR(AT2))),IF(AND(AT2&gt;=0,AT2&lt;=1,AS2&gt;=0),TRUE,FALSE),FALSE)</f>
        <v>0</v>
      </c>
      <c r="AV2">
        <f t="shared" ref="AV2:AV65" si="13">IF(AU2,AS2,usNoTarget)</f>
        <v>25000</v>
      </c>
    </row>
    <row r="3" spans="1:48" x14ac:dyDescent="0.25">
      <c r="A3">
        <f>A2+B3</f>
        <v>0.1</v>
      </c>
      <c r="B3">
        <f t="shared" ref="B3:B66" si="14">DT</f>
        <v>0.1</v>
      </c>
      <c r="C3">
        <f>sim!C2+(sim!$G2*$B3*COS($E3))</f>
        <v>-109.20991596637195</v>
      </c>
      <c r="D3">
        <f>sim!D2+(sim!$G2*$B3*SIN($E3))</f>
        <v>-40.031260499952566</v>
      </c>
      <c r="E3">
        <f>E2+H2*B3</f>
        <v>1.4917054922763267</v>
      </c>
      <c r="F3">
        <f t="shared" si="0"/>
        <v>104.80956346051892</v>
      </c>
      <c r="G3">
        <v>100</v>
      </c>
      <c r="H3">
        <f t="shared" ref="H3:H49" si="15">RADIANS(M3)</f>
        <v>-0.41971358984833695</v>
      </c>
      <c r="I3">
        <f t="shared" si="1"/>
        <v>-24.047817302594581</v>
      </c>
      <c r="J3">
        <f>J2+(Ksoll-F2)*B3*Ki</f>
        <v>0</v>
      </c>
      <c r="K3">
        <f t="shared" ref="K3:K66" si="16">((Ksoll-F3)-(Ksoll-F2))/B3*Kd</f>
        <v>0</v>
      </c>
      <c r="L3">
        <f t="shared" si="2"/>
        <v>0</v>
      </c>
      <c r="M3">
        <f>I3+J3+L3</f>
        <v>-24.047817302594581</v>
      </c>
      <c r="N3">
        <f t="shared" si="3"/>
        <v>-99.697649507495697</v>
      </c>
      <c r="O3">
        <f t="shared" si="4"/>
        <v>-36.946331519353876</v>
      </c>
      <c r="P3">
        <f>N3+S3*100</f>
        <v>-4.5749849187330938</v>
      </c>
      <c r="Q3">
        <f>O3+R3*100</f>
        <v>-6.0970417133669699</v>
      </c>
      <c r="R3">
        <f t="shared" si="5"/>
        <v>0.30849289805986907</v>
      </c>
      <c r="S3">
        <f t="shared" si="6"/>
        <v>0.95122664588762607</v>
      </c>
      <c r="U3">
        <f>IF(AND(AT2&gt;0.7,AU2),U2+1,U2)</f>
        <v>0</v>
      </c>
      <c r="V3" cm="1">
        <f t="array" ref="V3:AA3">INDEX(surface!$A$2:$I$40,U3+1,COLUMN(surface!$B$1:$G$1))</f>
        <v>0</v>
      </c>
      <c r="W3">
        <v>-100</v>
      </c>
      <c r="X3">
        <v>0</v>
      </c>
      <c r="Y3">
        <v>100</v>
      </c>
      <c r="Z3">
        <v>0</v>
      </c>
      <c r="AA3">
        <v>-200</v>
      </c>
      <c r="AB3">
        <f t="shared" ref="AB3:AB49" si="17">2*$N3-V3</f>
        <v>-199.39529901499139</v>
      </c>
      <c r="AC3">
        <f t="shared" ref="AC3:AC49" si="18">2*$O3-W3</f>
        <v>26.107336961292248</v>
      </c>
      <c r="AD3">
        <f t="shared" si="7"/>
        <v>-190.24532917752521</v>
      </c>
      <c r="AE3">
        <f t="shared" si="8"/>
        <v>104.80956346051892</v>
      </c>
      <c r="AF3">
        <f t="shared" si="9"/>
        <v>0.47693337228485683</v>
      </c>
      <c r="AG3" t="b">
        <f t="shared" ref="AG3:AG66" si="19">IF(NOT(OR(ISERROR(AE3),ISERROR(AF3))),IF(AND(AF3&gt;=0,AF3&lt;=1,AE3&gt;=0),TRUE,FALSE),FALSE)</f>
        <v>1</v>
      </c>
      <c r="AH3">
        <f t="shared" si="10"/>
        <v>104.80956346051892</v>
      </c>
      <c r="AI3">
        <f t="shared" ref="AI3:AI66" si="20">U3+1</f>
        <v>1</v>
      </c>
      <c r="AJ3" cm="1">
        <f t="array" ref="AJ3:AO3">INDEX(surface!$A$2:$I$40,AI3+1,COLUMN(surface!$B$1:$G$1))</f>
        <v>0</v>
      </c>
      <c r="AK3">
        <v>100</v>
      </c>
      <c r="AL3">
        <v>-500</v>
      </c>
      <c r="AM3">
        <v>500</v>
      </c>
      <c r="AN3">
        <v>500</v>
      </c>
      <c r="AO3">
        <v>-400</v>
      </c>
      <c r="AP3">
        <f t="shared" ref="AP3:AP66" si="21">2*$N3-AJ3</f>
        <v>-199.39529901499139</v>
      </c>
      <c r="AQ3">
        <f t="shared" ref="AQ3:AQ66" si="22">2*$O3-AK3</f>
        <v>-173.89266303870775</v>
      </c>
      <c r="AR3">
        <f t="shared" ref="AR3:AR66" si="23">AO3*$S3-AN3*$R3</f>
        <v>-534.73710738498494</v>
      </c>
      <c r="AS3">
        <f t="shared" si="11"/>
        <v>202.62709295142827</v>
      </c>
      <c r="AT3">
        <f t="shared" si="12"/>
        <v>-0.18609328097330324</v>
      </c>
      <c r="AU3" t="b">
        <f t="shared" ref="AU3:AU66" si="24">IF(NOT(OR(ISERROR(AS3),ISERROR(AT3))),IF(AND(AT3&gt;=0,AT3&lt;=1,AS3&gt;=0),TRUE,FALSE),FALSE)</f>
        <v>0</v>
      </c>
      <c r="AV3">
        <f t="shared" si="13"/>
        <v>25000</v>
      </c>
    </row>
    <row r="4" spans="1:48" x14ac:dyDescent="0.25">
      <c r="A4">
        <f t="shared" ref="A4:A49" si="25">A3+B4</f>
        <v>0.2</v>
      </c>
      <c r="B4">
        <f t="shared" si="14"/>
        <v>0.1</v>
      </c>
      <c r="C4">
        <f>sim!C3+(sim!$G3*$B4*COS($E4))</f>
        <v>-108.00224902196395</v>
      </c>
      <c r="D4">
        <f>sim!D3+(sim!$G3*$B4*SIN($E4))</f>
        <v>-30.104451317169598</v>
      </c>
      <c r="E4">
        <f t="shared" ref="E4:E49" si="26">E3+H3*B4</f>
        <v>1.449734133291493</v>
      </c>
      <c r="F4">
        <f t="shared" si="0"/>
        <v>102.11310054423642</v>
      </c>
      <c r="G4">
        <v>100</v>
      </c>
      <c r="H4">
        <f t="shared" si="15"/>
        <v>-0.18440280961304781</v>
      </c>
      <c r="I4">
        <f t="shared" si="1"/>
        <v>-10.565502721182085</v>
      </c>
      <c r="J4">
        <f t="shared" ref="J4:J66" si="27">J3+(Ksoll-F3)*B4*Ki</f>
        <v>0</v>
      </c>
      <c r="K4">
        <f t="shared" si="16"/>
        <v>0</v>
      </c>
      <c r="L4">
        <f t="shared" si="2"/>
        <v>0</v>
      </c>
      <c r="M4">
        <f t="shared" ref="M4:M49" si="28">I4+J4+L4</f>
        <v>-10.565502721182085</v>
      </c>
      <c r="N4">
        <f t="shared" si="3"/>
        <v>-98.368919063405755</v>
      </c>
      <c r="O4">
        <f t="shared" si="4"/>
        <v>-27.421364678697927</v>
      </c>
      <c r="P4">
        <f t="shared" ref="P4:P49" si="29">N4+S4*100</f>
        <v>-2.035619477823829</v>
      </c>
      <c r="Q4">
        <f t="shared" ref="Q4:Q49" si="30">O4+R4*100</f>
        <v>-0.59049829398121645</v>
      </c>
      <c r="R4">
        <f t="shared" si="5"/>
        <v>0.26830866384716712</v>
      </c>
      <c r="S4">
        <f t="shared" si="6"/>
        <v>0.96333299585581922</v>
      </c>
      <c r="U4">
        <f>IF(((AJ3-C3)^2+(AK3-D3)^2)&gt;((AL3-C3)^2+(AM3-D3)^2),U3+1,U3)</f>
        <v>0</v>
      </c>
      <c r="V4" cm="1">
        <f t="array" ref="V4:AA4">INDEX(surface!$A$2:$I$40,U4+1,COLUMN(surface!$B$1:$G$1))</f>
        <v>0</v>
      </c>
      <c r="W4">
        <v>-100</v>
      </c>
      <c r="X4">
        <v>0</v>
      </c>
      <c r="Y4">
        <v>100</v>
      </c>
      <c r="Z4">
        <v>0</v>
      </c>
      <c r="AA4">
        <v>-200</v>
      </c>
      <c r="AB4">
        <f t="shared" si="17"/>
        <v>-196.73783812681151</v>
      </c>
      <c r="AC4">
        <f t="shared" si="18"/>
        <v>45.157270642604146</v>
      </c>
      <c r="AD4">
        <f t="shared" si="7"/>
        <v>-192.66659917116385</v>
      </c>
      <c r="AE4">
        <f t="shared" si="8"/>
        <v>102.11310054423642</v>
      </c>
      <c r="AF4">
        <f t="shared" si="9"/>
        <v>0.49988232444808783</v>
      </c>
      <c r="AG4" t="b">
        <f t="shared" si="19"/>
        <v>1</v>
      </c>
      <c r="AH4">
        <f t="shared" si="10"/>
        <v>102.11310054423642</v>
      </c>
      <c r="AI4">
        <f t="shared" si="20"/>
        <v>1</v>
      </c>
      <c r="AJ4" cm="1">
        <f t="array" ref="AJ4:AO4">INDEX(surface!$A$2:$I$40,AI4+1,COLUMN(surface!$B$1:$G$1))</f>
        <v>0</v>
      </c>
      <c r="AK4">
        <v>100</v>
      </c>
      <c r="AL4">
        <v>-500</v>
      </c>
      <c r="AM4">
        <v>500</v>
      </c>
      <c r="AN4">
        <v>500</v>
      </c>
      <c r="AO4">
        <v>-400</v>
      </c>
      <c r="AP4">
        <f t="shared" si="21"/>
        <v>-196.73783812681151</v>
      </c>
      <c r="AQ4">
        <f t="shared" si="22"/>
        <v>-154.84272935739585</v>
      </c>
      <c r="AR4">
        <f t="shared" si="23"/>
        <v>-519.48753026591123</v>
      </c>
      <c r="AS4">
        <f t="shared" si="11"/>
        <v>198.38445383271971</v>
      </c>
      <c r="AT4">
        <f t="shared" si="12"/>
        <v>-0.18548274235697718</v>
      </c>
      <c r="AU4" t="b">
        <f t="shared" si="24"/>
        <v>0</v>
      </c>
      <c r="AV4">
        <f t="shared" si="13"/>
        <v>25000</v>
      </c>
    </row>
    <row r="5" spans="1:48" x14ac:dyDescent="0.25">
      <c r="A5">
        <f t="shared" si="25"/>
        <v>0.30000000000000004</v>
      </c>
      <c r="B5">
        <f t="shared" si="14"/>
        <v>0.1</v>
      </c>
      <c r="C5">
        <f>sim!C4+(sim!$G4*$B5*COS($E5))</f>
        <v>-106.61174462546073</v>
      </c>
      <c r="D5">
        <f>sim!D4+(sim!$G4*$B5*SIN($E5))</f>
        <v>-20.201598317992783</v>
      </c>
      <c r="E5">
        <f t="shared" si="26"/>
        <v>1.4312938523301884</v>
      </c>
      <c r="F5">
        <f t="shared" si="0"/>
        <v>100.12283281031425</v>
      </c>
      <c r="G5">
        <v>100</v>
      </c>
      <c r="H5">
        <f t="shared" si="15"/>
        <v>-1.0719184847306584E-2</v>
      </c>
      <c r="I5">
        <f t="shared" si="1"/>
        <v>-0.61416405157125098</v>
      </c>
      <c r="J5">
        <f t="shared" si="27"/>
        <v>0</v>
      </c>
      <c r="K5">
        <f t="shared" si="16"/>
        <v>0</v>
      </c>
      <c r="L5">
        <f t="shared" si="2"/>
        <v>0</v>
      </c>
      <c r="M5">
        <f t="shared" si="28"/>
        <v>-0.61416405157125098</v>
      </c>
      <c r="N5">
        <f t="shared" si="3"/>
        <v>-96.930578430880658</v>
      </c>
      <c r="O5">
        <f t="shared" si="4"/>
        <v>-17.696599093857159</v>
      </c>
      <c r="P5">
        <f t="shared" si="29"/>
        <v>-0.11891648507996422</v>
      </c>
      <c r="Q5">
        <f t="shared" si="30"/>
        <v>7.3533931474990588</v>
      </c>
      <c r="R5">
        <f t="shared" si="5"/>
        <v>0.25049992241356217</v>
      </c>
      <c r="S5">
        <f t="shared" si="6"/>
        <v>0.96811661945800687</v>
      </c>
      <c r="U5">
        <f t="shared" ref="U5:U68" si="31">IF(((AJ4-C4)^2+(AK4-D4)^2)&gt;((AL4-C4)^2+(AM4-D4)^2),U4+1,U4)</f>
        <v>0</v>
      </c>
      <c r="V5" cm="1">
        <f t="array" ref="V5:AA5">INDEX(surface!$A$2:$I$40,U5+1,COLUMN(surface!$B$1:$G$1))</f>
        <v>0</v>
      </c>
      <c r="W5">
        <v>-100</v>
      </c>
      <c r="X5">
        <v>0</v>
      </c>
      <c r="Y5">
        <v>100</v>
      </c>
      <c r="Z5">
        <v>0</v>
      </c>
      <c r="AA5">
        <v>-200</v>
      </c>
      <c r="AB5">
        <f t="shared" si="17"/>
        <v>-193.86115686176132</v>
      </c>
      <c r="AC5">
        <f t="shared" si="18"/>
        <v>64.606801812285681</v>
      </c>
      <c r="AD5">
        <f t="shared" si="7"/>
        <v>-193.62332389160139</v>
      </c>
      <c r="AE5">
        <f t="shared" si="8"/>
        <v>100.12283281031425</v>
      </c>
      <c r="AF5">
        <f t="shared" si="9"/>
        <v>0.53692081378476308</v>
      </c>
      <c r="AG5" t="b">
        <f t="shared" si="19"/>
        <v>1</v>
      </c>
      <c r="AH5">
        <f t="shared" si="10"/>
        <v>100.12283281031425</v>
      </c>
      <c r="AI5">
        <f t="shared" si="20"/>
        <v>1</v>
      </c>
      <c r="AJ5" cm="1">
        <f t="array" ref="AJ5:AO5">INDEX(surface!$A$2:$I$40,AI5+1,COLUMN(surface!$B$1:$G$1))</f>
        <v>0</v>
      </c>
      <c r="AK5">
        <v>100</v>
      </c>
      <c r="AL5">
        <v>-500</v>
      </c>
      <c r="AM5">
        <v>500</v>
      </c>
      <c r="AN5">
        <v>500</v>
      </c>
      <c r="AO5">
        <v>-400</v>
      </c>
      <c r="AP5">
        <f t="shared" si="21"/>
        <v>-193.86115686176132</v>
      </c>
      <c r="AQ5">
        <f t="shared" si="22"/>
        <v>-135.39319818771432</v>
      </c>
      <c r="AR5">
        <f t="shared" si="23"/>
        <v>-512.49660898998388</v>
      </c>
      <c r="AS5">
        <f t="shared" si="11"/>
        <v>190.48034505373423</v>
      </c>
      <c r="AT5">
        <f t="shared" si="12"/>
        <v>-0.17495321859147042</v>
      </c>
      <c r="AU5" t="b">
        <f t="shared" si="24"/>
        <v>0</v>
      </c>
      <c r="AV5">
        <f t="shared" si="13"/>
        <v>25000</v>
      </c>
    </row>
    <row r="6" spans="1:48" x14ac:dyDescent="0.25">
      <c r="A6">
        <f t="shared" si="25"/>
        <v>0.4</v>
      </c>
      <c r="B6">
        <f t="shared" si="14"/>
        <v>0.1</v>
      </c>
      <c r="C6">
        <f>sim!C5+(sim!$G5*$B6*COS($E6))</f>
        <v>-105.21062597866003</v>
      </c>
      <c r="D6">
        <f>sim!D5+(sim!$G5*$B6*SIN($E6))</f>
        <v>-10.300241515130491</v>
      </c>
      <c r="E6">
        <f t="shared" si="26"/>
        <v>1.4302219338454576</v>
      </c>
      <c r="F6">
        <f t="shared" si="0"/>
        <v>98.645499206641986</v>
      </c>
      <c r="G6">
        <v>100</v>
      </c>
      <c r="H6">
        <f t="shared" si="15"/>
        <v>0.11820249282486341</v>
      </c>
      <c r="I6">
        <f t="shared" si="1"/>
        <v>6.7725039667900688</v>
      </c>
      <c r="J6">
        <f t="shared" si="27"/>
        <v>0</v>
      </c>
      <c r="K6">
        <f t="shared" si="16"/>
        <v>0</v>
      </c>
      <c r="L6">
        <f t="shared" si="2"/>
        <v>0</v>
      </c>
      <c r="M6">
        <f t="shared" si="28"/>
        <v>6.7725039667900688</v>
      </c>
      <c r="N6">
        <f t="shared" si="3"/>
        <v>-95.526780191495746</v>
      </c>
      <c r="O6">
        <f t="shared" si="4"/>
        <v>-7.8056211491387852</v>
      </c>
      <c r="P6">
        <f t="shared" si="29"/>
        <v>1.3116776801470706</v>
      </c>
      <c r="Q6">
        <f t="shared" si="30"/>
        <v>17.140582510778273</v>
      </c>
      <c r="R6">
        <f t="shared" si="5"/>
        <v>0.24946203659917057</v>
      </c>
      <c r="S6">
        <f t="shared" si="6"/>
        <v>0.96838457871642813</v>
      </c>
      <c r="U6">
        <f t="shared" si="31"/>
        <v>0</v>
      </c>
      <c r="V6" cm="1">
        <f t="array" ref="V6:AA6">INDEX(surface!$A$2:$I$40,U6+1,COLUMN(surface!$B$1:$G$1))</f>
        <v>0</v>
      </c>
      <c r="W6">
        <v>-100</v>
      </c>
      <c r="X6">
        <v>0</v>
      </c>
      <c r="Y6">
        <v>100</v>
      </c>
      <c r="Z6">
        <v>0</v>
      </c>
      <c r="AA6">
        <v>-200</v>
      </c>
      <c r="AB6">
        <f t="shared" si="17"/>
        <v>-191.05356038299149</v>
      </c>
      <c r="AC6">
        <f t="shared" si="18"/>
        <v>84.388757701722426</v>
      </c>
      <c r="AD6">
        <f t="shared" si="7"/>
        <v>-193.67691574328563</v>
      </c>
      <c r="AE6">
        <f t="shared" si="8"/>
        <v>98.645499206641986</v>
      </c>
      <c r="AF6">
        <f t="shared" si="9"/>
        <v>0.58401342992145988</v>
      </c>
      <c r="AG6" t="b">
        <f t="shared" si="19"/>
        <v>1</v>
      </c>
      <c r="AH6">
        <f t="shared" si="10"/>
        <v>98.645499206641986</v>
      </c>
      <c r="AI6">
        <f t="shared" si="20"/>
        <v>1</v>
      </c>
      <c r="AJ6" cm="1">
        <f t="array" ref="AJ6:AO6">INDEX(surface!$A$2:$I$40,AI6+1,COLUMN(surface!$B$1:$G$1))</f>
        <v>0</v>
      </c>
      <c r="AK6">
        <v>100</v>
      </c>
      <c r="AL6">
        <v>-500</v>
      </c>
      <c r="AM6">
        <v>500</v>
      </c>
      <c r="AN6">
        <v>500</v>
      </c>
      <c r="AO6">
        <v>-400</v>
      </c>
      <c r="AP6">
        <f t="shared" si="21"/>
        <v>-191.05356038299149</v>
      </c>
      <c r="AQ6">
        <f t="shared" si="22"/>
        <v>-115.61124229827757</v>
      </c>
      <c r="AR6">
        <f t="shared" si="23"/>
        <v>-512.08484978615661</v>
      </c>
      <c r="AS6">
        <f t="shared" si="11"/>
        <v>179.87941390891316</v>
      </c>
      <c r="AT6">
        <f t="shared" si="12"/>
        <v>-0.1573313405328903</v>
      </c>
      <c r="AU6" t="b">
        <f t="shared" si="24"/>
        <v>0</v>
      </c>
      <c r="AV6">
        <f t="shared" si="13"/>
        <v>25000</v>
      </c>
    </row>
    <row r="7" spans="1:48" x14ac:dyDescent="0.25">
      <c r="A7">
        <f t="shared" si="25"/>
        <v>0.5</v>
      </c>
      <c r="B7">
        <f t="shared" si="14"/>
        <v>0.1</v>
      </c>
      <c r="C7">
        <f>sim!C6+(sim!$G6*$B7*COS($E7))</f>
        <v>-103.9266389919795</v>
      </c>
      <c r="D7">
        <f>sim!D6+(sim!$G6*$B7*SIN($E7))</f>
        <v>-0.3830152185274418</v>
      </c>
      <c r="E7">
        <f t="shared" si="26"/>
        <v>1.442042183127944</v>
      </c>
      <c r="F7">
        <f t="shared" si="0"/>
        <v>97.654912241856223</v>
      </c>
      <c r="G7">
        <v>100</v>
      </c>
      <c r="H7">
        <f t="shared" si="15"/>
        <v>0.20464751313910684</v>
      </c>
      <c r="I7">
        <f t="shared" si="1"/>
        <v>11.725438790718883</v>
      </c>
      <c r="J7">
        <f t="shared" si="27"/>
        <v>0</v>
      </c>
      <c r="K7">
        <f t="shared" si="16"/>
        <v>0</v>
      </c>
      <c r="L7">
        <f t="shared" si="2"/>
        <v>0</v>
      </c>
      <c r="M7">
        <f t="shared" si="28"/>
        <v>11.725438790718883</v>
      </c>
      <c r="N7">
        <f t="shared" si="3"/>
        <v>-94.272956050090215</v>
      </c>
      <c r="O7">
        <f t="shared" si="4"/>
        <v>2.2258936831929512</v>
      </c>
      <c r="P7">
        <f t="shared" si="29"/>
        <v>2.2638733688025923</v>
      </c>
      <c r="Q7">
        <f t="shared" si="30"/>
        <v>28.314982700396882</v>
      </c>
      <c r="R7">
        <f t="shared" si="5"/>
        <v>0.26089089017203931</v>
      </c>
      <c r="S7">
        <f t="shared" si="6"/>
        <v>0.96536829418892811</v>
      </c>
      <c r="U7">
        <f t="shared" si="31"/>
        <v>0</v>
      </c>
      <c r="V7" cm="1">
        <f t="array" ref="V7:AA7">INDEX(surface!$A$2:$I$40,U7+1,COLUMN(surface!$B$1:$G$1))</f>
        <v>0</v>
      </c>
      <c r="W7">
        <v>-100</v>
      </c>
      <c r="X7">
        <v>0</v>
      </c>
      <c r="Y7">
        <v>100</v>
      </c>
      <c r="Z7">
        <v>0</v>
      </c>
      <c r="AA7">
        <v>-200</v>
      </c>
      <c r="AB7">
        <f t="shared" si="17"/>
        <v>-188.54591210018043</v>
      </c>
      <c r="AC7">
        <f t="shared" si="18"/>
        <v>104.4517873663859</v>
      </c>
      <c r="AD7">
        <f t="shared" si="7"/>
        <v>-193.07365883778562</v>
      </c>
      <c r="AE7">
        <f t="shared" si="8"/>
        <v>97.654912241856223</v>
      </c>
      <c r="AF7">
        <f t="shared" si="9"/>
        <v>0.63851585333821592</v>
      </c>
      <c r="AG7" t="b">
        <f t="shared" si="19"/>
        <v>1</v>
      </c>
      <c r="AH7">
        <f t="shared" si="10"/>
        <v>97.654912241856223</v>
      </c>
      <c r="AI7">
        <f t="shared" si="20"/>
        <v>1</v>
      </c>
      <c r="AJ7" cm="1">
        <f t="array" ref="AJ7:AO7">INDEX(surface!$A$2:$I$40,AI7+1,COLUMN(surface!$B$1:$G$1))</f>
        <v>0</v>
      </c>
      <c r="AK7">
        <v>100</v>
      </c>
      <c r="AL7">
        <v>-500</v>
      </c>
      <c r="AM7">
        <v>500</v>
      </c>
      <c r="AN7">
        <v>500</v>
      </c>
      <c r="AO7">
        <v>-400</v>
      </c>
      <c r="AP7">
        <f t="shared" si="21"/>
        <v>-188.54591210018043</v>
      </c>
      <c r="AQ7">
        <f t="shared" si="22"/>
        <v>-95.548212633614099</v>
      </c>
      <c r="AR7">
        <f t="shared" si="23"/>
        <v>-516.59276276159085</v>
      </c>
      <c r="AS7">
        <f t="shared" si="11"/>
        <v>167.62959495505754</v>
      </c>
      <c r="AT7">
        <f t="shared" si="12"/>
        <v>-0.13510268017450927</v>
      </c>
      <c r="AU7" t="b">
        <f t="shared" si="24"/>
        <v>0</v>
      </c>
      <c r="AV7">
        <f t="shared" si="13"/>
        <v>25000</v>
      </c>
    </row>
    <row r="8" spans="1:48" x14ac:dyDescent="0.25">
      <c r="A8">
        <f t="shared" si="25"/>
        <v>0.6</v>
      </c>
      <c r="B8">
        <f t="shared" si="14"/>
        <v>0.1</v>
      </c>
      <c r="C8">
        <f>sim!C7+(sim!$G7*$B8*COS($E8))</f>
        <v>-102.8458602704888</v>
      </c>
      <c r="D8">
        <f>sim!D7+(sim!$G7*$B8*SIN($E8))</f>
        <v>9.5584090936711341</v>
      </c>
      <c r="E8">
        <f t="shared" si="26"/>
        <v>1.4625069344418546</v>
      </c>
      <c r="F8">
        <f t="shared" si="0"/>
        <v>97.150362975851991</v>
      </c>
      <c r="G8">
        <v>100</v>
      </c>
      <c r="H8">
        <f t="shared" si="15"/>
        <v>0.24867774279057961</v>
      </c>
      <c r="I8">
        <f t="shared" si="1"/>
        <v>14.248185120740047</v>
      </c>
      <c r="J8">
        <f t="shared" si="27"/>
        <v>0</v>
      </c>
      <c r="K8">
        <f t="shared" si="16"/>
        <v>0</v>
      </c>
      <c r="L8">
        <f t="shared" si="2"/>
        <v>0</v>
      </c>
      <c r="M8">
        <f t="shared" si="28"/>
        <v>14.248185120740047</v>
      </c>
      <c r="N8">
        <f t="shared" si="3"/>
        <v>-93.247585713671228</v>
      </c>
      <c r="O8">
        <f t="shared" si="4"/>
        <v>12.364318132102056</v>
      </c>
      <c r="P8">
        <f t="shared" si="29"/>
        <v>2.7351598545045306</v>
      </c>
      <c r="Q8">
        <f t="shared" si="30"/>
        <v>40.423408516411286</v>
      </c>
      <c r="R8">
        <f t="shared" si="5"/>
        <v>0.28059090384309232</v>
      </c>
      <c r="S8">
        <f t="shared" si="6"/>
        <v>0.95982745568175765</v>
      </c>
      <c r="U8">
        <f t="shared" si="31"/>
        <v>0</v>
      </c>
      <c r="V8" cm="1">
        <f t="array" ref="V8:AA8">INDEX(surface!$A$2:$I$40,U8+1,COLUMN(surface!$B$1:$G$1))</f>
        <v>0</v>
      </c>
      <c r="W8">
        <v>-100</v>
      </c>
      <c r="X8">
        <v>0</v>
      </c>
      <c r="Y8">
        <v>100</v>
      </c>
      <c r="Z8">
        <v>0</v>
      </c>
      <c r="AA8">
        <v>-200</v>
      </c>
      <c r="AB8">
        <f t="shared" si="17"/>
        <v>-186.49517142734246</v>
      </c>
      <c r="AC8">
        <f t="shared" si="18"/>
        <v>124.72863626420411</v>
      </c>
      <c r="AD8">
        <f t="shared" si="7"/>
        <v>-191.96549113635152</v>
      </c>
      <c r="AE8">
        <f t="shared" si="8"/>
        <v>97.150362975851991</v>
      </c>
      <c r="AF8">
        <f t="shared" si="9"/>
        <v>0.69811913144090443</v>
      </c>
      <c r="AG8" t="b">
        <f t="shared" si="19"/>
        <v>1</v>
      </c>
      <c r="AH8">
        <f t="shared" si="10"/>
        <v>97.150362975851991</v>
      </c>
      <c r="AI8">
        <f t="shared" si="20"/>
        <v>1</v>
      </c>
      <c r="AJ8" cm="1">
        <f t="array" ref="AJ8:AO8">INDEX(surface!$A$2:$I$40,AI8+1,COLUMN(surface!$B$1:$G$1))</f>
        <v>0</v>
      </c>
      <c r="AK8">
        <v>100</v>
      </c>
      <c r="AL8">
        <v>-500</v>
      </c>
      <c r="AM8">
        <v>500</v>
      </c>
      <c r="AN8">
        <v>500</v>
      </c>
      <c r="AO8">
        <v>-400</v>
      </c>
      <c r="AP8">
        <f t="shared" si="21"/>
        <v>-186.49517142734246</v>
      </c>
      <c r="AQ8">
        <f t="shared" si="22"/>
        <v>-75.271363735795887</v>
      </c>
      <c r="AR8">
        <f t="shared" si="23"/>
        <v>-524.22643419424924</v>
      </c>
      <c r="AS8">
        <f t="shared" si="11"/>
        <v>154.73633134142958</v>
      </c>
      <c r="AT8">
        <f t="shared" si="12"/>
        <v>-0.11054518699860504</v>
      </c>
      <c r="AU8" t="b">
        <f t="shared" si="24"/>
        <v>0</v>
      </c>
      <c r="AV8">
        <f t="shared" si="13"/>
        <v>25000</v>
      </c>
    </row>
    <row r="9" spans="1:48" x14ac:dyDescent="0.25">
      <c r="A9">
        <f t="shared" si="25"/>
        <v>0.7</v>
      </c>
      <c r="B9">
        <f t="shared" si="14"/>
        <v>0.1</v>
      </c>
      <c r="C9">
        <f>sim!C8+(sim!$G8*$B9*COS($E9))</f>
        <v>-102.01261132799297</v>
      </c>
      <c r="D9">
        <f>sim!D8+(sim!$G8*$B9*SIN($E9))</f>
        <v>19.523633436345492</v>
      </c>
      <c r="E9">
        <f t="shared" si="26"/>
        <v>1.4873747087209126</v>
      </c>
      <c r="F9">
        <f t="shared" si="0"/>
        <v>97.093812495530031</v>
      </c>
      <c r="G9">
        <v>100</v>
      </c>
      <c r="H9">
        <f t="shared" si="15"/>
        <v>0.2536127031665919</v>
      </c>
      <c r="I9">
        <f t="shared" si="1"/>
        <v>14.530937522349845</v>
      </c>
      <c r="J9">
        <f t="shared" si="27"/>
        <v>0</v>
      </c>
      <c r="K9">
        <f t="shared" si="16"/>
        <v>0</v>
      </c>
      <c r="L9">
        <f t="shared" si="2"/>
        <v>0</v>
      </c>
      <c r="M9">
        <f t="shared" si="28"/>
        <v>14.530937522349845</v>
      </c>
      <c r="N9">
        <f t="shared" si="3"/>
        <v>-92.487073955584009</v>
      </c>
      <c r="O9">
        <f t="shared" si="4"/>
        <v>22.567338048629686</v>
      </c>
      <c r="P9">
        <f t="shared" si="29"/>
        <v>2.7682997685056563</v>
      </c>
      <c r="Q9">
        <f t="shared" si="30"/>
        <v>53.004384171471656</v>
      </c>
      <c r="R9">
        <f t="shared" si="5"/>
        <v>0.30437046122841965</v>
      </c>
      <c r="S9">
        <f t="shared" si="6"/>
        <v>0.95255373724089665</v>
      </c>
      <c r="U9">
        <f t="shared" si="31"/>
        <v>0</v>
      </c>
      <c r="V9" cm="1">
        <f t="array" ref="V9:AA9">INDEX(surface!$A$2:$I$40,U9+1,COLUMN(surface!$B$1:$G$1))</f>
        <v>0</v>
      </c>
      <c r="W9">
        <v>-100</v>
      </c>
      <c r="X9">
        <v>0</v>
      </c>
      <c r="Y9">
        <v>100</v>
      </c>
      <c r="Z9">
        <v>0</v>
      </c>
      <c r="AA9">
        <v>-200</v>
      </c>
      <c r="AB9">
        <f t="shared" si="17"/>
        <v>-184.97414791116802</v>
      </c>
      <c r="AC9">
        <f t="shared" si="18"/>
        <v>145.13467609725939</v>
      </c>
      <c r="AD9">
        <f t="shared" si="7"/>
        <v>-190.51074744817933</v>
      </c>
      <c r="AE9">
        <f t="shared" si="8"/>
        <v>97.093812495530031</v>
      </c>
      <c r="AF9">
        <f t="shared" si="9"/>
        <v>0.7605991327015994</v>
      </c>
      <c r="AG9" t="b">
        <f t="shared" si="19"/>
        <v>1</v>
      </c>
      <c r="AH9">
        <f t="shared" si="10"/>
        <v>97.093812495530031</v>
      </c>
      <c r="AI9">
        <f t="shared" si="20"/>
        <v>1</v>
      </c>
      <c r="AJ9" cm="1">
        <f t="array" ref="AJ9:AO9">INDEX(surface!$A$2:$I$40,AI9+1,COLUMN(surface!$B$1:$G$1))</f>
        <v>0</v>
      </c>
      <c r="AK9">
        <v>100</v>
      </c>
      <c r="AL9">
        <v>-500</v>
      </c>
      <c r="AM9">
        <v>500</v>
      </c>
      <c r="AN9">
        <v>500</v>
      </c>
      <c r="AO9">
        <v>-400</v>
      </c>
      <c r="AP9">
        <f t="shared" si="21"/>
        <v>-184.97414791116802</v>
      </c>
      <c r="AQ9">
        <f t="shared" si="22"/>
        <v>-54.865323902740627</v>
      </c>
      <c r="AR9">
        <f t="shared" si="23"/>
        <v>-533.2067255105685</v>
      </c>
      <c r="AS9">
        <f t="shared" si="11"/>
        <v>141.99213351148569</v>
      </c>
      <c r="AT9">
        <f t="shared" si="12"/>
        <v>-8.5536126959180142E-2</v>
      </c>
      <c r="AU9" t="b">
        <f t="shared" si="24"/>
        <v>0</v>
      </c>
      <c r="AV9">
        <f t="shared" si="13"/>
        <v>25000</v>
      </c>
    </row>
    <row r="10" spans="1:48" x14ac:dyDescent="0.25">
      <c r="A10">
        <f t="shared" si="25"/>
        <v>0.79999999999999993</v>
      </c>
      <c r="B10">
        <f t="shared" si="14"/>
        <v>0.1</v>
      </c>
      <c r="C10">
        <f>sim!C9+(sim!$G9*$B10*COS($E10))</f>
        <v>-101.43233399821504</v>
      </c>
      <c r="D10">
        <f>sim!D9+(sim!$G9*$B10*SIN($E10))</f>
        <v>29.506783150766577</v>
      </c>
      <c r="E10">
        <f t="shared" si="26"/>
        <v>1.5127359790375718</v>
      </c>
      <c r="F10">
        <f t="shared" si="0"/>
        <v>97.389324973245465</v>
      </c>
      <c r="G10">
        <v>100</v>
      </c>
      <c r="H10">
        <f t="shared" si="15"/>
        <v>0.22782437458228846</v>
      </c>
      <c r="I10">
        <f t="shared" si="1"/>
        <v>13.053375133772676</v>
      </c>
      <c r="J10">
        <f t="shared" si="27"/>
        <v>0</v>
      </c>
      <c r="K10">
        <f t="shared" si="16"/>
        <v>0</v>
      </c>
      <c r="L10">
        <f t="shared" si="2"/>
        <v>0</v>
      </c>
      <c r="M10">
        <f t="shared" si="28"/>
        <v>13.053375133772676</v>
      </c>
      <c r="N10">
        <f t="shared" si="3"/>
        <v>-91.987043786782436</v>
      </c>
      <c r="O10">
        <f t="shared" si="4"/>
        <v>32.79106280113367</v>
      </c>
      <c r="P10">
        <f t="shared" si="29"/>
        <v>2.4658583275436143</v>
      </c>
      <c r="Q10">
        <f t="shared" si="30"/>
        <v>65.633859304804631</v>
      </c>
      <c r="R10">
        <f t="shared" si="5"/>
        <v>0.32842796503670962</v>
      </c>
      <c r="S10">
        <f t="shared" si="6"/>
        <v>0.94452902114326054</v>
      </c>
      <c r="U10">
        <f t="shared" si="31"/>
        <v>0</v>
      </c>
      <c r="V10" cm="1">
        <f t="array" ref="V10:AA10">INDEX(surface!$A$2:$I$40,U10+1,COLUMN(surface!$B$1:$G$1))</f>
        <v>0</v>
      </c>
      <c r="W10">
        <v>-100</v>
      </c>
      <c r="X10">
        <v>0</v>
      </c>
      <c r="Y10">
        <v>100</v>
      </c>
      <c r="Z10">
        <v>0</v>
      </c>
      <c r="AA10">
        <v>-200</v>
      </c>
      <c r="AB10">
        <f t="shared" si="17"/>
        <v>-183.97408757356487</v>
      </c>
      <c r="AC10">
        <f t="shared" si="18"/>
        <v>165.58212560226735</v>
      </c>
      <c r="AD10">
        <f t="shared" si="7"/>
        <v>-188.9058042286521</v>
      </c>
      <c r="AE10">
        <f t="shared" si="8"/>
        <v>97.389324973245465</v>
      </c>
      <c r="AF10">
        <f t="shared" si="9"/>
        <v>0.82388220309197757</v>
      </c>
      <c r="AG10" t="b">
        <f t="shared" si="19"/>
        <v>1</v>
      </c>
      <c r="AH10">
        <f t="shared" si="10"/>
        <v>97.389324973245465</v>
      </c>
      <c r="AI10">
        <f t="shared" si="20"/>
        <v>1</v>
      </c>
      <c r="AJ10" cm="1">
        <f t="array" ref="AJ10:AO10">INDEX(surface!$A$2:$I$40,AI10+1,COLUMN(surface!$B$1:$G$1))</f>
        <v>0</v>
      </c>
      <c r="AK10">
        <v>100</v>
      </c>
      <c r="AL10">
        <v>-500</v>
      </c>
      <c r="AM10">
        <v>500</v>
      </c>
      <c r="AN10">
        <v>500</v>
      </c>
      <c r="AO10">
        <v>-400</v>
      </c>
      <c r="AP10">
        <f t="shared" si="21"/>
        <v>-183.97408757356487</v>
      </c>
      <c r="AQ10">
        <f t="shared" si="22"/>
        <v>-34.41787439773266</v>
      </c>
      <c r="AR10">
        <f t="shared" si="23"/>
        <v>-542.02559097565904</v>
      </c>
      <c r="AS10">
        <f t="shared" si="11"/>
        <v>129.88184928210813</v>
      </c>
      <c r="AT10">
        <f t="shared" si="12"/>
        <v>-6.1380264359847302E-2</v>
      </c>
      <c r="AU10" t="b">
        <f t="shared" si="24"/>
        <v>0</v>
      </c>
      <c r="AV10">
        <f t="shared" si="13"/>
        <v>25000</v>
      </c>
    </row>
    <row r="11" spans="1:48" x14ac:dyDescent="0.25">
      <c r="A11">
        <f t="shared" si="25"/>
        <v>0.89999999999999991</v>
      </c>
      <c r="B11">
        <f t="shared" si="14"/>
        <v>0.1</v>
      </c>
      <c r="C11">
        <f>sim!C10+(sim!$G10*$B11*COS($E11))</f>
        <v>-101.07962806475651</v>
      </c>
      <c r="D11">
        <f>sim!D10+(sim!$G10*$B11*SIN($E11))</f>
        <v>39.500561141321654</v>
      </c>
      <c r="E11">
        <f t="shared" si="26"/>
        <v>1.5355184164958007</v>
      </c>
      <c r="F11">
        <f t="shared" si="0"/>
        <v>97.898584979257251</v>
      </c>
      <c r="G11">
        <v>100</v>
      </c>
      <c r="H11">
        <f t="shared" si="15"/>
        <v>0.18338305531412954</v>
      </c>
      <c r="I11">
        <f t="shared" si="1"/>
        <v>10.507075103713746</v>
      </c>
      <c r="J11">
        <f t="shared" si="27"/>
        <v>0</v>
      </c>
      <c r="K11">
        <f t="shared" si="16"/>
        <v>0</v>
      </c>
      <c r="L11">
        <f t="shared" si="2"/>
        <v>0</v>
      </c>
      <c r="M11">
        <f t="shared" si="28"/>
        <v>10.507075103713746</v>
      </c>
      <c r="N11">
        <f t="shared" si="3"/>
        <v>-91.71160640958945</v>
      </c>
      <c r="O11">
        <f t="shared" si="4"/>
        <v>42.999156612124338</v>
      </c>
      <c r="P11">
        <f t="shared" si="29"/>
        <v>1.9686101420811468</v>
      </c>
      <c r="Q11">
        <f t="shared" si="30"/>
        <v>77.985111320151162</v>
      </c>
      <c r="R11">
        <f t="shared" si="5"/>
        <v>0.34985954708026823</v>
      </c>
      <c r="S11">
        <f t="shared" si="6"/>
        <v>0.93680216551670592</v>
      </c>
      <c r="U11">
        <f t="shared" si="31"/>
        <v>0</v>
      </c>
      <c r="V11" cm="1">
        <f t="array" ref="V11:AA11">INDEX(surface!$A$2:$I$40,U11+1,COLUMN(surface!$B$1:$G$1))</f>
        <v>0</v>
      </c>
      <c r="W11">
        <v>-100</v>
      </c>
      <c r="X11">
        <v>0</v>
      </c>
      <c r="Y11">
        <v>100</v>
      </c>
      <c r="Z11">
        <v>0</v>
      </c>
      <c r="AA11">
        <v>-200</v>
      </c>
      <c r="AB11">
        <f t="shared" si="17"/>
        <v>-183.4232128191789</v>
      </c>
      <c r="AC11">
        <f t="shared" si="18"/>
        <v>185.99831322424868</v>
      </c>
      <c r="AD11">
        <f t="shared" si="7"/>
        <v>-187.36043310334119</v>
      </c>
      <c r="AE11">
        <f t="shared" si="8"/>
        <v>97.898584979257251</v>
      </c>
      <c r="AF11">
        <f t="shared" si="9"/>
        <v>0.88624955606383204</v>
      </c>
      <c r="AG11" t="b">
        <f t="shared" si="19"/>
        <v>1</v>
      </c>
      <c r="AH11">
        <f t="shared" si="10"/>
        <v>97.898584979257251</v>
      </c>
      <c r="AI11">
        <f t="shared" si="20"/>
        <v>1</v>
      </c>
      <c r="AJ11" cm="1">
        <f t="array" ref="AJ11:AO11">INDEX(surface!$A$2:$I$40,AI11+1,COLUMN(surface!$B$1:$G$1))</f>
        <v>0</v>
      </c>
      <c r="AK11">
        <v>100</v>
      </c>
      <c r="AL11">
        <v>-500</v>
      </c>
      <c r="AM11">
        <v>500</v>
      </c>
      <c r="AN11">
        <v>500</v>
      </c>
      <c r="AO11">
        <v>-400</v>
      </c>
      <c r="AP11">
        <f t="shared" si="21"/>
        <v>-183.4232128191789</v>
      </c>
      <c r="AQ11">
        <f t="shared" si="22"/>
        <v>-14.001686775751324</v>
      </c>
      <c r="AR11">
        <f t="shared" si="23"/>
        <v>-549.65063974681652</v>
      </c>
      <c r="AS11">
        <f t="shared" si="11"/>
        <v>118.59362937847132</v>
      </c>
      <c r="AT11">
        <f t="shared" si="12"/>
        <v>-3.8774324817296243E-2</v>
      </c>
      <c r="AU11" t="b">
        <f t="shared" si="24"/>
        <v>0</v>
      </c>
      <c r="AV11">
        <f t="shared" si="13"/>
        <v>25000</v>
      </c>
    </row>
    <row r="12" spans="1:48" x14ac:dyDescent="0.25">
      <c r="A12">
        <f t="shared" si="25"/>
        <v>0.99999999999999989</v>
      </c>
      <c r="B12">
        <f t="shared" si="14"/>
        <v>0.1</v>
      </c>
      <c r="C12">
        <f>sim!C11+(sim!$G11*$B12*COS($E12))</f>
        <v>-100.91024011833534</v>
      </c>
      <c r="D12">
        <f>sim!D11+(sim!$G11*$B12*SIN($E12))</f>
        <v>49.499126424581405</v>
      </c>
      <c r="E12">
        <f t="shared" si="26"/>
        <v>1.5538567220272137</v>
      </c>
      <c r="F12">
        <f t="shared" si="0"/>
        <v>98.478902296683842</v>
      </c>
      <c r="G12">
        <v>100</v>
      </c>
      <c r="H12">
        <f t="shared" si="15"/>
        <v>0.13274081583695416</v>
      </c>
      <c r="I12">
        <f t="shared" si="1"/>
        <v>7.6054885165807917</v>
      </c>
      <c r="J12">
        <f t="shared" si="27"/>
        <v>0</v>
      </c>
      <c r="K12">
        <f t="shared" si="16"/>
        <v>0</v>
      </c>
      <c r="L12">
        <f t="shared" si="2"/>
        <v>0</v>
      </c>
      <c r="M12">
        <f t="shared" si="28"/>
        <v>7.6054885165807917</v>
      </c>
      <c r="N12">
        <f t="shared" si="3"/>
        <v>-91.607948337916014</v>
      </c>
      <c r="O12">
        <f t="shared" si="4"/>
        <v>53.168917649153045</v>
      </c>
      <c r="P12">
        <f t="shared" si="29"/>
        <v>1.4149694662772703</v>
      </c>
      <c r="Q12">
        <f t="shared" si="30"/>
        <v>89.866829894869426</v>
      </c>
      <c r="R12">
        <f t="shared" si="5"/>
        <v>0.36697912245716385</v>
      </c>
      <c r="S12">
        <f t="shared" si="6"/>
        <v>0.93022917804193284</v>
      </c>
      <c r="U12">
        <f t="shared" si="31"/>
        <v>0</v>
      </c>
      <c r="V12" cm="1">
        <f t="array" ref="V12:AA12">INDEX(surface!$A$2:$I$40,U12+1,COLUMN(surface!$B$1:$G$1))</f>
        <v>0</v>
      </c>
      <c r="W12">
        <v>-100</v>
      </c>
      <c r="X12">
        <v>0</v>
      </c>
      <c r="Y12">
        <v>100</v>
      </c>
      <c r="Z12">
        <v>0</v>
      </c>
      <c r="AA12">
        <v>-200</v>
      </c>
      <c r="AB12">
        <f t="shared" si="17"/>
        <v>-183.21589667583203</v>
      </c>
      <c r="AC12">
        <f t="shared" si="18"/>
        <v>206.33783529830609</v>
      </c>
      <c r="AD12">
        <f t="shared" si="7"/>
        <v>-186.04583560838657</v>
      </c>
      <c r="AE12">
        <f t="shared" si="8"/>
        <v>98.478902296683842</v>
      </c>
      <c r="AF12">
        <f t="shared" si="9"/>
        <v>0.94654309397267422</v>
      </c>
      <c r="AG12" t="b">
        <f t="shared" si="19"/>
        <v>1</v>
      </c>
      <c r="AH12">
        <f t="shared" si="10"/>
        <v>98.478902296683842</v>
      </c>
      <c r="AI12">
        <f t="shared" si="20"/>
        <v>1</v>
      </c>
      <c r="AJ12" cm="1">
        <f t="array" ref="AJ12:AO12">INDEX(surface!$A$2:$I$40,AI12+1,COLUMN(surface!$B$1:$G$1))</f>
        <v>0</v>
      </c>
      <c r="AK12">
        <v>100</v>
      </c>
      <c r="AL12">
        <v>-500</v>
      </c>
      <c r="AM12">
        <v>500</v>
      </c>
      <c r="AN12">
        <v>500</v>
      </c>
      <c r="AO12">
        <v>-400</v>
      </c>
      <c r="AP12">
        <f t="shared" si="21"/>
        <v>-183.21589667583203</v>
      </c>
      <c r="AQ12">
        <f t="shared" si="22"/>
        <v>6.3378352983060893</v>
      </c>
      <c r="AR12">
        <f t="shared" si="23"/>
        <v>-555.581232445355</v>
      </c>
      <c r="AS12">
        <f t="shared" si="11"/>
        <v>108.10070067746044</v>
      </c>
      <c r="AT12">
        <f t="shared" si="12"/>
        <v>-1.7900955198070001E-2</v>
      </c>
      <c r="AU12" t="b">
        <f t="shared" si="24"/>
        <v>0</v>
      </c>
      <c r="AV12">
        <f t="shared" si="13"/>
        <v>25000</v>
      </c>
    </row>
    <row r="13" spans="1:48" x14ac:dyDescent="0.25">
      <c r="A13">
        <f t="shared" si="25"/>
        <v>1.0999999999999999</v>
      </c>
      <c r="B13">
        <f t="shared" si="14"/>
        <v>0.1</v>
      </c>
      <c r="C13">
        <f>sim!C12+(sim!$G12*$B13*COS($E13))</f>
        <v>-100.87358496857905</v>
      </c>
      <c r="D13">
        <f>sim!D12+(sim!$G12*$B13*SIN($E13))</f>
        <v>59.499059244355564</v>
      </c>
      <c r="E13">
        <f t="shared" si="26"/>
        <v>1.5671308036109091</v>
      </c>
      <c r="F13">
        <f t="shared" si="0"/>
        <v>98.260975178793288</v>
      </c>
      <c r="G13">
        <v>100</v>
      </c>
      <c r="H13">
        <f t="shared" si="15"/>
        <v>0.15175854451981419</v>
      </c>
      <c r="I13">
        <f t="shared" si="1"/>
        <v>8.6951241060335605</v>
      </c>
      <c r="J13">
        <f t="shared" si="27"/>
        <v>0</v>
      </c>
      <c r="K13">
        <f t="shared" si="16"/>
        <v>0</v>
      </c>
      <c r="L13">
        <f t="shared" si="2"/>
        <v>0</v>
      </c>
      <c r="M13">
        <f t="shared" si="28"/>
        <v>8.6951241060335605</v>
      </c>
      <c r="N13">
        <f t="shared" si="3"/>
        <v>-91.620824391379244</v>
      </c>
      <c r="O13">
        <f t="shared" si="4"/>
        <v>63.292002916626089</v>
      </c>
      <c r="P13">
        <f t="shared" si="29"/>
        <v>0.90678138061888092</v>
      </c>
      <c r="Q13">
        <f t="shared" si="30"/>
        <v>101.22143963933132</v>
      </c>
      <c r="R13">
        <f t="shared" si="5"/>
        <v>0.37929436722705223</v>
      </c>
      <c r="S13">
        <f t="shared" si="6"/>
        <v>0.92527605771998123</v>
      </c>
      <c r="U13">
        <f t="shared" si="31"/>
        <v>0</v>
      </c>
      <c r="V13" cm="1">
        <f t="array" ref="V13:AA13">INDEX(surface!$A$2:$I$40,U13+1,COLUMN(surface!$B$1:$G$1))</f>
        <v>0</v>
      </c>
      <c r="W13">
        <v>-100</v>
      </c>
      <c r="X13">
        <v>0</v>
      </c>
      <c r="Y13">
        <v>100</v>
      </c>
      <c r="Z13">
        <v>0</v>
      </c>
      <c r="AA13">
        <v>-200</v>
      </c>
      <c r="AB13">
        <f t="shared" si="17"/>
        <v>-183.24164878275849</v>
      </c>
      <c r="AC13">
        <f t="shared" si="18"/>
        <v>226.58400583325218</v>
      </c>
      <c r="AD13">
        <f t="shared" si="7"/>
        <v>-185.05521154399625</v>
      </c>
      <c r="AE13">
        <f t="shared" si="8"/>
        <v>99.019988280196799</v>
      </c>
      <c r="AF13">
        <f t="shared" si="9"/>
        <v>1.0042486335709673</v>
      </c>
      <c r="AG13" t="b">
        <f t="shared" si="19"/>
        <v>0</v>
      </c>
      <c r="AH13">
        <f t="shared" si="10"/>
        <v>25000</v>
      </c>
      <c r="AI13">
        <f t="shared" si="20"/>
        <v>1</v>
      </c>
      <c r="AJ13" cm="1">
        <f t="array" ref="AJ13:AO13">INDEX(surface!$A$2:$I$40,AI13+1,COLUMN(surface!$B$1:$G$1))</f>
        <v>0</v>
      </c>
      <c r="AK13">
        <v>100</v>
      </c>
      <c r="AL13">
        <v>-500</v>
      </c>
      <c r="AM13">
        <v>500</v>
      </c>
      <c r="AN13">
        <v>500</v>
      </c>
      <c r="AO13">
        <v>-400</v>
      </c>
      <c r="AP13">
        <f t="shared" si="21"/>
        <v>-183.24164878275849</v>
      </c>
      <c r="AQ13">
        <f t="shared" si="22"/>
        <v>26.584005833252178</v>
      </c>
      <c r="AR13">
        <f t="shared" si="23"/>
        <v>-559.75760670151863</v>
      </c>
      <c r="AS13">
        <f t="shared" si="11"/>
        <v>98.260975178793288</v>
      </c>
      <c r="AT13">
        <f t="shared" si="12"/>
        <v>1.4045933004489415E-3</v>
      </c>
      <c r="AU13" t="b">
        <f t="shared" si="24"/>
        <v>1</v>
      </c>
      <c r="AV13">
        <f t="shared" si="13"/>
        <v>98.260975178793288</v>
      </c>
    </row>
    <row r="14" spans="1:48" x14ac:dyDescent="0.25">
      <c r="A14">
        <f t="shared" si="25"/>
        <v>1.2</v>
      </c>
      <c r="B14">
        <f t="shared" si="14"/>
        <v>0.1</v>
      </c>
      <c r="C14">
        <f>sim!C13+(sim!$G13*$B14*COS($E14))</f>
        <v>-100.98868573964647</v>
      </c>
      <c r="D14">
        <f>sim!D13+(sim!$G13*$B14*SIN($E14))</f>
        <v>69.49839681303979</v>
      </c>
      <c r="E14">
        <f t="shared" si="26"/>
        <v>1.5823066580628904</v>
      </c>
      <c r="F14">
        <f t="shared" si="0"/>
        <v>88.591685027888246</v>
      </c>
      <c r="G14">
        <v>100</v>
      </c>
      <c r="H14">
        <f t="shared" si="15"/>
        <v>0.99556329183957593</v>
      </c>
      <c r="I14">
        <f t="shared" si="1"/>
        <v>57.041574860558768</v>
      </c>
      <c r="J14">
        <f t="shared" si="27"/>
        <v>0</v>
      </c>
      <c r="K14">
        <f t="shared" si="16"/>
        <v>0</v>
      </c>
      <c r="L14">
        <f t="shared" si="2"/>
        <v>0</v>
      </c>
      <c r="M14">
        <f t="shared" si="28"/>
        <v>57.041574860558768</v>
      </c>
      <c r="N14">
        <f t="shared" si="3"/>
        <v>-91.794549579407885</v>
      </c>
      <c r="O14">
        <f t="shared" si="4"/>
        <v>73.43131688176652</v>
      </c>
      <c r="P14">
        <f t="shared" si="29"/>
        <v>0.14681202297788332</v>
      </c>
      <c r="Q14">
        <f t="shared" si="30"/>
        <v>112.76051756903377</v>
      </c>
      <c r="R14">
        <f t="shared" si="5"/>
        <v>0.39329200687267246</v>
      </c>
      <c r="S14">
        <f t="shared" si="6"/>
        <v>0.91941361602385774</v>
      </c>
      <c r="U14">
        <f t="shared" si="31"/>
        <v>0</v>
      </c>
      <c r="V14" cm="1">
        <f t="array" ref="V14:AA14">INDEX(surface!$A$2:$I$40,U14+1,COLUMN(surface!$B$1:$G$1))</f>
        <v>0</v>
      </c>
      <c r="W14">
        <v>-100</v>
      </c>
      <c r="X14">
        <v>0</v>
      </c>
      <c r="Y14">
        <v>100</v>
      </c>
      <c r="Z14">
        <v>0</v>
      </c>
      <c r="AA14">
        <v>-200</v>
      </c>
      <c r="AB14">
        <f t="shared" si="17"/>
        <v>-183.58909915881577</v>
      </c>
      <c r="AC14">
        <f t="shared" si="18"/>
        <v>246.86263376353304</v>
      </c>
      <c r="AD14">
        <f t="shared" si="7"/>
        <v>-183.88272320477154</v>
      </c>
      <c r="AE14">
        <f t="shared" si="8"/>
        <v>99.840319938252819</v>
      </c>
      <c r="AF14">
        <f t="shared" si="9"/>
        <v>1.0634885833854584</v>
      </c>
      <c r="AG14" t="b">
        <f t="shared" si="19"/>
        <v>0</v>
      </c>
      <c r="AH14">
        <f t="shared" si="10"/>
        <v>25000</v>
      </c>
      <c r="AI14">
        <f t="shared" si="20"/>
        <v>1</v>
      </c>
      <c r="AJ14" cm="1">
        <f t="array" ref="AJ14:AO14">INDEX(surface!$A$2:$I$40,AI14+1,COLUMN(surface!$B$1:$G$1))</f>
        <v>0</v>
      </c>
      <c r="AK14">
        <v>100</v>
      </c>
      <c r="AL14">
        <v>-500</v>
      </c>
      <c r="AM14">
        <v>500</v>
      </c>
      <c r="AN14">
        <v>500</v>
      </c>
      <c r="AO14">
        <v>-400</v>
      </c>
      <c r="AP14">
        <f t="shared" si="21"/>
        <v>-183.58909915881577</v>
      </c>
      <c r="AQ14">
        <f t="shared" si="22"/>
        <v>46.86263376353304</v>
      </c>
      <c r="AR14">
        <f t="shared" si="23"/>
        <v>-564.41144984587936</v>
      </c>
      <c r="AS14">
        <f t="shared" si="11"/>
        <v>88.591685027888246</v>
      </c>
      <c r="AT14">
        <f t="shared" si="12"/>
        <v>2.0684296196540965E-2</v>
      </c>
      <c r="AU14" t="b">
        <f t="shared" si="24"/>
        <v>1</v>
      </c>
      <c r="AV14">
        <f t="shared" si="13"/>
        <v>88.591685027888246</v>
      </c>
    </row>
    <row r="15" spans="1:48" x14ac:dyDescent="0.25">
      <c r="A15">
        <f t="shared" si="25"/>
        <v>1.3</v>
      </c>
      <c r="B15">
        <f t="shared" si="14"/>
        <v>0.1</v>
      </c>
      <c r="C15">
        <f>sim!C14+(sim!$G14*$B15*COS($E15))</f>
        <v>-102.09707025810521</v>
      </c>
      <c r="D15">
        <f>sim!D14+(sim!$G14*$B15*SIN($E15))</f>
        <v>79.43678117666957</v>
      </c>
      <c r="E15">
        <f t="shared" si="26"/>
        <v>1.681862987246848</v>
      </c>
      <c r="F15">
        <f t="shared" si="0"/>
        <v>76.399986802319305</v>
      </c>
      <c r="G15">
        <v>100</v>
      </c>
      <c r="H15">
        <f t="shared" si="15"/>
        <v>2.0594896690682178</v>
      </c>
      <c r="I15">
        <f t="shared" si="1"/>
        <v>118.00006598840348</v>
      </c>
      <c r="J15">
        <f t="shared" si="27"/>
        <v>0</v>
      </c>
      <c r="K15">
        <f t="shared" si="16"/>
        <v>0</v>
      </c>
      <c r="L15">
        <f t="shared" si="2"/>
        <v>0</v>
      </c>
      <c r="M15">
        <f t="shared" si="28"/>
        <v>118.00006598840348</v>
      </c>
      <c r="N15">
        <f t="shared" si="3"/>
        <v>-93.339360750221559</v>
      </c>
      <c r="O15">
        <f t="shared" si="4"/>
        <v>84.264049987863359</v>
      </c>
      <c r="P15">
        <f t="shared" si="29"/>
        <v>-5.7622656713850517</v>
      </c>
      <c r="Q15">
        <f t="shared" si="30"/>
        <v>132.53673809980125</v>
      </c>
      <c r="R15">
        <f t="shared" si="5"/>
        <v>0.482726881119379</v>
      </c>
      <c r="S15">
        <f t="shared" si="6"/>
        <v>0.87577095078836509</v>
      </c>
      <c r="U15">
        <f t="shared" si="31"/>
        <v>0</v>
      </c>
      <c r="V15" cm="1">
        <f t="array" ref="V15:AA15">INDEX(surface!$A$2:$I$40,U15+1,COLUMN(surface!$B$1:$G$1))</f>
        <v>0</v>
      </c>
      <c r="W15">
        <v>-100</v>
      </c>
      <c r="X15">
        <v>0</v>
      </c>
      <c r="Y15">
        <v>100</v>
      </c>
      <c r="Z15">
        <v>0</v>
      </c>
      <c r="AA15">
        <v>-200</v>
      </c>
      <c r="AB15">
        <f t="shared" si="17"/>
        <v>-186.67872150044312</v>
      </c>
      <c r="AC15">
        <f t="shared" si="18"/>
        <v>268.52809997572672</v>
      </c>
      <c r="AD15">
        <f t="shared" si="7"/>
        <v>-175.15419015767301</v>
      </c>
      <c r="AE15">
        <f t="shared" si="8"/>
        <v>106.57964924070374</v>
      </c>
      <c r="AF15">
        <f t="shared" si="9"/>
        <v>1.1785645582831283</v>
      </c>
      <c r="AG15" t="b">
        <f t="shared" si="19"/>
        <v>0</v>
      </c>
      <c r="AH15">
        <f t="shared" si="10"/>
        <v>25000</v>
      </c>
      <c r="AI15">
        <f>U15+1</f>
        <v>1</v>
      </c>
      <c r="AJ15" cm="1">
        <f t="array" ref="AJ15:AO15">INDEX(surface!$A$2:$I$40,AI15+1,COLUMN(surface!$B$1:$G$1))</f>
        <v>0</v>
      </c>
      <c r="AK15">
        <v>100</v>
      </c>
      <c r="AL15">
        <v>-500</v>
      </c>
      <c r="AM15">
        <v>500</v>
      </c>
      <c r="AN15">
        <v>500</v>
      </c>
      <c r="AO15">
        <v>-400</v>
      </c>
      <c r="AP15">
        <f t="shared" si="21"/>
        <v>-186.67872150044312</v>
      </c>
      <c r="AQ15">
        <f t="shared" si="22"/>
        <v>68.528099975726718</v>
      </c>
      <c r="AR15">
        <f t="shared" si="23"/>
        <v>-591.67182087503556</v>
      </c>
      <c r="AS15">
        <f t="shared" si="11"/>
        <v>76.399986802319305</v>
      </c>
      <c r="AT15">
        <f t="shared" si="12"/>
        <v>5.2860943336271678E-2</v>
      </c>
      <c r="AU15" t="b">
        <f t="shared" si="24"/>
        <v>1</v>
      </c>
      <c r="AV15">
        <f t="shared" si="13"/>
        <v>76.399986802319305</v>
      </c>
    </row>
    <row r="16" spans="1:48" x14ac:dyDescent="0.25">
      <c r="A16">
        <f t="shared" si="25"/>
        <v>1.4000000000000001</v>
      </c>
      <c r="B16">
        <f t="shared" si="14"/>
        <v>0.1</v>
      </c>
      <c r="C16">
        <f>sim!C15+(sim!$G15*$B16*COS($E16))</f>
        <v>-105.21439317580621</v>
      </c>
      <c r="D16">
        <f>sim!D15+(sim!$G15*$B16*SIN($E16))</f>
        <v>88.938480910231775</v>
      </c>
      <c r="E16">
        <f t="shared" si="26"/>
        <v>1.8878119541536698</v>
      </c>
      <c r="F16">
        <f t="shared" si="0"/>
        <v>65.674525869343967</v>
      </c>
      <c r="G16">
        <v>100</v>
      </c>
      <c r="H16">
        <f t="shared" si="15"/>
        <v>2.9954627044404303</v>
      </c>
      <c r="I16">
        <f t="shared" si="1"/>
        <v>171.62737065328017</v>
      </c>
      <c r="J16">
        <f t="shared" si="27"/>
        <v>0</v>
      </c>
      <c r="K16">
        <f t="shared" si="16"/>
        <v>0</v>
      </c>
      <c r="L16">
        <f t="shared" si="2"/>
        <v>0</v>
      </c>
      <c r="M16">
        <f t="shared" si="28"/>
        <v>171.62737065328017</v>
      </c>
      <c r="N16">
        <f t="shared" si="3"/>
        <v>-97.628915101836313</v>
      </c>
      <c r="O16">
        <f t="shared" si="4"/>
        <v>95.454654817466135</v>
      </c>
      <c r="P16">
        <f t="shared" si="29"/>
        <v>-21.77413436213736</v>
      </c>
      <c r="Q16">
        <f t="shared" si="30"/>
        <v>160.61639388980979</v>
      </c>
      <c r="R16">
        <f t="shared" si="5"/>
        <v>0.6516173907234365</v>
      </c>
      <c r="S16">
        <f t="shared" si="6"/>
        <v>0.75854780739698946</v>
      </c>
      <c r="U16">
        <f t="shared" si="31"/>
        <v>0</v>
      </c>
      <c r="V16" cm="1">
        <f t="array" ref="V16:AA16">INDEX(surface!$A$2:$I$40,U16+1,COLUMN(surface!$B$1:$G$1))</f>
        <v>0</v>
      </c>
      <c r="W16">
        <v>-100</v>
      </c>
      <c r="X16">
        <v>0</v>
      </c>
      <c r="Y16">
        <v>100</v>
      </c>
      <c r="Z16">
        <v>0</v>
      </c>
      <c r="AA16">
        <v>-200</v>
      </c>
      <c r="AB16">
        <f t="shared" si="17"/>
        <v>-195.25783020367263</v>
      </c>
      <c r="AC16">
        <f t="shared" si="18"/>
        <v>290.90930963493224</v>
      </c>
      <c r="AD16">
        <f t="shared" si="7"/>
        <v>-151.70956147939791</v>
      </c>
      <c r="AE16">
        <f t="shared" si="8"/>
        <v>128.70502577399418</v>
      </c>
      <c r="AF16">
        <f t="shared" si="9"/>
        <v>1.3966054394265441</v>
      </c>
      <c r="AG16" t="b">
        <f t="shared" si="19"/>
        <v>0</v>
      </c>
      <c r="AH16">
        <f t="shared" si="10"/>
        <v>25000</v>
      </c>
      <c r="AI16">
        <f t="shared" si="20"/>
        <v>1</v>
      </c>
      <c r="AJ16" cm="1">
        <f t="array" ref="AJ16:AO16">INDEX(surface!$A$2:$I$40,AI16+1,COLUMN(surface!$B$1:$G$1))</f>
        <v>0</v>
      </c>
      <c r="AK16">
        <v>100</v>
      </c>
      <c r="AL16">
        <v>-500</v>
      </c>
      <c r="AM16">
        <v>500</v>
      </c>
      <c r="AN16">
        <v>500</v>
      </c>
      <c r="AO16">
        <v>-400</v>
      </c>
      <c r="AP16">
        <f t="shared" si="21"/>
        <v>-195.25783020367263</v>
      </c>
      <c r="AQ16">
        <f t="shared" si="22"/>
        <v>90.909309634932271</v>
      </c>
      <c r="AR16">
        <f t="shared" si="23"/>
        <v>-629.22781832051407</v>
      </c>
      <c r="AS16">
        <f t="shared" si="11"/>
        <v>65.674525869343967</v>
      </c>
      <c r="AT16">
        <f t="shared" si="12"/>
        <v>9.5623295003617173E-2</v>
      </c>
      <c r="AU16" t="b">
        <f t="shared" si="24"/>
        <v>1</v>
      </c>
      <c r="AV16">
        <f t="shared" si="13"/>
        <v>65.674525869343967</v>
      </c>
    </row>
    <row r="17" spans="1:48" x14ac:dyDescent="0.25">
      <c r="A17">
        <f t="shared" si="25"/>
        <v>1.5000000000000002</v>
      </c>
      <c r="B17">
        <f t="shared" si="14"/>
        <v>0.1</v>
      </c>
      <c r="C17">
        <f>sim!C16+(sim!$G16*$B17*COS($E17))</f>
        <v>-110.99672852247286</v>
      </c>
      <c r="D17">
        <f>sim!D16+(sim!$G16*$B17*SIN($E17))</f>
        <v>97.097193917728077</v>
      </c>
      <c r="E17">
        <f t="shared" si="26"/>
        <v>2.1873582245977126</v>
      </c>
      <c r="F17">
        <f t="shared" si="0"/>
        <v>62.067112655350371</v>
      </c>
      <c r="G17">
        <v>100</v>
      </c>
      <c r="H17">
        <f t="shared" si="15"/>
        <v>3.3102688947611254</v>
      </c>
      <c r="I17">
        <f t="shared" si="1"/>
        <v>189.66443672324814</v>
      </c>
      <c r="J17">
        <f t="shared" si="27"/>
        <v>0</v>
      </c>
      <c r="K17">
        <f t="shared" si="16"/>
        <v>0</v>
      </c>
      <c r="L17">
        <f t="shared" si="2"/>
        <v>0</v>
      </c>
      <c r="M17">
        <f t="shared" si="28"/>
        <v>189.66443672324814</v>
      </c>
      <c r="N17">
        <f t="shared" si="3"/>
        <v>-105.6718645007618</v>
      </c>
      <c r="O17">
        <f t="shared" si="4"/>
        <v>105.56157949202034</v>
      </c>
      <c r="P17">
        <f t="shared" si="29"/>
        <v>-52.423224283651201</v>
      </c>
      <c r="Q17">
        <f t="shared" si="30"/>
        <v>190.20543523494308</v>
      </c>
      <c r="R17">
        <f t="shared" si="5"/>
        <v>0.84643855742922725</v>
      </c>
      <c r="S17">
        <f t="shared" si="6"/>
        <v>0.53248640217110599</v>
      </c>
      <c r="U17">
        <f t="shared" si="31"/>
        <v>0</v>
      </c>
      <c r="V17" cm="1">
        <f t="array" ref="V17:AA17">INDEX(surface!$A$2:$I$40,U17+1,COLUMN(surface!$B$1:$G$1))</f>
        <v>0</v>
      </c>
      <c r="W17">
        <v>-100</v>
      </c>
      <c r="X17">
        <v>0</v>
      </c>
      <c r="Y17">
        <v>100</v>
      </c>
      <c r="Z17">
        <v>0</v>
      </c>
      <c r="AA17">
        <v>-200</v>
      </c>
      <c r="AB17">
        <f t="shared" si="17"/>
        <v>-211.3437290015236</v>
      </c>
      <c r="AC17">
        <f t="shared" si="18"/>
        <v>311.12315898404069</v>
      </c>
      <c r="AD17">
        <f t="shared" si="7"/>
        <v>-106.4972804342212</v>
      </c>
      <c r="AE17">
        <f t="shared" si="8"/>
        <v>198.44988354614517</v>
      </c>
      <c r="AF17">
        <f t="shared" si="9"/>
        <v>1.8676860632140879</v>
      </c>
      <c r="AG17" t="b">
        <f t="shared" si="19"/>
        <v>0</v>
      </c>
      <c r="AH17">
        <f t="shared" si="10"/>
        <v>25000</v>
      </c>
      <c r="AI17">
        <f t="shared" si="20"/>
        <v>1</v>
      </c>
      <c r="AJ17" cm="1">
        <f t="array" ref="AJ17:AO17">INDEX(surface!$A$2:$I$40,AI17+1,COLUMN(surface!$B$1:$G$1))</f>
        <v>0</v>
      </c>
      <c r="AK17">
        <v>100</v>
      </c>
      <c r="AL17">
        <v>-500</v>
      </c>
      <c r="AM17">
        <v>500</v>
      </c>
      <c r="AN17">
        <v>500</v>
      </c>
      <c r="AO17">
        <v>-400</v>
      </c>
      <c r="AP17">
        <f t="shared" si="21"/>
        <v>-211.3437290015236</v>
      </c>
      <c r="AQ17">
        <f t="shared" si="22"/>
        <v>111.12315898404069</v>
      </c>
      <c r="AR17">
        <f t="shared" si="23"/>
        <v>-636.21383958305603</v>
      </c>
      <c r="AS17">
        <f t="shared" si="11"/>
        <v>62.067112655350371</v>
      </c>
      <c r="AT17">
        <f t="shared" si="12"/>
        <v>0.14524394197953111</v>
      </c>
      <c r="AU17" t="b">
        <f t="shared" si="24"/>
        <v>1</v>
      </c>
      <c r="AV17">
        <f t="shared" si="13"/>
        <v>62.067112655350371</v>
      </c>
    </row>
    <row r="18" spans="1:48" x14ac:dyDescent="0.25">
      <c r="A18">
        <f t="shared" si="25"/>
        <v>1.6000000000000003</v>
      </c>
      <c r="B18">
        <f t="shared" si="14"/>
        <v>0.1</v>
      </c>
      <c r="C18">
        <f>sim!C17+(sim!$G17*$B18*COS($E18))</f>
        <v>-119.11683432154697</v>
      </c>
      <c r="D18">
        <f>sim!D17+(sim!$G17*$B18*SIN($E18))</f>
        <v>102.93362106212412</v>
      </c>
      <c r="E18">
        <f t="shared" si="26"/>
        <v>2.5183851140738254</v>
      </c>
      <c r="F18">
        <f t="shared" si="0"/>
        <v>69.873370082686151</v>
      </c>
      <c r="G18">
        <v>100</v>
      </c>
      <c r="H18">
        <f t="shared" si="15"/>
        <v>2.6290444229347685</v>
      </c>
      <c r="I18">
        <f t="shared" si="1"/>
        <v>150.63314958656923</v>
      </c>
      <c r="J18">
        <f t="shared" si="27"/>
        <v>0</v>
      </c>
      <c r="K18">
        <f t="shared" si="16"/>
        <v>0</v>
      </c>
      <c r="L18">
        <f t="shared" si="2"/>
        <v>0</v>
      </c>
      <c r="M18">
        <f t="shared" si="28"/>
        <v>150.63314958656923</v>
      </c>
      <c r="N18">
        <f t="shared" si="3"/>
        <v>-116.83210869820353</v>
      </c>
      <c r="O18">
        <f t="shared" si="4"/>
        <v>112.66912458408116</v>
      </c>
      <c r="P18">
        <f t="shared" si="29"/>
        <v>-93.984852464769062</v>
      </c>
      <c r="Q18">
        <f t="shared" si="30"/>
        <v>210.02415980365154</v>
      </c>
      <c r="R18">
        <f t="shared" si="5"/>
        <v>0.97355035219570385</v>
      </c>
      <c r="S18">
        <f t="shared" si="6"/>
        <v>0.22847256233434465</v>
      </c>
      <c r="U18">
        <f t="shared" si="31"/>
        <v>0</v>
      </c>
      <c r="V18" cm="1">
        <f t="array" ref="V18:AA18">INDEX(surface!$A$2:$I$40,U18+1,COLUMN(surface!$B$1:$G$1))</f>
        <v>0</v>
      </c>
      <c r="W18">
        <v>-100</v>
      </c>
      <c r="X18">
        <v>0</v>
      </c>
      <c r="Y18">
        <v>100</v>
      </c>
      <c r="Z18">
        <v>0</v>
      </c>
      <c r="AA18">
        <v>-200</v>
      </c>
      <c r="AB18">
        <f t="shared" si="17"/>
        <v>-233.66421739640705</v>
      </c>
      <c r="AC18">
        <f t="shared" si="18"/>
        <v>325.33824916816229</v>
      </c>
      <c r="AD18">
        <f t="shared" si="7"/>
        <v>-45.694512466868929</v>
      </c>
      <c r="AE18">
        <f t="shared" si="8"/>
        <v>511.36165981818198</v>
      </c>
      <c r="AF18">
        <f t="shared" si="9"/>
        <v>3.5525272429972596</v>
      </c>
      <c r="AG18" t="b">
        <f t="shared" si="19"/>
        <v>0</v>
      </c>
      <c r="AH18">
        <f t="shared" si="10"/>
        <v>25000</v>
      </c>
      <c r="AI18">
        <f t="shared" si="20"/>
        <v>1</v>
      </c>
      <c r="AJ18" cm="1">
        <f t="array" ref="AJ18:AO18">INDEX(surface!$A$2:$I$40,AI18+1,COLUMN(surface!$B$1:$G$1))</f>
        <v>0</v>
      </c>
      <c r="AK18">
        <v>100</v>
      </c>
      <c r="AL18">
        <v>-500</v>
      </c>
      <c r="AM18">
        <v>500</v>
      </c>
      <c r="AN18">
        <v>500</v>
      </c>
      <c r="AO18">
        <v>-400</v>
      </c>
      <c r="AP18">
        <f t="shared" si="21"/>
        <v>-233.66421739640705</v>
      </c>
      <c r="AQ18">
        <f t="shared" si="22"/>
        <v>125.33824916816232</v>
      </c>
      <c r="AR18">
        <f t="shared" si="23"/>
        <v>-578.16420103158976</v>
      </c>
      <c r="AS18">
        <f t="shared" si="11"/>
        <v>69.873370082686151</v>
      </c>
      <c r="AT18">
        <f t="shared" si="12"/>
        <v>0.20173592159295256</v>
      </c>
      <c r="AU18" t="b">
        <f t="shared" si="24"/>
        <v>1</v>
      </c>
      <c r="AV18">
        <f t="shared" si="13"/>
        <v>69.873370082686151</v>
      </c>
    </row>
    <row r="19" spans="1:48" x14ac:dyDescent="0.25">
      <c r="A19">
        <f t="shared" si="25"/>
        <v>1.7000000000000004</v>
      </c>
      <c r="B19">
        <f t="shared" si="14"/>
        <v>0.1</v>
      </c>
      <c r="C19">
        <f>sim!C18+(sim!$G18*$B19*COS($E19))</f>
        <v>-128.47473439503156</v>
      </c>
      <c r="D19">
        <f>sim!D18+(sim!$G18*$B19*SIN($E19))</f>
        <v>106.45919991029602</v>
      </c>
      <c r="E19">
        <f t="shared" si="26"/>
        <v>2.7812895563673021</v>
      </c>
      <c r="F19">
        <f t="shared" si="0"/>
        <v>88.936158733718287</v>
      </c>
      <c r="G19">
        <v>100</v>
      </c>
      <c r="H19">
        <f t="shared" si="15"/>
        <v>0.9655022900731729</v>
      </c>
      <c r="I19">
        <f t="shared" si="1"/>
        <v>55.319206331408566</v>
      </c>
      <c r="J19">
        <f t="shared" si="27"/>
        <v>0</v>
      </c>
      <c r="K19">
        <f t="shared" si="16"/>
        <v>0</v>
      </c>
      <c r="L19">
        <f t="shared" si="2"/>
        <v>0</v>
      </c>
      <c r="M19">
        <f t="shared" si="28"/>
        <v>55.319206331408566</v>
      </c>
      <c r="N19">
        <f t="shared" si="3"/>
        <v>-128.79863757680144</v>
      </c>
      <c r="O19">
        <f t="shared" si="4"/>
        <v>116.45395287016649</v>
      </c>
      <c r="P19">
        <f t="shared" si="29"/>
        <v>-132.03766939450017</v>
      </c>
      <c r="Q19">
        <f t="shared" si="30"/>
        <v>216.40148246887111</v>
      </c>
      <c r="R19">
        <f t="shared" si="5"/>
        <v>0.99947529598704621</v>
      </c>
      <c r="S19">
        <f t="shared" si="6"/>
        <v>-3.2390318176987176E-2</v>
      </c>
      <c r="U19">
        <f t="shared" si="31"/>
        <v>0</v>
      </c>
      <c r="V19" cm="1">
        <f t="array" ref="V19:AA19">INDEX(surface!$A$2:$I$40,U19+1,COLUMN(surface!$B$1:$G$1))</f>
        <v>0</v>
      </c>
      <c r="W19">
        <v>-100</v>
      </c>
      <c r="X19">
        <v>0</v>
      </c>
      <c r="Y19">
        <v>100</v>
      </c>
      <c r="Z19">
        <v>0</v>
      </c>
      <c r="AA19">
        <v>-200</v>
      </c>
      <c r="AB19">
        <f t="shared" si="17"/>
        <v>-257.59727515360288</v>
      </c>
      <c r="AC19">
        <f t="shared" si="18"/>
        <v>332.90790574033298</v>
      </c>
      <c r="AD19">
        <f t="shared" si="7"/>
        <v>6.4780636353974348</v>
      </c>
      <c r="AE19">
        <f t="shared" si="8"/>
        <v>-3976.4548428644616</v>
      </c>
      <c r="AF19">
        <f t="shared" si="9"/>
        <v>-18.789572140904571</v>
      </c>
      <c r="AG19" t="b">
        <f t="shared" si="19"/>
        <v>0</v>
      </c>
      <c r="AH19">
        <f t="shared" si="10"/>
        <v>25000</v>
      </c>
      <c r="AI19">
        <f t="shared" si="20"/>
        <v>1</v>
      </c>
      <c r="AJ19" cm="1">
        <f t="array" ref="AJ19:AO19">INDEX(surface!$A$2:$I$40,AI19+1,COLUMN(surface!$B$1:$G$1))</f>
        <v>0</v>
      </c>
      <c r="AK19">
        <v>100</v>
      </c>
      <c r="AL19">
        <v>-500</v>
      </c>
      <c r="AM19">
        <v>500</v>
      </c>
      <c r="AN19">
        <v>500</v>
      </c>
      <c r="AO19">
        <v>-400</v>
      </c>
      <c r="AP19">
        <f t="shared" si="21"/>
        <v>-257.59727515360288</v>
      </c>
      <c r="AQ19">
        <f t="shared" si="22"/>
        <v>132.90790574033298</v>
      </c>
      <c r="AR19">
        <f t="shared" si="23"/>
        <v>-486.78152072272826</v>
      </c>
      <c r="AS19">
        <f t="shared" si="11"/>
        <v>88.936158733718287</v>
      </c>
      <c r="AT19">
        <f t="shared" si="12"/>
        <v>0.26335861611125122</v>
      </c>
      <c r="AU19" t="b">
        <f t="shared" si="24"/>
        <v>1</v>
      </c>
      <c r="AV19">
        <f t="shared" si="13"/>
        <v>88.936158733718287</v>
      </c>
    </row>
    <row r="20" spans="1:48" x14ac:dyDescent="0.25">
      <c r="A20">
        <f t="shared" si="25"/>
        <v>1.8000000000000005</v>
      </c>
      <c r="B20">
        <f t="shared" si="14"/>
        <v>0.1</v>
      </c>
      <c r="C20">
        <f>sim!C19+(sim!$G19*$B20*COS($E20))</f>
        <v>-138.12891825150592</v>
      </c>
      <c r="D20">
        <f>sim!D19+(sim!$G19*$B20*SIN($E20))</f>
        <v>109.06625458279329</v>
      </c>
      <c r="E20">
        <f t="shared" si="26"/>
        <v>2.8778397853746194</v>
      </c>
      <c r="F20">
        <f t="shared" si="0"/>
        <v>104.12448616071286</v>
      </c>
      <c r="G20">
        <v>100</v>
      </c>
      <c r="H20">
        <f t="shared" si="15"/>
        <v>-0.35992931728689725</v>
      </c>
      <c r="I20">
        <f t="shared" si="1"/>
        <v>-20.622430803564313</v>
      </c>
      <c r="J20">
        <f t="shared" si="27"/>
        <v>0</v>
      </c>
      <c r="K20">
        <f t="shared" si="16"/>
        <v>0</v>
      </c>
      <c r="L20">
        <f t="shared" si="2"/>
        <v>0</v>
      </c>
      <c r="M20">
        <f t="shared" si="28"/>
        <v>-20.622430803564313</v>
      </c>
      <c r="N20">
        <f t="shared" si="3"/>
        <v>-139.41481001432703</v>
      </c>
      <c r="O20">
        <f t="shared" si="4"/>
        <v>118.98323408132553</v>
      </c>
      <c r="P20">
        <f t="shared" si="29"/>
        <v>-152.27372764253812</v>
      </c>
      <c r="Q20">
        <f t="shared" si="30"/>
        <v>218.15302906664797</v>
      </c>
      <c r="R20">
        <f t="shared" si="5"/>
        <v>0.99169794985322435</v>
      </c>
      <c r="S20">
        <f t="shared" si="6"/>
        <v>-0.12858917628211086</v>
      </c>
      <c r="U20">
        <f t="shared" si="31"/>
        <v>0</v>
      </c>
      <c r="V20" cm="1">
        <f t="array" ref="V20:AA20">INDEX(surface!$A$2:$I$40,U20+1,COLUMN(surface!$B$1:$G$1))</f>
        <v>0</v>
      </c>
      <c r="W20">
        <v>-100</v>
      </c>
      <c r="X20">
        <v>0</v>
      </c>
      <c r="Y20">
        <v>100</v>
      </c>
      <c r="Z20">
        <v>0</v>
      </c>
      <c r="AA20">
        <v>-200</v>
      </c>
      <c r="AB20">
        <f t="shared" si="17"/>
        <v>-278.82962002865406</v>
      </c>
      <c r="AC20">
        <f t="shared" si="18"/>
        <v>337.96646816265104</v>
      </c>
      <c r="AD20">
        <f t="shared" si="7"/>
        <v>25.717835256422173</v>
      </c>
      <c r="AE20">
        <f t="shared" si="8"/>
        <v>-1084.1877523848966</v>
      </c>
      <c r="AF20">
        <f t="shared" si="9"/>
        <v>-4.2810176860737581</v>
      </c>
      <c r="AG20" t="b">
        <f t="shared" si="19"/>
        <v>0</v>
      </c>
      <c r="AH20">
        <f t="shared" si="10"/>
        <v>25000</v>
      </c>
      <c r="AI20">
        <f t="shared" si="20"/>
        <v>1</v>
      </c>
      <c r="AJ20" cm="1">
        <f t="array" ref="AJ20:AO20">INDEX(surface!$A$2:$I$40,AI20+1,COLUMN(surface!$B$1:$G$1))</f>
        <v>0</v>
      </c>
      <c r="AK20">
        <v>100</v>
      </c>
      <c r="AL20">
        <v>-500</v>
      </c>
      <c r="AM20">
        <v>500</v>
      </c>
      <c r="AN20">
        <v>500</v>
      </c>
      <c r="AO20">
        <v>-400</v>
      </c>
      <c r="AP20">
        <f t="shared" si="21"/>
        <v>-278.82962002865406</v>
      </c>
      <c r="AQ20">
        <f t="shared" si="22"/>
        <v>137.96646816265107</v>
      </c>
      <c r="AR20">
        <f t="shared" si="23"/>
        <v>-444.41330441376783</v>
      </c>
      <c r="AS20">
        <f t="shared" si="11"/>
        <v>104.12448616071286</v>
      </c>
      <c r="AT20">
        <f t="shared" si="12"/>
        <v>0.30560818384106231</v>
      </c>
      <c r="AU20" t="b">
        <f t="shared" si="24"/>
        <v>1</v>
      </c>
      <c r="AV20">
        <f t="shared" si="13"/>
        <v>104.12448616071286</v>
      </c>
    </row>
    <row r="21" spans="1:48" x14ac:dyDescent="0.25">
      <c r="A21">
        <f t="shared" si="25"/>
        <v>1.9000000000000006</v>
      </c>
      <c r="B21">
        <f t="shared" si="14"/>
        <v>0.1</v>
      </c>
      <c r="C21">
        <f>sim!C20+(sim!$G20*$B21*COS($E21))</f>
        <v>-147.68303404662703</v>
      </c>
      <c r="D21">
        <f>sim!D20+(sim!$G20*$B21*SIN($E21))</f>
        <v>112.01902808806206</v>
      </c>
      <c r="E21">
        <f t="shared" si="26"/>
        <v>2.8418468536459298</v>
      </c>
      <c r="F21">
        <f t="shared" si="0"/>
        <v>105.17717278021117</v>
      </c>
      <c r="G21">
        <v>100</v>
      </c>
      <c r="H21">
        <f t="shared" si="15"/>
        <v>-0.45179355479656785</v>
      </c>
      <c r="I21">
        <f t="shared" si="1"/>
        <v>-25.885863901055828</v>
      </c>
      <c r="J21">
        <f t="shared" si="27"/>
        <v>0</v>
      </c>
      <c r="K21">
        <f t="shared" si="16"/>
        <v>0</v>
      </c>
      <c r="L21">
        <f t="shared" si="2"/>
        <v>0</v>
      </c>
      <c r="M21">
        <f t="shared" si="28"/>
        <v>-25.885863901055828</v>
      </c>
      <c r="N21">
        <f t="shared" si="3"/>
        <v>-148.61122886665808</v>
      </c>
      <c r="O21">
        <f t="shared" si="4"/>
        <v>121.9758576224102</v>
      </c>
      <c r="P21">
        <f t="shared" si="29"/>
        <v>-157.89317706696855</v>
      </c>
      <c r="Q21">
        <f t="shared" si="30"/>
        <v>221.54415296589167</v>
      </c>
      <c r="R21">
        <f t="shared" si="5"/>
        <v>0.99568295343481472</v>
      </c>
      <c r="S21">
        <f t="shared" si="6"/>
        <v>-9.2819482003104747E-2</v>
      </c>
      <c r="U21">
        <f t="shared" si="31"/>
        <v>0</v>
      </c>
      <c r="V21" cm="1">
        <f t="array" ref="V21:AA21">INDEX(surface!$A$2:$I$40,U21+1,COLUMN(surface!$B$1:$G$1))</f>
        <v>0</v>
      </c>
      <c r="W21">
        <v>-100</v>
      </c>
      <c r="X21">
        <v>0</v>
      </c>
      <c r="Y21">
        <v>100</v>
      </c>
      <c r="Z21">
        <v>0</v>
      </c>
      <c r="AA21">
        <v>-200</v>
      </c>
      <c r="AB21">
        <f t="shared" si="17"/>
        <v>-297.22245773331616</v>
      </c>
      <c r="AC21">
        <f t="shared" si="18"/>
        <v>343.95171524482043</v>
      </c>
      <c r="AD21">
        <f t="shared" si="7"/>
        <v>18.563896400620948</v>
      </c>
      <c r="AE21">
        <f t="shared" si="8"/>
        <v>-1601.0779812549174</v>
      </c>
      <c r="AF21">
        <f t="shared" si="9"/>
        <v>-6.8609509771646842</v>
      </c>
      <c r="AG21" t="b">
        <f t="shared" si="19"/>
        <v>0</v>
      </c>
      <c r="AH21">
        <f t="shared" si="10"/>
        <v>25000</v>
      </c>
      <c r="AI21">
        <f t="shared" si="20"/>
        <v>1</v>
      </c>
      <c r="AJ21" cm="1">
        <f t="array" ref="AJ21:AO21">INDEX(surface!$A$2:$I$40,AI21+1,COLUMN(surface!$B$1:$G$1))</f>
        <v>0</v>
      </c>
      <c r="AK21">
        <v>100</v>
      </c>
      <c r="AL21">
        <v>-500</v>
      </c>
      <c r="AM21">
        <v>500</v>
      </c>
      <c r="AN21">
        <v>500</v>
      </c>
      <c r="AO21">
        <v>-400</v>
      </c>
      <c r="AP21">
        <f t="shared" si="21"/>
        <v>-297.22245773331616</v>
      </c>
      <c r="AQ21">
        <f t="shared" si="22"/>
        <v>143.95171524482041</v>
      </c>
      <c r="AR21">
        <f t="shared" si="23"/>
        <v>-460.71368391616545</v>
      </c>
      <c r="AS21">
        <f t="shared" si="11"/>
        <v>105.17717278021117</v>
      </c>
      <c r="AT21">
        <f t="shared" si="12"/>
        <v>0.31674743912533665</v>
      </c>
      <c r="AU21" t="b">
        <f t="shared" si="24"/>
        <v>1</v>
      </c>
      <c r="AV21">
        <f t="shared" si="13"/>
        <v>105.17717278021117</v>
      </c>
    </row>
    <row r="22" spans="1:48" x14ac:dyDescent="0.25">
      <c r="A22">
        <f t="shared" si="25"/>
        <v>2.0000000000000004</v>
      </c>
      <c r="B22">
        <f t="shared" si="14"/>
        <v>0.1</v>
      </c>
      <c r="C22">
        <f>sim!C21+(sim!$G21*$B22*COS($E22))</f>
        <v>-157.09404166820451</v>
      </c>
      <c r="D22">
        <f>sim!D21+(sim!$G21*$B22*SIN($E22))</f>
        <v>115.40029050713137</v>
      </c>
      <c r="E22">
        <f t="shared" si="26"/>
        <v>2.7966674981662729</v>
      </c>
      <c r="F22">
        <f t="shared" si="0"/>
        <v>104.79147797636035</v>
      </c>
      <c r="G22">
        <v>100</v>
      </c>
      <c r="H22">
        <f t="shared" si="15"/>
        <v>-0.41813533362141608</v>
      </c>
      <c r="I22">
        <f t="shared" si="1"/>
        <v>-23.957389881801774</v>
      </c>
      <c r="J22">
        <f t="shared" si="27"/>
        <v>0</v>
      </c>
      <c r="K22">
        <f t="shared" si="16"/>
        <v>0</v>
      </c>
      <c r="L22">
        <f t="shared" si="2"/>
        <v>0</v>
      </c>
      <c r="M22">
        <f t="shared" si="28"/>
        <v>-23.957389881801774</v>
      </c>
      <c r="N22">
        <f t="shared" si="3"/>
        <v>-157.57159922381607</v>
      </c>
      <c r="O22">
        <f t="shared" si="4"/>
        <v>125.38888093727107</v>
      </c>
      <c r="P22">
        <f t="shared" si="29"/>
        <v>-162.34717477993161</v>
      </c>
      <c r="Q22">
        <f t="shared" si="30"/>
        <v>225.27478523866802</v>
      </c>
      <c r="R22">
        <f t="shared" si="5"/>
        <v>0.99885904301396966</v>
      </c>
      <c r="S22">
        <f t="shared" si="6"/>
        <v>-4.7755755561155321E-2</v>
      </c>
      <c r="U22">
        <f t="shared" si="31"/>
        <v>0</v>
      </c>
      <c r="V22" cm="1">
        <f t="array" ref="V22:AA22">INDEX(surface!$A$2:$I$40,U22+1,COLUMN(surface!$B$1:$G$1))</f>
        <v>0</v>
      </c>
      <c r="W22">
        <v>-100</v>
      </c>
      <c r="X22">
        <v>0</v>
      </c>
      <c r="Y22">
        <v>100</v>
      </c>
      <c r="Z22">
        <v>0</v>
      </c>
      <c r="AA22">
        <v>-200</v>
      </c>
      <c r="AB22">
        <f t="shared" si="17"/>
        <v>-315.14319844763213</v>
      </c>
      <c r="AC22">
        <f t="shared" si="18"/>
        <v>350.77776187454214</v>
      </c>
      <c r="AD22">
        <f t="shared" si="7"/>
        <v>9.5511511122310644</v>
      </c>
      <c r="AE22">
        <f t="shared" si="8"/>
        <v>-3299.5310695489297</v>
      </c>
      <c r="AF22">
        <f t="shared" si="9"/>
        <v>-15.351887827936164</v>
      </c>
      <c r="AG22" t="b">
        <f t="shared" si="19"/>
        <v>0</v>
      </c>
      <c r="AH22">
        <f t="shared" si="10"/>
        <v>25000</v>
      </c>
      <c r="AI22">
        <f t="shared" si="20"/>
        <v>1</v>
      </c>
      <c r="AJ22" cm="1">
        <f t="array" ref="AJ22:AO22">INDEX(surface!$A$2:$I$40,AI22+1,COLUMN(surface!$B$1:$G$1))</f>
        <v>0</v>
      </c>
      <c r="AK22">
        <v>100</v>
      </c>
      <c r="AL22">
        <v>-500</v>
      </c>
      <c r="AM22">
        <v>500</v>
      </c>
      <c r="AN22">
        <v>500</v>
      </c>
      <c r="AO22">
        <v>-400</v>
      </c>
      <c r="AP22">
        <f t="shared" si="21"/>
        <v>-315.14319844763213</v>
      </c>
      <c r="AQ22">
        <f t="shared" si="22"/>
        <v>150.77776187454214</v>
      </c>
      <c r="AR22">
        <f t="shared" si="23"/>
        <v>-480.32721928252272</v>
      </c>
      <c r="AS22">
        <f t="shared" si="11"/>
        <v>104.79147797636035</v>
      </c>
      <c r="AT22">
        <f t="shared" si="12"/>
        <v>0.32515199086189461</v>
      </c>
      <c r="AU22" t="b">
        <f t="shared" si="24"/>
        <v>1</v>
      </c>
      <c r="AV22">
        <f t="shared" si="13"/>
        <v>104.79147797636035</v>
      </c>
    </row>
    <row r="23" spans="1:48" x14ac:dyDescent="0.25">
      <c r="A23">
        <f t="shared" si="25"/>
        <v>2.1000000000000005</v>
      </c>
      <c r="B23">
        <f t="shared" si="14"/>
        <v>0.1</v>
      </c>
      <c r="C23">
        <f>sim!C22+(sim!$G22*$B23*COS($E23))</f>
        <v>-166.35548218489808</v>
      </c>
      <c r="D23">
        <f>sim!D22+(sim!$G22*$B23*SIN($E23))</f>
        <v>119.17199033025445</v>
      </c>
      <c r="E23">
        <f t="shared" si="26"/>
        <v>2.7548539648041315</v>
      </c>
      <c r="F23">
        <f t="shared" si="0"/>
        <v>104.46020760112124</v>
      </c>
      <c r="G23">
        <v>100</v>
      </c>
      <c r="H23">
        <f t="shared" si="15"/>
        <v>-0.38922653981021788</v>
      </c>
      <c r="I23">
        <f t="shared" si="1"/>
        <v>-22.301038005606202</v>
      </c>
      <c r="J23">
        <f t="shared" si="27"/>
        <v>0</v>
      </c>
      <c r="K23">
        <f t="shared" si="16"/>
        <v>0</v>
      </c>
      <c r="L23">
        <f t="shared" si="2"/>
        <v>0</v>
      </c>
      <c r="M23">
        <f t="shared" si="28"/>
        <v>-22.301038005606202</v>
      </c>
      <c r="N23">
        <f t="shared" si="3"/>
        <v>-166.41508576111164</v>
      </c>
      <c r="O23">
        <f t="shared" si="4"/>
        <v>129.17181269936194</v>
      </c>
      <c r="P23">
        <f t="shared" si="29"/>
        <v>-167.01112152324734</v>
      </c>
      <c r="Q23">
        <f t="shared" si="30"/>
        <v>229.17003639043685</v>
      </c>
      <c r="R23">
        <f t="shared" si="5"/>
        <v>0.99998223691074906</v>
      </c>
      <c r="S23">
        <f t="shared" si="6"/>
        <v>-5.9603576213568795E-3</v>
      </c>
      <c r="U23">
        <f t="shared" si="31"/>
        <v>0</v>
      </c>
      <c r="V23" cm="1">
        <f t="array" ref="V23:AA23">INDEX(surface!$A$2:$I$40,U23+1,COLUMN(surface!$B$1:$G$1))</f>
        <v>0</v>
      </c>
      <c r="W23">
        <v>-100</v>
      </c>
      <c r="X23">
        <v>0</v>
      </c>
      <c r="Y23">
        <v>100</v>
      </c>
      <c r="Z23">
        <v>0</v>
      </c>
      <c r="AA23">
        <v>-200</v>
      </c>
      <c r="AB23">
        <f t="shared" si="17"/>
        <v>-332.83017152222328</v>
      </c>
      <c r="AC23">
        <f t="shared" si="18"/>
        <v>358.34362539872387</v>
      </c>
      <c r="AD23">
        <f t="shared" si="7"/>
        <v>1.192071524271376</v>
      </c>
      <c r="AE23">
        <f t="shared" si="8"/>
        <v>-27920.318936035099</v>
      </c>
      <c r="AF23">
        <f t="shared" si="9"/>
        <v>-138.45325586109286</v>
      </c>
      <c r="AG23" t="b">
        <f t="shared" si="19"/>
        <v>0</v>
      </c>
      <c r="AH23">
        <f t="shared" si="10"/>
        <v>25000</v>
      </c>
      <c r="AI23">
        <f t="shared" si="20"/>
        <v>1</v>
      </c>
      <c r="AJ23" cm="1">
        <f t="array" ref="AJ23:AO23">INDEX(surface!$A$2:$I$40,AI23+1,COLUMN(surface!$B$1:$G$1))</f>
        <v>0</v>
      </c>
      <c r="AK23">
        <v>100</v>
      </c>
      <c r="AL23">
        <v>-500</v>
      </c>
      <c r="AM23">
        <v>500</v>
      </c>
      <c r="AN23">
        <v>500</v>
      </c>
      <c r="AO23">
        <v>-400</v>
      </c>
      <c r="AP23">
        <f t="shared" si="21"/>
        <v>-332.83017152222328</v>
      </c>
      <c r="AQ23">
        <f t="shared" si="22"/>
        <v>158.34362539872387</v>
      </c>
      <c r="AR23">
        <f t="shared" si="23"/>
        <v>-497.60697540683179</v>
      </c>
      <c r="AS23">
        <f t="shared" si="11"/>
        <v>104.46020760112124</v>
      </c>
      <c r="AT23">
        <f t="shared" si="12"/>
        <v>0.33407541191123102</v>
      </c>
      <c r="AU23" t="b">
        <f t="shared" si="24"/>
        <v>1</v>
      </c>
      <c r="AV23">
        <f t="shared" si="13"/>
        <v>104.46020760112124</v>
      </c>
    </row>
    <row r="24" spans="1:48" x14ac:dyDescent="0.25">
      <c r="A24">
        <f t="shared" si="25"/>
        <v>2.2000000000000006</v>
      </c>
      <c r="B24">
        <f t="shared" si="14"/>
        <v>0.1</v>
      </c>
      <c r="C24">
        <f>sim!C23+(sim!$G23*$B24*COS($E24))</f>
        <v>-175.46314066864724</v>
      </c>
      <c r="D24">
        <f>sim!D23+(sim!$G23*$B24*SIN($E24))</f>
        <v>123.30122233431912</v>
      </c>
      <c r="E24">
        <f t="shared" si="26"/>
        <v>2.7159313108231098</v>
      </c>
      <c r="F24">
        <f t="shared" si="0"/>
        <v>104.12244020241506</v>
      </c>
      <c r="G24">
        <v>100</v>
      </c>
      <c r="H24">
        <f t="shared" si="15"/>
        <v>-0.35975077374362174</v>
      </c>
      <c r="I24">
        <f t="shared" si="1"/>
        <v>-20.612201012075317</v>
      </c>
      <c r="J24">
        <f t="shared" si="27"/>
        <v>0</v>
      </c>
      <c r="K24">
        <f t="shared" si="16"/>
        <v>0</v>
      </c>
      <c r="L24">
        <f t="shared" si="2"/>
        <v>0</v>
      </c>
      <c r="M24">
        <f t="shared" si="28"/>
        <v>-20.612201012075317</v>
      </c>
      <c r="N24">
        <f t="shared" si="3"/>
        <v>-175.13357774447147</v>
      </c>
      <c r="O24">
        <f t="shared" si="4"/>
        <v>133.29579027290501</v>
      </c>
      <c r="P24">
        <f t="shared" si="29"/>
        <v>-171.83794850271383</v>
      </c>
      <c r="Q24">
        <f t="shared" si="30"/>
        <v>233.24146965876378</v>
      </c>
      <c r="R24">
        <f t="shared" si="5"/>
        <v>0.99945679385858754</v>
      </c>
      <c r="S24">
        <f t="shared" si="6"/>
        <v>3.2956292417576298E-2</v>
      </c>
      <c r="U24">
        <f t="shared" si="31"/>
        <v>0</v>
      </c>
      <c r="V24" cm="1">
        <f t="array" ref="V24:AA24">INDEX(surface!$A$2:$I$40,U24+1,COLUMN(surface!$B$1:$G$1))</f>
        <v>0</v>
      </c>
      <c r="W24">
        <v>-100</v>
      </c>
      <c r="X24">
        <v>0</v>
      </c>
      <c r="Y24">
        <v>100</v>
      </c>
      <c r="Z24">
        <v>0</v>
      </c>
      <c r="AA24">
        <v>-200</v>
      </c>
      <c r="AB24">
        <f t="shared" si="17"/>
        <v>-350.26715548894293</v>
      </c>
      <c r="AC24">
        <f t="shared" si="18"/>
        <v>366.59158054581002</v>
      </c>
      <c r="AD24">
        <f t="shared" si="7"/>
        <v>-6.5912584835152597</v>
      </c>
      <c r="AE24">
        <f t="shared" si="8"/>
        <v>5314.1165130295112</v>
      </c>
      <c r="AF24">
        <f t="shared" si="9"/>
        <v>27.722628212881787</v>
      </c>
      <c r="AG24" t="b">
        <f t="shared" si="19"/>
        <v>0</v>
      </c>
      <c r="AH24">
        <f t="shared" si="10"/>
        <v>25000</v>
      </c>
      <c r="AI24">
        <f t="shared" si="20"/>
        <v>1</v>
      </c>
      <c r="AJ24" cm="1">
        <f t="array" ref="AJ24:AO24">INDEX(surface!$A$2:$I$40,AI24+1,COLUMN(surface!$B$1:$G$1))</f>
        <v>0</v>
      </c>
      <c r="AK24">
        <v>100</v>
      </c>
      <c r="AL24">
        <v>-500</v>
      </c>
      <c r="AM24">
        <v>500</v>
      </c>
      <c r="AN24">
        <v>500</v>
      </c>
      <c r="AO24">
        <v>-400</v>
      </c>
      <c r="AP24">
        <f t="shared" si="21"/>
        <v>-350.26715548894293</v>
      </c>
      <c r="AQ24">
        <f t="shared" si="22"/>
        <v>166.59158054581002</v>
      </c>
      <c r="AR24">
        <f t="shared" si="23"/>
        <v>-512.91091389632425</v>
      </c>
      <c r="AS24">
        <f t="shared" si="11"/>
        <v>104.12244020241506</v>
      </c>
      <c r="AT24">
        <f t="shared" si="12"/>
        <v>0.34340417631585818</v>
      </c>
      <c r="AU24" t="b">
        <f t="shared" si="24"/>
        <v>1</v>
      </c>
      <c r="AV24">
        <f t="shared" si="13"/>
        <v>104.12244020241506</v>
      </c>
    </row>
    <row r="25" spans="1:48" x14ac:dyDescent="0.25">
      <c r="A25">
        <f t="shared" si="25"/>
        <v>2.3000000000000007</v>
      </c>
      <c r="B25">
        <f t="shared" si="14"/>
        <v>0.1</v>
      </c>
      <c r="C25">
        <f>sim!C24+(sim!$G24*$B25*COS($E25))</f>
        <v>-184.41638879334494</v>
      </c>
      <c r="D25">
        <f>sim!D24+(sim!$G24*$B25*SIN($E25))</f>
        <v>127.75536063679661</v>
      </c>
      <c r="E25">
        <f t="shared" si="26"/>
        <v>2.6799562334487477</v>
      </c>
      <c r="F25">
        <f t="shared" si="0"/>
        <v>103.77812067116504</v>
      </c>
      <c r="G25">
        <v>100</v>
      </c>
      <c r="H25">
        <f t="shared" si="15"/>
        <v>-0.32970322624743981</v>
      </c>
      <c r="I25">
        <f t="shared" si="1"/>
        <v>-18.890603355825206</v>
      </c>
      <c r="J25">
        <f t="shared" si="27"/>
        <v>0</v>
      </c>
      <c r="K25">
        <f t="shared" si="16"/>
        <v>0</v>
      </c>
      <c r="L25">
        <f t="shared" si="2"/>
        <v>0</v>
      </c>
      <c r="M25">
        <f t="shared" si="28"/>
        <v>-18.890603355825206</v>
      </c>
      <c r="N25">
        <f t="shared" si="3"/>
        <v>-183.72756130388703</v>
      </c>
      <c r="O25">
        <f t="shared" si="4"/>
        <v>137.73160826252078</v>
      </c>
      <c r="P25">
        <f t="shared" si="29"/>
        <v>-176.83928640930807</v>
      </c>
      <c r="Q25">
        <f t="shared" si="30"/>
        <v>237.49408451976248</v>
      </c>
      <c r="R25">
        <f t="shared" si="5"/>
        <v>0.99762476257241695</v>
      </c>
      <c r="S25">
        <f t="shared" si="6"/>
        <v>6.8882748945789621E-2</v>
      </c>
      <c r="U25">
        <f t="shared" si="31"/>
        <v>0</v>
      </c>
      <c r="V25" cm="1">
        <f t="array" ref="V25:AA25">INDEX(surface!$A$2:$I$40,U25+1,COLUMN(surface!$B$1:$G$1))</f>
        <v>0</v>
      </c>
      <c r="W25">
        <v>-100</v>
      </c>
      <c r="X25">
        <v>0</v>
      </c>
      <c r="Y25">
        <v>100</v>
      </c>
      <c r="Z25">
        <v>0</v>
      </c>
      <c r="AA25">
        <v>-200</v>
      </c>
      <c r="AB25">
        <f t="shared" si="17"/>
        <v>-367.45512260777406</v>
      </c>
      <c r="AC25">
        <f t="shared" si="18"/>
        <v>375.46321652504156</v>
      </c>
      <c r="AD25">
        <f t="shared" si="7"/>
        <v>-13.776549789157924</v>
      </c>
      <c r="AE25">
        <f t="shared" si="8"/>
        <v>2667.2507139411596</v>
      </c>
      <c r="AF25">
        <f t="shared" si="9"/>
        <v>14.493234842395898</v>
      </c>
      <c r="AG25" t="b">
        <f t="shared" si="19"/>
        <v>0</v>
      </c>
      <c r="AH25">
        <f t="shared" si="10"/>
        <v>25000</v>
      </c>
      <c r="AI25">
        <f t="shared" si="20"/>
        <v>1</v>
      </c>
      <c r="AJ25" cm="1">
        <f t="array" ref="AJ25:AO25">INDEX(surface!$A$2:$I$40,AI25+1,COLUMN(surface!$B$1:$G$1))</f>
        <v>0</v>
      </c>
      <c r="AK25">
        <v>100</v>
      </c>
      <c r="AL25">
        <v>-500</v>
      </c>
      <c r="AM25">
        <v>500</v>
      </c>
      <c r="AN25">
        <v>500</v>
      </c>
      <c r="AO25">
        <v>-400</v>
      </c>
      <c r="AP25">
        <f t="shared" si="21"/>
        <v>-367.45512260777406</v>
      </c>
      <c r="AQ25">
        <f t="shared" si="22"/>
        <v>175.46321652504156</v>
      </c>
      <c r="AR25">
        <f t="shared" si="23"/>
        <v>-526.36548086452433</v>
      </c>
      <c r="AS25">
        <f t="shared" si="11"/>
        <v>103.77812067116504</v>
      </c>
      <c r="AT25">
        <f t="shared" si="12"/>
        <v>0.35315807814325861</v>
      </c>
      <c r="AU25" t="b">
        <f t="shared" si="24"/>
        <v>1</v>
      </c>
      <c r="AV25">
        <f t="shared" si="13"/>
        <v>103.77812067116504</v>
      </c>
    </row>
    <row r="26" spans="1:48" x14ac:dyDescent="0.25">
      <c r="A26">
        <f t="shared" si="25"/>
        <v>2.4000000000000008</v>
      </c>
      <c r="B26">
        <f t="shared" si="14"/>
        <v>0.1</v>
      </c>
      <c r="C26">
        <f>sim!C25+(sim!$G25*$B26*COS($E26))</f>
        <v>-193.21794330755094</v>
      </c>
      <c r="D26">
        <f>sim!D25+(sim!$G25*$B26*SIN($E26))</f>
        <v>132.50221624166389</v>
      </c>
      <c r="E26">
        <f t="shared" si="26"/>
        <v>2.6469859108240037</v>
      </c>
      <c r="F26">
        <f t="shared" si="0"/>
        <v>103.42917570558477</v>
      </c>
      <c r="G26">
        <v>100</v>
      </c>
      <c r="H26">
        <f t="shared" si="15"/>
        <v>-0.29925203345926954</v>
      </c>
      <c r="I26">
        <f t="shared" si="1"/>
        <v>-17.145878527923841</v>
      </c>
      <c r="J26">
        <f t="shared" si="27"/>
        <v>0</v>
      </c>
      <c r="K26">
        <f t="shared" si="16"/>
        <v>0</v>
      </c>
      <c r="L26">
        <f t="shared" si="2"/>
        <v>0</v>
      </c>
      <c r="M26">
        <f t="shared" si="28"/>
        <v>-17.145878527923841</v>
      </c>
      <c r="N26">
        <f t="shared" si="3"/>
        <v>-192.20062966207237</v>
      </c>
      <c r="O26">
        <f t="shared" si="4"/>
        <v>142.45033530743322</v>
      </c>
      <c r="P26">
        <f t="shared" si="29"/>
        <v>-182.02749320728665</v>
      </c>
      <c r="Q26">
        <f t="shared" si="30"/>
        <v>241.93152596512647</v>
      </c>
      <c r="R26">
        <f t="shared" si="5"/>
        <v>0.9948119065769323</v>
      </c>
      <c r="S26">
        <f t="shared" si="6"/>
        <v>0.10173136454785719</v>
      </c>
      <c r="U26">
        <f t="shared" si="31"/>
        <v>0</v>
      </c>
      <c r="V26" cm="1">
        <f t="array" ref="V26:AA26">INDEX(surface!$A$2:$I$40,U26+1,COLUMN(surface!$B$1:$G$1))</f>
        <v>0</v>
      </c>
      <c r="W26">
        <v>-100</v>
      </c>
      <c r="X26">
        <v>0</v>
      </c>
      <c r="Y26">
        <v>100</v>
      </c>
      <c r="Z26">
        <v>0</v>
      </c>
      <c r="AA26">
        <v>-200</v>
      </c>
      <c r="AB26">
        <f t="shared" si="17"/>
        <v>-384.40125932414475</v>
      </c>
      <c r="AC26">
        <f t="shared" si="18"/>
        <v>384.90067061486644</v>
      </c>
      <c r="AD26">
        <f t="shared" si="7"/>
        <v>-20.346272909571439</v>
      </c>
      <c r="AE26">
        <f t="shared" si="8"/>
        <v>1889.2957006553863</v>
      </c>
      <c r="AF26">
        <f t="shared" si="9"/>
        <v>10.609720966820095</v>
      </c>
      <c r="AG26" t="b">
        <f t="shared" si="19"/>
        <v>0</v>
      </c>
      <c r="AH26">
        <f t="shared" si="10"/>
        <v>25000</v>
      </c>
      <c r="AI26">
        <f t="shared" si="20"/>
        <v>1</v>
      </c>
      <c r="AJ26" cm="1">
        <f t="array" ref="AJ26:AO26">INDEX(surface!$A$2:$I$40,AI26+1,COLUMN(surface!$B$1:$G$1))</f>
        <v>0</v>
      </c>
      <c r="AK26">
        <v>100</v>
      </c>
      <c r="AL26">
        <v>-500</v>
      </c>
      <c r="AM26">
        <v>500</v>
      </c>
      <c r="AN26">
        <v>500</v>
      </c>
      <c r="AO26">
        <v>-400</v>
      </c>
      <c r="AP26">
        <f t="shared" si="21"/>
        <v>-384.40125932414475</v>
      </c>
      <c r="AQ26">
        <f t="shared" si="22"/>
        <v>184.90067061486644</v>
      </c>
      <c r="AR26">
        <f t="shared" si="23"/>
        <v>-538.09849910760909</v>
      </c>
      <c r="AS26">
        <f t="shared" si="11"/>
        <v>103.42917570558477</v>
      </c>
      <c r="AT26">
        <f t="shared" si="12"/>
        <v>0.36335727696696629</v>
      </c>
      <c r="AU26" t="b">
        <f t="shared" si="24"/>
        <v>1</v>
      </c>
      <c r="AV26">
        <f t="shared" si="13"/>
        <v>103.42917570558477</v>
      </c>
    </row>
    <row r="27" spans="1:48" x14ac:dyDescent="0.25">
      <c r="A27">
        <f t="shared" si="25"/>
        <v>2.5000000000000009</v>
      </c>
      <c r="B27">
        <f t="shared" si="14"/>
        <v>0.1</v>
      </c>
      <c r="C27">
        <f>sim!C26+(sim!$G26*$B27*COS($E27))</f>
        <v>-201.87352772279988</v>
      </c>
      <c r="D27">
        <f>sim!D26+(sim!$G26*$B27*SIN($E27))</f>
        <v>137.51029555717994</v>
      </c>
      <c r="E27">
        <f t="shared" si="26"/>
        <v>2.617060707478077</v>
      </c>
      <c r="F27">
        <f t="shared" si="0"/>
        <v>103.07831423656935</v>
      </c>
      <c r="G27">
        <v>100</v>
      </c>
      <c r="H27">
        <f t="shared" si="15"/>
        <v>-0.26863359419575439</v>
      </c>
      <c r="I27">
        <f t="shared" si="1"/>
        <v>-15.391571182846775</v>
      </c>
      <c r="J27">
        <f t="shared" si="27"/>
        <v>0</v>
      </c>
      <c r="K27">
        <f t="shared" si="16"/>
        <v>0</v>
      </c>
      <c r="L27">
        <f t="shared" si="2"/>
        <v>0</v>
      </c>
      <c r="M27">
        <f t="shared" si="28"/>
        <v>-15.391571182846775</v>
      </c>
      <c r="N27">
        <f t="shared" si="3"/>
        <v>-200.5590144991547</v>
      </c>
      <c r="O27">
        <f t="shared" si="4"/>
        <v>147.42352182237039</v>
      </c>
      <c r="P27">
        <f t="shared" si="29"/>
        <v>-187.41388226270291</v>
      </c>
      <c r="Q27">
        <f t="shared" si="30"/>
        <v>246.55578447427496</v>
      </c>
      <c r="R27">
        <f t="shared" si="5"/>
        <v>0.99132262651904579</v>
      </c>
      <c r="S27">
        <f t="shared" si="6"/>
        <v>0.13145132236451787</v>
      </c>
      <c r="U27">
        <f t="shared" si="31"/>
        <v>0</v>
      </c>
      <c r="V27" cm="1">
        <f t="array" ref="V27:AA27">INDEX(surface!$A$2:$I$40,U27+1,COLUMN(surface!$B$1:$G$1))</f>
        <v>0</v>
      </c>
      <c r="W27">
        <v>-100</v>
      </c>
      <c r="X27">
        <v>0</v>
      </c>
      <c r="Y27">
        <v>100</v>
      </c>
      <c r="Z27">
        <v>0</v>
      </c>
      <c r="AA27">
        <v>-200</v>
      </c>
      <c r="AB27">
        <f t="shared" si="17"/>
        <v>-401.1180289983094</v>
      </c>
      <c r="AC27">
        <f t="shared" si="18"/>
        <v>394.84704364474078</v>
      </c>
      <c r="AD27">
        <f t="shared" si="7"/>
        <v>-26.290264472903573</v>
      </c>
      <c r="AE27">
        <f t="shared" si="8"/>
        <v>1525.7283904911922</v>
      </c>
      <c r="AF27">
        <f t="shared" si="9"/>
        <v>8.7995629861938784</v>
      </c>
      <c r="AG27" t="b">
        <f t="shared" si="19"/>
        <v>0</v>
      </c>
      <c r="AH27">
        <f t="shared" si="10"/>
        <v>25000</v>
      </c>
      <c r="AI27">
        <f t="shared" si="20"/>
        <v>1</v>
      </c>
      <c r="AJ27" cm="1">
        <f t="array" ref="AJ27:AO27">INDEX(surface!$A$2:$I$40,AI27+1,COLUMN(surface!$B$1:$G$1))</f>
        <v>0</v>
      </c>
      <c r="AK27">
        <v>100</v>
      </c>
      <c r="AL27">
        <v>-500</v>
      </c>
      <c r="AM27">
        <v>500</v>
      </c>
      <c r="AN27">
        <v>500</v>
      </c>
      <c r="AO27">
        <v>-400</v>
      </c>
      <c r="AP27">
        <f t="shared" si="21"/>
        <v>-401.1180289983094</v>
      </c>
      <c r="AQ27">
        <f t="shared" si="22"/>
        <v>194.84704364474078</v>
      </c>
      <c r="AR27">
        <f t="shared" si="23"/>
        <v>-548.24184220533004</v>
      </c>
      <c r="AS27">
        <f t="shared" si="11"/>
        <v>103.07831423656935</v>
      </c>
      <c r="AT27">
        <f t="shared" si="12"/>
        <v>0.37401846757130469</v>
      </c>
      <c r="AU27" t="b">
        <f t="shared" si="24"/>
        <v>1</v>
      </c>
      <c r="AV27">
        <f t="shared" si="13"/>
        <v>103.07831423656935</v>
      </c>
    </row>
    <row r="28" spans="1:48" x14ac:dyDescent="0.25">
      <c r="A28">
        <f t="shared" si="25"/>
        <v>2.600000000000001</v>
      </c>
      <c r="B28">
        <f t="shared" si="14"/>
        <v>0.1</v>
      </c>
      <c r="C28">
        <f>sim!C27+(sim!$G27*$B28*COS($E28))</f>
        <v>-210.39147156314195</v>
      </c>
      <c r="D28">
        <f>sim!D27+(sim!$G27*$B28*SIN($E28))</f>
        <v>142.74905807639939</v>
      </c>
      <c r="E28">
        <f t="shared" si="26"/>
        <v>2.5901973480585014</v>
      </c>
      <c r="F28">
        <f t="shared" si="0"/>
        <v>102.72892566277392</v>
      </c>
      <c r="G28">
        <v>100</v>
      </c>
      <c r="H28">
        <f t="shared" si="15"/>
        <v>-0.23814368928786658</v>
      </c>
      <c r="I28">
        <f t="shared" si="1"/>
        <v>-13.644628313869589</v>
      </c>
      <c r="J28">
        <f t="shared" si="27"/>
        <v>0</v>
      </c>
      <c r="K28">
        <f t="shared" si="16"/>
        <v>0</v>
      </c>
      <c r="L28">
        <f t="shared" si="2"/>
        <v>0</v>
      </c>
      <c r="M28">
        <f t="shared" si="28"/>
        <v>-13.644628313869589</v>
      </c>
      <c r="N28">
        <f t="shared" si="3"/>
        <v>-208.81116208146301</v>
      </c>
      <c r="O28">
        <f t="shared" si="4"/>
        <v>152.62339967177252</v>
      </c>
      <c r="P28">
        <f t="shared" si="29"/>
        <v>-193.00806726467366</v>
      </c>
      <c r="Q28">
        <f t="shared" si="30"/>
        <v>251.36681562550365</v>
      </c>
      <c r="R28">
        <f t="shared" si="5"/>
        <v>0.9874341595373114</v>
      </c>
      <c r="S28">
        <f t="shared" si="6"/>
        <v>0.15803094816789356</v>
      </c>
      <c r="U28">
        <f t="shared" si="31"/>
        <v>0</v>
      </c>
      <c r="V28" cm="1">
        <f t="array" ref="V28:AA28">INDEX(surface!$A$2:$I$40,U28+1,COLUMN(surface!$B$1:$G$1))</f>
        <v>0</v>
      </c>
      <c r="W28">
        <v>-100</v>
      </c>
      <c r="X28">
        <v>0</v>
      </c>
      <c r="Y28">
        <v>100</v>
      </c>
      <c r="Z28">
        <v>0</v>
      </c>
      <c r="AA28">
        <v>-200</v>
      </c>
      <c r="AB28">
        <f t="shared" si="17"/>
        <v>-417.62232416292602</v>
      </c>
      <c r="AC28">
        <f t="shared" si="18"/>
        <v>405.24679934354504</v>
      </c>
      <c r="AD28">
        <f t="shared" si="7"/>
        <v>-31.606189633578712</v>
      </c>
      <c r="AE28">
        <f t="shared" si="8"/>
        <v>1321.3308184395632</v>
      </c>
      <c r="AF28">
        <f t="shared" si="9"/>
        <v>7.7867529292419526</v>
      </c>
      <c r="AG28" t="b">
        <f t="shared" si="19"/>
        <v>0</v>
      </c>
      <c r="AH28">
        <f t="shared" si="10"/>
        <v>25000</v>
      </c>
      <c r="AI28">
        <f t="shared" si="20"/>
        <v>1</v>
      </c>
      <c r="AJ28" cm="1">
        <f t="array" ref="AJ28:AO28">INDEX(surface!$A$2:$I$40,AI28+1,COLUMN(surface!$B$1:$G$1))</f>
        <v>0</v>
      </c>
      <c r="AK28">
        <v>100</v>
      </c>
      <c r="AL28">
        <v>-500</v>
      </c>
      <c r="AM28">
        <v>500</v>
      </c>
      <c r="AN28">
        <v>500</v>
      </c>
      <c r="AO28">
        <v>-400</v>
      </c>
      <c r="AP28">
        <f t="shared" si="21"/>
        <v>-417.62232416292602</v>
      </c>
      <c r="AQ28">
        <f t="shared" si="22"/>
        <v>205.24679934354504</v>
      </c>
      <c r="AR28">
        <f t="shared" si="23"/>
        <v>-556.92945903581312</v>
      </c>
      <c r="AS28">
        <f t="shared" si="11"/>
        <v>102.72892566277392</v>
      </c>
      <c r="AT28">
        <f t="shared" si="12"/>
        <v>0.38515362510941159</v>
      </c>
      <c r="AU28" t="b">
        <f t="shared" si="24"/>
        <v>1</v>
      </c>
      <c r="AV28">
        <f t="shared" si="13"/>
        <v>102.72892566277392</v>
      </c>
    </row>
    <row r="29" spans="1:48" x14ac:dyDescent="0.25">
      <c r="A29">
        <f t="shared" si="25"/>
        <v>2.7000000000000011</v>
      </c>
      <c r="B29">
        <f t="shared" si="14"/>
        <v>0.1</v>
      </c>
      <c r="C29">
        <f>sim!C28+(sim!$G28*$B29*COS($E29))</f>
        <v>-218.78225412022712</v>
      </c>
      <c r="D29">
        <f>sim!D28+(sim!$G28*$B29*SIN($E29))</f>
        <v>148.18916543560798</v>
      </c>
      <c r="E29">
        <f t="shared" si="26"/>
        <v>2.5663829791297146</v>
      </c>
      <c r="F29">
        <f t="shared" si="0"/>
        <v>102.38500985432422</v>
      </c>
      <c r="G29">
        <v>100</v>
      </c>
      <c r="H29">
        <f t="shared" si="15"/>
        <v>-0.20813137325234013</v>
      </c>
      <c r="I29">
        <f t="shared" si="1"/>
        <v>-11.92504927162112</v>
      </c>
      <c r="J29">
        <f t="shared" si="27"/>
        <v>0</v>
      </c>
      <c r="K29">
        <f t="shared" si="16"/>
        <v>0</v>
      </c>
      <c r="L29">
        <f t="shared" si="2"/>
        <v>0</v>
      </c>
      <c r="M29">
        <f t="shared" si="28"/>
        <v>-11.92504927162112</v>
      </c>
      <c r="N29">
        <f t="shared" si="3"/>
        <v>-216.96726374556476</v>
      </c>
      <c r="O29">
        <f t="shared" si="4"/>
        <v>158.02307665850819</v>
      </c>
      <c r="P29">
        <f t="shared" si="29"/>
        <v>-198.81735999894119</v>
      </c>
      <c r="Q29">
        <f t="shared" si="30"/>
        <v>256.36218888751046</v>
      </c>
      <c r="R29">
        <f t="shared" si="5"/>
        <v>0.98339112229002246</v>
      </c>
      <c r="S29">
        <f t="shared" si="6"/>
        <v>0.18149903746623577</v>
      </c>
      <c r="U29">
        <f t="shared" si="31"/>
        <v>0</v>
      </c>
      <c r="V29" cm="1">
        <f t="array" ref="V29:AA29">INDEX(surface!$A$2:$I$40,U29+1,COLUMN(surface!$B$1:$G$1))</f>
        <v>0</v>
      </c>
      <c r="W29">
        <v>-100</v>
      </c>
      <c r="X29">
        <v>0</v>
      </c>
      <c r="Y29">
        <v>100</v>
      </c>
      <c r="Z29">
        <v>0</v>
      </c>
      <c r="AA29">
        <v>-200</v>
      </c>
      <c r="AB29">
        <f t="shared" si="17"/>
        <v>-433.93452749112953</v>
      </c>
      <c r="AC29">
        <f t="shared" si="18"/>
        <v>416.04615331701638</v>
      </c>
      <c r="AD29">
        <f t="shared" si="7"/>
        <v>-36.299807493247158</v>
      </c>
      <c r="AE29">
        <f t="shared" si="8"/>
        <v>1195.418261024812</v>
      </c>
      <c r="AF29">
        <f t="shared" si="9"/>
        <v>7.1679339098684247</v>
      </c>
      <c r="AG29" t="b">
        <f t="shared" si="19"/>
        <v>0</v>
      </c>
      <c r="AH29">
        <f t="shared" si="10"/>
        <v>25000</v>
      </c>
      <c r="AI29">
        <f t="shared" si="20"/>
        <v>1</v>
      </c>
      <c r="AJ29" cm="1">
        <f t="array" ref="AJ29:AO29">INDEX(surface!$A$2:$I$40,AI29+1,COLUMN(surface!$B$1:$G$1))</f>
        <v>0</v>
      </c>
      <c r="AK29">
        <v>100</v>
      </c>
      <c r="AL29">
        <v>-500</v>
      </c>
      <c r="AM29">
        <v>500</v>
      </c>
      <c r="AN29">
        <v>500</v>
      </c>
      <c r="AO29">
        <v>-400</v>
      </c>
      <c r="AP29">
        <f t="shared" si="21"/>
        <v>-433.93452749112953</v>
      </c>
      <c r="AQ29">
        <f t="shared" si="22"/>
        <v>216.04615331701638</v>
      </c>
      <c r="AR29">
        <f t="shared" si="23"/>
        <v>-564.29517613150551</v>
      </c>
      <c r="AS29">
        <f t="shared" si="11"/>
        <v>102.38500985432422</v>
      </c>
      <c r="AT29">
        <f t="shared" si="12"/>
        <v>0.39676896601206774</v>
      </c>
      <c r="AU29" t="b">
        <f t="shared" si="24"/>
        <v>1</v>
      </c>
      <c r="AV29">
        <f t="shared" si="13"/>
        <v>102.38500985432422</v>
      </c>
    </row>
    <row r="30" spans="1:48" x14ac:dyDescent="0.25">
      <c r="A30">
        <f t="shared" si="25"/>
        <v>2.8000000000000012</v>
      </c>
      <c r="B30">
        <f t="shared" si="14"/>
        <v>0.1</v>
      </c>
      <c r="C30">
        <f>sim!C29+(sim!$G29*$B30*COS($E30))</f>
        <v>-227.05800182821156</v>
      </c>
      <c r="D30">
        <f>sim!D29+(sim!$G29*$B30*SIN($E30))</f>
        <v>153.80272044770061</v>
      </c>
      <c r="E30">
        <f t="shared" si="26"/>
        <v>2.5455698418044808</v>
      </c>
      <c r="F30">
        <f t="shared" si="0"/>
        <v>102.05104870034995</v>
      </c>
      <c r="G30">
        <v>100</v>
      </c>
      <c r="H30">
        <f t="shared" si="15"/>
        <v>-0.17898776469928618</v>
      </c>
      <c r="I30">
        <f t="shared" si="1"/>
        <v>-10.25524350174976</v>
      </c>
      <c r="J30">
        <f t="shared" si="27"/>
        <v>0</v>
      </c>
      <c r="K30">
        <f t="shared" si="16"/>
        <v>0</v>
      </c>
      <c r="L30">
        <f t="shared" si="2"/>
        <v>0</v>
      </c>
      <c r="M30">
        <f t="shared" si="28"/>
        <v>-10.25524350174976</v>
      </c>
      <c r="N30">
        <f t="shared" si="3"/>
        <v>-225.03874478619204</v>
      </c>
      <c r="O30">
        <f t="shared" si="4"/>
        <v>163.59672887113248</v>
      </c>
      <c r="P30">
        <f t="shared" si="29"/>
        <v>-204.8461743659968</v>
      </c>
      <c r="Q30">
        <f t="shared" si="30"/>
        <v>261.53681310545124</v>
      </c>
      <c r="R30">
        <f t="shared" si="5"/>
        <v>0.97940084234318769</v>
      </c>
      <c r="S30">
        <f t="shared" si="6"/>
        <v>0.20192570420195241</v>
      </c>
      <c r="U30">
        <f t="shared" si="31"/>
        <v>0</v>
      </c>
      <c r="V30" cm="1">
        <f t="array" ref="V30:AA30">INDEX(surface!$A$2:$I$40,U30+1,COLUMN(surface!$B$1:$G$1))</f>
        <v>0</v>
      </c>
      <c r="W30">
        <v>-100</v>
      </c>
      <c r="X30">
        <v>0</v>
      </c>
      <c r="Y30">
        <v>100</v>
      </c>
      <c r="Z30">
        <v>0</v>
      </c>
      <c r="AA30">
        <v>-200</v>
      </c>
      <c r="AB30">
        <f t="shared" si="17"/>
        <v>-450.07748957238408</v>
      </c>
      <c r="AC30">
        <f t="shared" si="18"/>
        <v>427.19345774226497</v>
      </c>
      <c r="AD30">
        <f t="shared" si="7"/>
        <v>-40.385140840390484</v>
      </c>
      <c r="AE30">
        <f t="shared" si="8"/>
        <v>1114.4630926289776</v>
      </c>
      <c r="AF30">
        <f t="shared" si="9"/>
        <v>6.7755141027617354</v>
      </c>
      <c r="AG30" t="b">
        <f t="shared" si="19"/>
        <v>0</v>
      </c>
      <c r="AH30">
        <f t="shared" si="10"/>
        <v>25000</v>
      </c>
      <c r="AI30">
        <f t="shared" si="20"/>
        <v>1</v>
      </c>
      <c r="AJ30" cm="1">
        <f t="array" ref="AJ30:AO30">INDEX(surface!$A$2:$I$40,AI30+1,COLUMN(surface!$B$1:$G$1))</f>
        <v>0</v>
      </c>
      <c r="AK30">
        <v>100</v>
      </c>
      <c r="AL30">
        <v>-500</v>
      </c>
      <c r="AM30">
        <v>500</v>
      </c>
      <c r="AN30">
        <v>500</v>
      </c>
      <c r="AO30">
        <v>-400</v>
      </c>
      <c r="AP30">
        <f t="shared" si="21"/>
        <v>-450.07748957238408</v>
      </c>
      <c r="AQ30">
        <f t="shared" si="22"/>
        <v>227.19345774226497</v>
      </c>
      <c r="AR30">
        <f t="shared" si="23"/>
        <v>-570.47070285237487</v>
      </c>
      <c r="AS30">
        <f t="shared" si="11"/>
        <v>102.05104870034995</v>
      </c>
      <c r="AT30">
        <f t="shared" si="12"/>
        <v>0.40886402982565223</v>
      </c>
      <c r="AU30" t="b">
        <f t="shared" si="24"/>
        <v>1</v>
      </c>
      <c r="AV30">
        <f t="shared" si="13"/>
        <v>102.05104870034995</v>
      </c>
    </row>
    <row r="31" spans="1:48" x14ac:dyDescent="0.25">
      <c r="A31">
        <f t="shared" si="25"/>
        <v>2.9000000000000012</v>
      </c>
      <c r="B31">
        <f t="shared" si="14"/>
        <v>0.1</v>
      </c>
      <c r="C31">
        <f>sim!C30+(sim!$G30*$B31*COS($E31))</f>
        <v>-235.23195353505815</v>
      </c>
      <c r="D31">
        <f>sim!D30+(sim!$G30*$B31*SIN($E31))</f>
        <v>159.56349413655002</v>
      </c>
      <c r="E31">
        <f t="shared" si="26"/>
        <v>2.5276710653345522</v>
      </c>
      <c r="F31">
        <f t="shared" si="0"/>
        <v>101.73180292643521</v>
      </c>
      <c r="G31">
        <v>100</v>
      </c>
      <c r="H31">
        <f t="shared" si="15"/>
        <v>-0.15112831530983761</v>
      </c>
      <c r="I31">
        <f t="shared" si="1"/>
        <v>-8.6590146321760386</v>
      </c>
      <c r="J31">
        <f t="shared" si="27"/>
        <v>0</v>
      </c>
      <c r="K31">
        <f t="shared" si="16"/>
        <v>0</v>
      </c>
      <c r="L31">
        <f t="shared" si="2"/>
        <v>0</v>
      </c>
      <c r="M31">
        <f t="shared" si="28"/>
        <v>-8.6590146321760386</v>
      </c>
      <c r="N31">
        <f t="shared" si="3"/>
        <v>-233.03772852766318</v>
      </c>
      <c r="O31">
        <f t="shared" si="4"/>
        <v>169.31979346656868</v>
      </c>
      <c r="P31">
        <f t="shared" si="29"/>
        <v>-211.09547845371355</v>
      </c>
      <c r="Q31">
        <f t="shared" si="30"/>
        <v>266.88278676675532</v>
      </c>
      <c r="R31">
        <f t="shared" si="5"/>
        <v>0.97562993300186607</v>
      </c>
      <c r="S31">
        <f t="shared" si="6"/>
        <v>0.21942250073949629</v>
      </c>
      <c r="U31">
        <f t="shared" si="31"/>
        <v>0</v>
      </c>
      <c r="V31" cm="1">
        <f t="array" ref="V31:AA31">INDEX(surface!$A$2:$I$40,U31+1,COLUMN(surface!$B$1:$G$1))</f>
        <v>0</v>
      </c>
      <c r="W31">
        <v>-100</v>
      </c>
      <c r="X31">
        <v>0</v>
      </c>
      <c r="Y31">
        <v>100</v>
      </c>
      <c r="Z31">
        <v>0</v>
      </c>
      <c r="AA31">
        <v>-200</v>
      </c>
      <c r="AB31">
        <f t="shared" si="17"/>
        <v>-466.07545705532635</v>
      </c>
      <c r="AC31">
        <f t="shared" si="18"/>
        <v>438.63958693313737</v>
      </c>
      <c r="AD31">
        <f t="shared" si="7"/>
        <v>-43.88450014789926</v>
      </c>
      <c r="AE31">
        <f t="shared" si="8"/>
        <v>1062.0502808156907</v>
      </c>
      <c r="AF31">
        <f t="shared" si="9"/>
        <v>6.5274391889169712</v>
      </c>
      <c r="AG31" t="b">
        <f t="shared" si="19"/>
        <v>0</v>
      </c>
      <c r="AH31">
        <f t="shared" si="10"/>
        <v>25000</v>
      </c>
      <c r="AI31">
        <f t="shared" si="20"/>
        <v>1</v>
      </c>
      <c r="AJ31" cm="1">
        <f t="array" ref="AJ31:AO31">INDEX(surface!$A$2:$I$40,AI31+1,COLUMN(surface!$B$1:$G$1))</f>
        <v>0</v>
      </c>
      <c r="AK31">
        <v>100</v>
      </c>
      <c r="AL31">
        <v>-500</v>
      </c>
      <c r="AM31">
        <v>500</v>
      </c>
      <c r="AN31">
        <v>500</v>
      </c>
      <c r="AO31">
        <v>-400</v>
      </c>
      <c r="AP31">
        <f t="shared" si="21"/>
        <v>-466.07545705532635</v>
      </c>
      <c r="AQ31">
        <f t="shared" si="22"/>
        <v>238.63958693313737</v>
      </c>
      <c r="AR31">
        <f t="shared" si="23"/>
        <v>-575.5839667967316</v>
      </c>
      <c r="AS31">
        <f t="shared" si="11"/>
        <v>101.73180292643521</v>
      </c>
      <c r="AT31">
        <f t="shared" si="12"/>
        <v>0.42143096384961426</v>
      </c>
      <c r="AU31" t="b">
        <f t="shared" si="24"/>
        <v>1</v>
      </c>
      <c r="AV31">
        <f t="shared" si="13"/>
        <v>101.73180292643521</v>
      </c>
    </row>
    <row r="32" spans="1:48" x14ac:dyDescent="0.25">
      <c r="A32">
        <f t="shared" si="25"/>
        <v>3.0000000000000013</v>
      </c>
      <c r="B32">
        <f t="shared" si="14"/>
        <v>0.1</v>
      </c>
      <c r="C32">
        <f>sim!C31+(sim!$G31*$B32*COS($E32))</f>
        <v>-243.31791351570655</v>
      </c>
      <c r="D32">
        <f>sim!D31+(sim!$G31*$B32*SIN($E32))</f>
        <v>165.44713681701191</v>
      </c>
      <c r="E32">
        <f t="shared" si="26"/>
        <v>2.5125582338035684</v>
      </c>
      <c r="F32">
        <f t="shared" si="0"/>
        <v>101.4320368004783</v>
      </c>
      <c r="G32">
        <v>100</v>
      </c>
      <c r="H32">
        <f t="shared" si="15"/>
        <v>-0.12496878589035727</v>
      </c>
      <c r="I32">
        <f t="shared" si="1"/>
        <v>-7.1601840023915031</v>
      </c>
      <c r="J32">
        <f t="shared" si="27"/>
        <v>0</v>
      </c>
      <c r="K32">
        <f t="shared" si="16"/>
        <v>0</v>
      </c>
      <c r="L32">
        <f t="shared" si="2"/>
        <v>0</v>
      </c>
      <c r="M32">
        <f t="shared" si="28"/>
        <v>-7.1601840023915031</v>
      </c>
      <c r="N32">
        <f t="shared" si="3"/>
        <v>-240.97649938597925</v>
      </c>
      <c r="O32">
        <f t="shared" si="4"/>
        <v>175.16916231960721</v>
      </c>
      <c r="P32">
        <f t="shared" si="29"/>
        <v>-217.56235808870628</v>
      </c>
      <c r="Q32">
        <f t="shared" si="30"/>
        <v>272.38941734556022</v>
      </c>
      <c r="R32">
        <f t="shared" si="5"/>
        <v>0.97220255025952984</v>
      </c>
      <c r="S32">
        <f t="shared" si="6"/>
        <v>0.23414141297272978</v>
      </c>
      <c r="U32">
        <f t="shared" si="31"/>
        <v>0</v>
      </c>
      <c r="V32" cm="1">
        <f t="array" ref="V32:AA32">INDEX(surface!$A$2:$I$40,U32+1,COLUMN(surface!$B$1:$G$1))</f>
        <v>0</v>
      </c>
      <c r="W32">
        <v>-100</v>
      </c>
      <c r="X32">
        <v>0</v>
      </c>
      <c r="Y32">
        <v>100</v>
      </c>
      <c r="Z32">
        <v>0</v>
      </c>
      <c r="AA32">
        <v>-200</v>
      </c>
      <c r="AB32">
        <f t="shared" si="17"/>
        <v>-481.95299877195851</v>
      </c>
      <c r="AC32">
        <f t="shared" si="18"/>
        <v>450.33832463921442</v>
      </c>
      <c r="AD32">
        <f t="shared" si="7"/>
        <v>-46.828282594545954</v>
      </c>
      <c r="AE32">
        <f t="shared" si="8"/>
        <v>1029.1921293481114</v>
      </c>
      <c r="AF32">
        <f t="shared" si="9"/>
        <v>6.3787618758943845</v>
      </c>
      <c r="AG32" t="b">
        <f t="shared" si="19"/>
        <v>0</v>
      </c>
      <c r="AH32">
        <f t="shared" si="10"/>
        <v>25000</v>
      </c>
      <c r="AI32">
        <f t="shared" si="20"/>
        <v>1</v>
      </c>
      <c r="AJ32" cm="1">
        <f t="array" ref="AJ32:AO32">INDEX(surface!$A$2:$I$40,AI32+1,COLUMN(surface!$B$1:$G$1))</f>
        <v>0</v>
      </c>
      <c r="AK32">
        <v>100</v>
      </c>
      <c r="AL32">
        <v>-500</v>
      </c>
      <c r="AM32">
        <v>500</v>
      </c>
      <c r="AN32">
        <v>500</v>
      </c>
      <c r="AO32">
        <v>-400</v>
      </c>
      <c r="AP32">
        <f t="shared" si="21"/>
        <v>-481.95299877195851</v>
      </c>
      <c r="AQ32">
        <f t="shared" si="22"/>
        <v>250.33832463921442</v>
      </c>
      <c r="AR32">
        <f t="shared" si="23"/>
        <v>-579.75784031885678</v>
      </c>
      <c r="AS32">
        <f t="shared" si="11"/>
        <v>101.4320368004783</v>
      </c>
      <c r="AT32">
        <f t="shared" si="12"/>
        <v>0.43445411793762667</v>
      </c>
      <c r="AU32" t="b">
        <f t="shared" si="24"/>
        <v>1</v>
      </c>
      <c r="AV32">
        <f t="shared" si="13"/>
        <v>101.4320368004783</v>
      </c>
    </row>
    <row r="33" spans="1:48" x14ac:dyDescent="0.25">
      <c r="A33">
        <f t="shared" si="25"/>
        <v>3.1000000000000014</v>
      </c>
      <c r="B33">
        <f t="shared" si="14"/>
        <v>0.1</v>
      </c>
      <c r="C33">
        <f>sim!C32+(sim!$G32*$B33*COS($E33))</f>
        <v>-251.3297168499642</v>
      </c>
      <c r="D33">
        <f>sim!D32+(sim!$G32*$B33*SIN($E33))</f>
        <v>171.43136670340311</v>
      </c>
      <c r="E33">
        <f t="shared" si="26"/>
        <v>2.5000613552145325</v>
      </c>
      <c r="F33">
        <f t="shared" si="0"/>
        <v>101.15618908833424</v>
      </c>
      <c r="G33">
        <v>100</v>
      </c>
      <c r="H33">
        <f t="shared" si="15"/>
        <v>-0.10089653183532062</v>
      </c>
      <c r="I33">
        <f t="shared" si="1"/>
        <v>-5.7809454416712214</v>
      </c>
      <c r="J33">
        <f t="shared" si="27"/>
        <v>0</v>
      </c>
      <c r="K33">
        <f t="shared" si="16"/>
        <v>0</v>
      </c>
      <c r="L33">
        <f t="shared" si="2"/>
        <v>0</v>
      </c>
      <c r="M33">
        <f t="shared" si="28"/>
        <v>-5.7809454416712214</v>
      </c>
      <c r="N33">
        <f t="shared" si="3"/>
        <v>-248.8669937394728</v>
      </c>
      <c r="O33">
        <f t="shared" si="4"/>
        <v>181.12337345541539</v>
      </c>
      <c r="P33">
        <f t="shared" si="29"/>
        <v>-224.23976263455893</v>
      </c>
      <c r="Q33">
        <f t="shared" si="30"/>
        <v>278.0434409755382</v>
      </c>
      <c r="R33">
        <f t="shared" si="5"/>
        <v>0.96920067520122799</v>
      </c>
      <c r="S33">
        <f t="shared" si="6"/>
        <v>0.24627231104913891</v>
      </c>
      <c r="U33">
        <f t="shared" si="31"/>
        <v>0</v>
      </c>
      <c r="V33" cm="1">
        <f t="array" ref="V33:AA33">INDEX(surface!$A$2:$I$40,U33+1,COLUMN(surface!$B$1:$G$1))</f>
        <v>0</v>
      </c>
      <c r="W33">
        <v>-100</v>
      </c>
      <c r="X33">
        <v>0</v>
      </c>
      <c r="Y33">
        <v>100</v>
      </c>
      <c r="Z33">
        <v>0</v>
      </c>
      <c r="AA33">
        <v>-200</v>
      </c>
      <c r="AB33">
        <f t="shared" si="17"/>
        <v>-497.73398747894561</v>
      </c>
      <c r="AC33">
        <f t="shared" si="18"/>
        <v>462.24674691083078</v>
      </c>
      <c r="AD33">
        <f t="shared" si="7"/>
        <v>-49.254462209827778</v>
      </c>
      <c r="AE33">
        <f t="shared" si="8"/>
        <v>1010.5358279186173</v>
      </c>
      <c r="AF33">
        <f t="shared" si="9"/>
        <v>6.3026769009458565</v>
      </c>
      <c r="AG33" t="b">
        <f t="shared" si="19"/>
        <v>0</v>
      </c>
      <c r="AH33">
        <f t="shared" si="10"/>
        <v>25000</v>
      </c>
      <c r="AI33">
        <f t="shared" si="20"/>
        <v>1</v>
      </c>
      <c r="AJ33" cm="1">
        <f t="array" ref="AJ33:AO33">INDEX(surface!$A$2:$I$40,AI33+1,COLUMN(surface!$B$1:$G$1))</f>
        <v>0</v>
      </c>
      <c r="AK33">
        <v>100</v>
      </c>
      <c r="AL33">
        <v>-500</v>
      </c>
      <c r="AM33">
        <v>500</v>
      </c>
      <c r="AN33">
        <v>500</v>
      </c>
      <c r="AO33">
        <v>-400</v>
      </c>
      <c r="AP33">
        <f t="shared" si="21"/>
        <v>-497.73398747894561</v>
      </c>
      <c r="AQ33">
        <f t="shared" si="22"/>
        <v>262.24674691083078</v>
      </c>
      <c r="AR33">
        <f t="shared" si="23"/>
        <v>-583.10926202026963</v>
      </c>
      <c r="AS33">
        <f t="shared" si="11"/>
        <v>101.15618908833424</v>
      </c>
      <c r="AT33">
        <f t="shared" si="12"/>
        <v>0.44791005055152999</v>
      </c>
      <c r="AU33" t="b">
        <f t="shared" si="24"/>
        <v>1</v>
      </c>
      <c r="AV33">
        <f t="shared" si="13"/>
        <v>101.15618908833424</v>
      </c>
    </row>
    <row r="34" spans="1:48" x14ac:dyDescent="0.25">
      <c r="A34">
        <f t="shared" si="25"/>
        <v>3.2000000000000015</v>
      </c>
      <c r="B34">
        <f t="shared" si="14"/>
        <v>0.1</v>
      </c>
      <c r="C34">
        <f>sim!C33+(sim!$G33*$B34*COS($E34))</f>
        <v>-259.28073460278847</v>
      </c>
      <c r="D34">
        <f>sim!D33+(sim!$G33*$B34*SIN($E34))</f>
        <v>177.49612693726837</v>
      </c>
      <c r="E34">
        <f t="shared" si="26"/>
        <v>2.4899717020310006</v>
      </c>
      <c r="F34">
        <f t="shared" si="0"/>
        <v>100.90802412794669</v>
      </c>
      <c r="G34">
        <v>100</v>
      </c>
      <c r="H34">
        <f t="shared" si="15"/>
        <v>-7.9240053601099897E-2</v>
      </c>
      <c r="I34">
        <f t="shared" si="1"/>
        <v>-4.5401206397334448</v>
      </c>
      <c r="J34">
        <f t="shared" si="27"/>
        <v>0</v>
      </c>
      <c r="K34">
        <f t="shared" si="16"/>
        <v>0</v>
      </c>
      <c r="L34">
        <f t="shared" si="2"/>
        <v>0</v>
      </c>
      <c r="M34">
        <f t="shared" si="28"/>
        <v>-4.5401206397334448</v>
      </c>
      <c r="N34">
        <f t="shared" si="3"/>
        <v>-256.72034951757854</v>
      </c>
      <c r="O34">
        <f t="shared" si="4"/>
        <v>187.16279276450345</v>
      </c>
      <c r="P34">
        <f t="shared" si="29"/>
        <v>-231.11649866547933</v>
      </c>
      <c r="Q34">
        <f t="shared" si="30"/>
        <v>283.82945103685432</v>
      </c>
      <c r="R34">
        <f t="shared" si="5"/>
        <v>0.96666658272350858</v>
      </c>
      <c r="S34">
        <f t="shared" si="6"/>
        <v>0.25603850852099214</v>
      </c>
      <c r="U34">
        <f t="shared" si="31"/>
        <v>0</v>
      </c>
      <c r="V34" cm="1">
        <f t="array" ref="V34:AA34">INDEX(surface!$A$2:$I$40,U34+1,COLUMN(surface!$B$1:$G$1))</f>
        <v>0</v>
      </c>
      <c r="W34">
        <v>-100</v>
      </c>
      <c r="X34">
        <v>0</v>
      </c>
      <c r="Y34">
        <v>100</v>
      </c>
      <c r="Z34">
        <v>0</v>
      </c>
      <c r="AA34">
        <v>-200</v>
      </c>
      <c r="AB34">
        <f t="shared" si="17"/>
        <v>-513.44069903515708</v>
      </c>
      <c r="AC34">
        <f t="shared" si="18"/>
        <v>474.3255855290069</v>
      </c>
      <c r="AD34">
        <f t="shared" si="7"/>
        <v>-51.207701704198428</v>
      </c>
      <c r="AE34">
        <f t="shared" si="8"/>
        <v>1002.6630408079045</v>
      </c>
      <c r="AF34">
        <f t="shared" si="9"/>
        <v>6.2820182402272122</v>
      </c>
      <c r="AG34" t="b">
        <f t="shared" si="19"/>
        <v>0</v>
      </c>
      <c r="AH34">
        <f t="shared" si="10"/>
        <v>25000</v>
      </c>
      <c r="AI34">
        <f t="shared" si="20"/>
        <v>1</v>
      </c>
      <c r="AJ34" cm="1">
        <f t="array" ref="AJ34:AO34">INDEX(surface!$A$2:$I$40,AI34+1,COLUMN(surface!$B$1:$G$1))</f>
        <v>0</v>
      </c>
      <c r="AK34">
        <v>100</v>
      </c>
      <c r="AL34">
        <v>-500</v>
      </c>
      <c r="AM34">
        <v>500</v>
      </c>
      <c r="AN34">
        <v>500</v>
      </c>
      <c r="AO34">
        <v>-400</v>
      </c>
      <c r="AP34">
        <f t="shared" si="21"/>
        <v>-513.44069903515708</v>
      </c>
      <c r="AQ34">
        <f t="shared" si="22"/>
        <v>274.3255855290069</v>
      </c>
      <c r="AR34">
        <f t="shared" si="23"/>
        <v>-585.74869477015113</v>
      </c>
      <c r="AS34">
        <f t="shared" si="11"/>
        <v>100.90802412794669</v>
      </c>
      <c r="AT34">
        <f t="shared" si="12"/>
        <v>0.46176801904411757</v>
      </c>
      <c r="AU34" t="b">
        <f t="shared" si="24"/>
        <v>1</v>
      </c>
      <c r="AV34">
        <f t="shared" si="13"/>
        <v>100.90802412794669</v>
      </c>
    </row>
    <row r="35" spans="1:48" x14ac:dyDescent="0.25">
      <c r="A35">
        <f t="shared" si="25"/>
        <v>3.3000000000000016</v>
      </c>
      <c r="B35">
        <f t="shared" si="14"/>
        <v>0.1</v>
      </c>
      <c r="C35">
        <f>sim!C34+(sim!$G34*$B35*COS($E35))</f>
        <v>-267.18344604558422</v>
      </c>
      <c r="D35">
        <f>sim!D34+(sim!$G34*$B35*SIN($E35))</f>
        <v>183.62370001736338</v>
      </c>
      <c r="E35">
        <f t="shared" si="26"/>
        <v>2.4820476966708904</v>
      </c>
      <c r="F35">
        <f t="shared" si="0"/>
        <v>100.69030889495582</v>
      </c>
      <c r="G35">
        <v>100</v>
      </c>
      <c r="H35">
        <f t="shared" si="15"/>
        <v>-6.0240815363913638E-2</v>
      </c>
      <c r="I35">
        <f t="shared" si="1"/>
        <v>-3.451544474779098</v>
      </c>
      <c r="J35">
        <f t="shared" si="27"/>
        <v>0</v>
      </c>
      <c r="K35">
        <f t="shared" si="16"/>
        <v>0</v>
      </c>
      <c r="L35">
        <f t="shared" si="2"/>
        <v>0</v>
      </c>
      <c r="M35">
        <f t="shared" si="28"/>
        <v>-3.451544474779098</v>
      </c>
      <c r="N35">
        <f t="shared" si="3"/>
        <v>-264.54654343283727</v>
      </c>
      <c r="O35">
        <f t="shared" si="4"/>
        <v>193.2697740690638</v>
      </c>
      <c r="P35">
        <f t="shared" si="29"/>
        <v>-238.17751730536762</v>
      </c>
      <c r="Q35">
        <f t="shared" si="30"/>
        <v>289.73051458606801</v>
      </c>
      <c r="R35">
        <f t="shared" si="5"/>
        <v>0.9646074051700424</v>
      </c>
      <c r="S35">
        <f t="shared" si="6"/>
        <v>0.26369026127469658</v>
      </c>
      <c r="U35">
        <f t="shared" si="31"/>
        <v>0</v>
      </c>
      <c r="V35" cm="1">
        <f t="array" ref="V35:AA35">INDEX(surface!$A$2:$I$40,U35+1,COLUMN(surface!$B$1:$G$1))</f>
        <v>0</v>
      </c>
      <c r="W35">
        <v>-100</v>
      </c>
      <c r="X35">
        <v>0</v>
      </c>
      <c r="Y35">
        <v>100</v>
      </c>
      <c r="Z35">
        <v>0</v>
      </c>
      <c r="AA35">
        <v>-200</v>
      </c>
      <c r="AB35">
        <f t="shared" si="17"/>
        <v>-529.09308686567454</v>
      </c>
      <c r="AC35">
        <f t="shared" si="18"/>
        <v>486.5395481381276</v>
      </c>
      <c r="AD35">
        <f t="shared" si="7"/>
        <v>-52.738052254939319</v>
      </c>
      <c r="AE35">
        <f t="shared" si="8"/>
        <v>1003.2473029303447</v>
      </c>
      <c r="AF35">
        <f t="shared" si="9"/>
        <v>6.3050477584627345</v>
      </c>
      <c r="AG35" t="b">
        <f t="shared" si="19"/>
        <v>0</v>
      </c>
      <c r="AH35">
        <f t="shared" si="10"/>
        <v>25000</v>
      </c>
      <c r="AI35">
        <f t="shared" si="20"/>
        <v>1</v>
      </c>
      <c r="AJ35" cm="1">
        <f t="array" ref="AJ35:AO35">INDEX(surface!$A$2:$I$40,AI35+1,COLUMN(surface!$B$1:$G$1))</f>
        <v>0</v>
      </c>
      <c r="AK35">
        <v>100</v>
      </c>
      <c r="AL35">
        <v>-500</v>
      </c>
      <c r="AM35">
        <v>500</v>
      </c>
      <c r="AN35">
        <v>500</v>
      </c>
      <c r="AO35">
        <v>-400</v>
      </c>
      <c r="AP35">
        <f t="shared" si="21"/>
        <v>-529.09308686567454</v>
      </c>
      <c r="AQ35">
        <f t="shared" si="22"/>
        <v>286.5395481381276</v>
      </c>
      <c r="AR35">
        <f t="shared" si="23"/>
        <v>-587.77980709489987</v>
      </c>
      <c r="AS35">
        <f t="shared" si="11"/>
        <v>100.69030889495582</v>
      </c>
      <c r="AT35">
        <f t="shared" si="12"/>
        <v>0.47599097914499289</v>
      </c>
      <c r="AU35" t="b">
        <f t="shared" si="24"/>
        <v>1</v>
      </c>
      <c r="AV35">
        <f t="shared" si="13"/>
        <v>100.69030889495582</v>
      </c>
    </row>
    <row r="36" spans="1:48" x14ac:dyDescent="0.25">
      <c r="A36">
        <f t="shared" si="25"/>
        <v>3.4000000000000017</v>
      </c>
      <c r="B36">
        <f t="shared" si="14"/>
        <v>0.1</v>
      </c>
      <c r="C36">
        <f>sim!C35+(sim!$G35*$B36*COS($E36))</f>
        <v>-275.04910131926391</v>
      </c>
      <c r="D36">
        <f>sim!D35+(sim!$G35*$B36*SIN($E36))</f>
        <v>189.79876820448771</v>
      </c>
      <c r="E36">
        <f t="shared" si="26"/>
        <v>2.476023615134499</v>
      </c>
      <c r="F36">
        <f t="shared" si="0"/>
        <v>100.50456610972461</v>
      </c>
      <c r="G36">
        <v>100</v>
      </c>
      <c r="H36">
        <f t="shared" si="15"/>
        <v>-4.4031699543366838E-2</v>
      </c>
      <c r="I36">
        <f t="shared" si="1"/>
        <v>-2.522830548623034</v>
      </c>
      <c r="J36">
        <f t="shared" si="27"/>
        <v>0</v>
      </c>
      <c r="K36">
        <f t="shared" si="16"/>
        <v>0</v>
      </c>
      <c r="L36">
        <f t="shared" si="2"/>
        <v>0</v>
      </c>
      <c r="M36">
        <f t="shared" si="28"/>
        <v>-2.522830548623034</v>
      </c>
      <c r="N36">
        <f t="shared" si="3"/>
        <v>-272.35413816725048</v>
      </c>
      <c r="O36">
        <f t="shared" si="4"/>
        <v>199.42878241056704</v>
      </c>
      <c r="P36">
        <f t="shared" si="29"/>
        <v>-245.40450664711594</v>
      </c>
      <c r="Q36">
        <f t="shared" si="30"/>
        <v>295.72892447136036</v>
      </c>
      <c r="R36">
        <f t="shared" si="5"/>
        <v>0.96300142060793303</v>
      </c>
      <c r="S36">
        <f t="shared" si="6"/>
        <v>0.26949631520134543</v>
      </c>
      <c r="U36">
        <f t="shared" si="31"/>
        <v>0</v>
      </c>
      <c r="V36" cm="1">
        <f t="array" ref="V36:AA36">INDEX(surface!$A$2:$I$40,U36+1,COLUMN(surface!$B$1:$G$1))</f>
        <v>0</v>
      </c>
      <c r="W36">
        <v>-100</v>
      </c>
      <c r="X36">
        <v>0</v>
      </c>
      <c r="Y36">
        <v>100</v>
      </c>
      <c r="Z36">
        <v>0</v>
      </c>
      <c r="AA36">
        <v>-200</v>
      </c>
      <c r="AB36">
        <f t="shared" si="17"/>
        <v>-544.70827633450097</v>
      </c>
      <c r="AC36">
        <f t="shared" si="18"/>
        <v>498.85756482113408</v>
      </c>
      <c r="AD36">
        <f t="shared" si="7"/>
        <v>-53.899263040269084</v>
      </c>
      <c r="AE36">
        <f t="shared" si="8"/>
        <v>1010.6043118391802</v>
      </c>
      <c r="AF36">
        <f t="shared" si="9"/>
        <v>6.3632108519210009</v>
      </c>
      <c r="AG36" t="b">
        <f t="shared" si="19"/>
        <v>0</v>
      </c>
      <c r="AH36">
        <f t="shared" si="10"/>
        <v>25000</v>
      </c>
      <c r="AI36">
        <f t="shared" si="20"/>
        <v>1</v>
      </c>
      <c r="AJ36" cm="1">
        <f t="array" ref="AJ36:AO36">INDEX(surface!$A$2:$I$40,AI36+1,COLUMN(surface!$B$1:$G$1))</f>
        <v>0</v>
      </c>
      <c r="AK36">
        <v>100</v>
      </c>
      <c r="AL36">
        <v>-500</v>
      </c>
      <c r="AM36">
        <v>500</v>
      </c>
      <c r="AN36">
        <v>500</v>
      </c>
      <c r="AO36">
        <v>-400</v>
      </c>
      <c r="AP36">
        <f t="shared" si="21"/>
        <v>-544.70827633450097</v>
      </c>
      <c r="AQ36">
        <f t="shared" si="22"/>
        <v>298.85756482113408</v>
      </c>
      <c r="AR36">
        <f t="shared" si="23"/>
        <v>-589.29923638450464</v>
      </c>
      <c r="AS36">
        <f t="shared" si="11"/>
        <v>100.50456610972461</v>
      </c>
      <c r="AT36">
        <f t="shared" si="12"/>
        <v>0.49053705587953939</v>
      </c>
      <c r="AU36" t="b">
        <f t="shared" si="24"/>
        <v>1</v>
      </c>
      <c r="AV36">
        <f t="shared" si="13"/>
        <v>100.50456610972461</v>
      </c>
    </row>
    <row r="37" spans="1:48" x14ac:dyDescent="0.25">
      <c r="A37">
        <f t="shared" si="25"/>
        <v>3.5000000000000018</v>
      </c>
      <c r="B37">
        <f t="shared" si="14"/>
        <v>0.1</v>
      </c>
      <c r="C37">
        <f>sim!C36+(sim!$G36*$B37*COS($E37))</f>
        <v>-282.88749055692716</v>
      </c>
      <c r="D37">
        <f>sim!D36+(sim!$G36*$B37*SIN($E37))</f>
        <v>196.00841023594856</v>
      </c>
      <c r="E37">
        <f t="shared" si="26"/>
        <v>2.4716204451801622</v>
      </c>
      <c r="F37">
        <f t="shared" si="0"/>
        <v>100.35094661644882</v>
      </c>
      <c r="G37">
        <v>100</v>
      </c>
      <c r="H37">
        <f t="shared" si="15"/>
        <v>-3.0625869778828262E-2</v>
      </c>
      <c r="I37">
        <f t="shared" si="1"/>
        <v>-1.7547330822441154</v>
      </c>
      <c r="J37">
        <f t="shared" si="27"/>
        <v>0</v>
      </c>
      <c r="K37">
        <f t="shared" si="16"/>
        <v>0</v>
      </c>
      <c r="L37">
        <f t="shared" si="2"/>
        <v>0</v>
      </c>
      <c r="M37">
        <f t="shared" si="28"/>
        <v>-1.7547330822441154</v>
      </c>
      <c r="N37">
        <f t="shared" si="3"/>
        <v>-280.15015107752123</v>
      </c>
      <c r="O37">
        <f t="shared" si="4"/>
        <v>205.62646474684033</v>
      </c>
      <c r="P37">
        <f t="shared" si="29"/>
        <v>-252.77675628346171</v>
      </c>
      <c r="Q37">
        <f t="shared" si="30"/>
        <v>301.80700985575805</v>
      </c>
      <c r="R37">
        <f t="shared" si="5"/>
        <v>0.96180545108917714</v>
      </c>
      <c r="S37">
        <f t="shared" si="6"/>
        <v>0.27373394794059513</v>
      </c>
      <c r="U37">
        <f t="shared" si="31"/>
        <v>0</v>
      </c>
      <c r="V37" cm="1">
        <f t="array" ref="V37:AA37">INDEX(surface!$A$2:$I$40,U37+1,COLUMN(surface!$B$1:$G$1))</f>
        <v>0</v>
      </c>
      <c r="W37">
        <v>-100</v>
      </c>
      <c r="X37">
        <v>0</v>
      </c>
      <c r="Y37">
        <v>100</v>
      </c>
      <c r="Z37">
        <v>0</v>
      </c>
      <c r="AA37">
        <v>-200</v>
      </c>
      <c r="AB37">
        <f t="shared" si="17"/>
        <v>-560.30030215504246</v>
      </c>
      <c r="AC37">
        <f t="shared" si="18"/>
        <v>511.25292949368065</v>
      </c>
      <c r="AD37">
        <f t="shared" si="7"/>
        <v>-54.746789588119029</v>
      </c>
      <c r="AE37">
        <f t="shared" si="8"/>
        <v>1023.4395594159863</v>
      </c>
      <c r="AF37">
        <f t="shared" si="9"/>
        <v>6.4498810592672076</v>
      </c>
      <c r="AG37" t="b">
        <f t="shared" si="19"/>
        <v>0</v>
      </c>
      <c r="AH37">
        <f t="shared" si="10"/>
        <v>25000</v>
      </c>
      <c r="AI37">
        <f t="shared" si="20"/>
        <v>1</v>
      </c>
      <c r="AJ37" cm="1">
        <f t="array" ref="AJ37:AO37">INDEX(surface!$A$2:$I$40,AI37+1,COLUMN(surface!$B$1:$G$1))</f>
        <v>0</v>
      </c>
      <c r="AK37">
        <v>100</v>
      </c>
      <c r="AL37">
        <v>-500</v>
      </c>
      <c r="AM37">
        <v>500</v>
      </c>
      <c r="AN37">
        <v>500</v>
      </c>
      <c r="AO37">
        <v>-400</v>
      </c>
      <c r="AP37">
        <f t="shared" si="21"/>
        <v>-560.30030215504246</v>
      </c>
      <c r="AQ37">
        <f t="shared" si="22"/>
        <v>311.25292949368065</v>
      </c>
      <c r="AR37">
        <f t="shared" si="23"/>
        <v>-590.39630472082661</v>
      </c>
      <c r="AS37">
        <f t="shared" si="11"/>
        <v>100.35094661644882</v>
      </c>
      <c r="AT37">
        <f t="shared" si="12"/>
        <v>0.50536138056124957</v>
      </c>
      <c r="AU37" t="b">
        <f t="shared" si="24"/>
        <v>1</v>
      </c>
      <c r="AV37">
        <f t="shared" si="13"/>
        <v>100.35094661644882</v>
      </c>
    </row>
    <row r="38" spans="1:48" x14ac:dyDescent="0.25">
      <c r="A38">
        <f t="shared" si="25"/>
        <v>3.6000000000000019</v>
      </c>
      <c r="B38">
        <f t="shared" si="14"/>
        <v>0.1</v>
      </c>
      <c r="C38">
        <f>sim!C37+(sim!$G37*$B38*COS($E38))</f>
        <v>-290.7068254956784</v>
      </c>
      <c r="D38">
        <f>sim!D37+(sim!$G37*$B38*SIN($E38))</f>
        <v>202.24202885723298</v>
      </c>
      <c r="E38">
        <f t="shared" si="26"/>
        <v>2.4685578582022796</v>
      </c>
      <c r="F38">
        <f t="shared" si="0"/>
        <v>100.22824622763036</v>
      </c>
      <c r="G38">
        <v>100</v>
      </c>
      <c r="H38">
        <f t="shared" si="15"/>
        <v>-1.9918240887031598E-2</v>
      </c>
      <c r="I38">
        <f t="shared" si="1"/>
        <v>-1.1412311381518236</v>
      </c>
      <c r="J38">
        <f t="shared" si="27"/>
        <v>0</v>
      </c>
      <c r="K38">
        <f t="shared" si="16"/>
        <v>0</v>
      </c>
      <c r="L38">
        <f t="shared" si="2"/>
        <v>0</v>
      </c>
      <c r="M38">
        <f t="shared" si="28"/>
        <v>-1.1412311381518236</v>
      </c>
      <c r="N38">
        <f t="shared" si="3"/>
        <v>-287.94004277116608</v>
      </c>
      <c r="O38">
        <f t="shared" si="4"/>
        <v>211.85165493504371</v>
      </c>
      <c r="P38">
        <f t="shared" si="29"/>
        <v>-260.27221552604306</v>
      </c>
      <c r="Q38">
        <f t="shared" si="30"/>
        <v>307.94791571315113</v>
      </c>
      <c r="R38">
        <f t="shared" si="5"/>
        <v>0.96096260778107423</v>
      </c>
      <c r="S38">
        <f t="shared" si="6"/>
        <v>0.2766782724512305</v>
      </c>
      <c r="U38">
        <f t="shared" si="31"/>
        <v>0</v>
      </c>
      <c r="V38" cm="1">
        <f t="array" ref="V38:AA38">INDEX(surface!$A$2:$I$40,U38+1,COLUMN(surface!$B$1:$G$1))</f>
        <v>0</v>
      </c>
      <c r="W38">
        <v>-100</v>
      </c>
      <c r="X38">
        <v>0</v>
      </c>
      <c r="Y38">
        <v>100</v>
      </c>
      <c r="Z38">
        <v>0</v>
      </c>
      <c r="AA38">
        <v>-200</v>
      </c>
      <c r="AB38">
        <f t="shared" si="17"/>
        <v>-575.88008554233215</v>
      </c>
      <c r="AC38">
        <f t="shared" si="18"/>
        <v>523.70330987008742</v>
      </c>
      <c r="AD38">
        <f t="shared" si="7"/>
        <v>-55.3356544902461</v>
      </c>
      <c r="AE38">
        <f t="shared" si="8"/>
        <v>1040.7034864724358</v>
      </c>
      <c r="AF38">
        <f t="shared" si="9"/>
        <v>6.5596439561122573</v>
      </c>
      <c r="AG38" t="b">
        <f t="shared" si="19"/>
        <v>0</v>
      </c>
      <c r="AH38">
        <f t="shared" si="10"/>
        <v>25000</v>
      </c>
      <c r="AI38">
        <f t="shared" si="20"/>
        <v>1</v>
      </c>
      <c r="AJ38" cm="1">
        <f t="array" ref="AJ38:AO38">INDEX(surface!$A$2:$I$40,AI38+1,COLUMN(surface!$B$1:$G$1))</f>
        <v>0</v>
      </c>
      <c r="AK38">
        <v>100</v>
      </c>
      <c r="AL38">
        <v>-500</v>
      </c>
      <c r="AM38">
        <v>500</v>
      </c>
      <c r="AN38">
        <v>500</v>
      </c>
      <c r="AO38">
        <v>-400</v>
      </c>
      <c r="AP38">
        <f t="shared" si="21"/>
        <v>-575.88008554233215</v>
      </c>
      <c r="AQ38">
        <f t="shared" si="22"/>
        <v>323.70330987008742</v>
      </c>
      <c r="AR38">
        <f t="shared" si="23"/>
        <v>-591.15261287102931</v>
      </c>
      <c r="AS38">
        <f t="shared" si="11"/>
        <v>100.22824622763036</v>
      </c>
      <c r="AT38">
        <f t="shared" si="12"/>
        <v>0.52041812950817745</v>
      </c>
      <c r="AU38" t="b">
        <f t="shared" si="24"/>
        <v>1</v>
      </c>
      <c r="AV38">
        <f t="shared" si="13"/>
        <v>100.22824622763036</v>
      </c>
    </row>
    <row r="39" spans="1:48" x14ac:dyDescent="0.25">
      <c r="A39">
        <f t="shared" si="25"/>
        <v>3.700000000000002</v>
      </c>
      <c r="B39">
        <f t="shared" si="14"/>
        <v>0.1</v>
      </c>
      <c r="C39">
        <f>sim!C38+(sim!$G38*$B39*COS($E39))</f>
        <v>-298.51372865984428</v>
      </c>
      <c r="D39">
        <f>sim!D38+(sim!$G38*$B39*SIN($E39))</f>
        <v>208.49120984239713</v>
      </c>
      <c r="E39">
        <f t="shared" si="26"/>
        <v>2.4665660341135762</v>
      </c>
      <c r="F39">
        <f t="shared" si="0"/>
        <v>100.13406654910698</v>
      </c>
      <c r="G39">
        <v>100</v>
      </c>
      <c r="H39">
        <f t="shared" si="15"/>
        <v>-1.1699513493516946E-2</v>
      </c>
      <c r="I39">
        <f t="shared" si="1"/>
        <v>-0.67033274553487843</v>
      </c>
      <c r="J39">
        <f t="shared" si="27"/>
        <v>0</v>
      </c>
      <c r="K39">
        <f t="shared" si="16"/>
        <v>0</v>
      </c>
      <c r="L39">
        <f t="shared" si="2"/>
        <v>0</v>
      </c>
      <c r="M39">
        <f t="shared" si="28"/>
        <v>-0.67033274553487843</v>
      </c>
      <c r="N39">
        <f t="shared" si="3"/>
        <v>-295.72781075169723</v>
      </c>
      <c r="O39">
        <f t="shared" si="4"/>
        <v>218.09530591694082</v>
      </c>
      <c r="P39">
        <f t="shared" si="29"/>
        <v>-267.8686316702271</v>
      </c>
      <c r="Q39">
        <f t="shared" si="30"/>
        <v>314.13626666237786</v>
      </c>
      <c r="R39">
        <f t="shared" si="5"/>
        <v>0.96040960745437032</v>
      </c>
      <c r="S39">
        <f t="shared" si="6"/>
        <v>0.27859179081470137</v>
      </c>
      <c r="U39">
        <f t="shared" si="31"/>
        <v>0</v>
      </c>
      <c r="V39" cm="1">
        <f t="array" ref="V39:AA39">INDEX(surface!$A$2:$I$40,U39+1,COLUMN(surface!$B$1:$G$1))</f>
        <v>0</v>
      </c>
      <c r="W39">
        <v>-100</v>
      </c>
      <c r="X39">
        <v>0</v>
      </c>
      <c r="Y39">
        <v>100</v>
      </c>
      <c r="Z39">
        <v>0</v>
      </c>
      <c r="AA39">
        <v>-200</v>
      </c>
      <c r="AB39">
        <f t="shared" si="17"/>
        <v>-591.45562150339447</v>
      </c>
      <c r="AC39">
        <f t="shared" si="18"/>
        <v>536.19061183388158</v>
      </c>
      <c r="AD39">
        <f t="shared" si="7"/>
        <v>-55.718358162940277</v>
      </c>
      <c r="AE39">
        <f t="shared" si="8"/>
        <v>1061.5094216770856</v>
      </c>
      <c r="AF39">
        <f t="shared" si="9"/>
        <v>6.6878957644947308</v>
      </c>
      <c r="AG39" t="b">
        <f t="shared" si="19"/>
        <v>0</v>
      </c>
      <c r="AH39">
        <f t="shared" si="10"/>
        <v>25000</v>
      </c>
      <c r="AI39">
        <f t="shared" si="20"/>
        <v>1</v>
      </c>
      <c r="AJ39" cm="1">
        <f t="array" ref="AJ39:AO39">INDEX(surface!$A$2:$I$40,AI39+1,COLUMN(surface!$B$1:$G$1))</f>
        <v>0</v>
      </c>
      <c r="AK39">
        <v>100</v>
      </c>
      <c r="AL39">
        <v>-500</v>
      </c>
      <c r="AM39">
        <v>500</v>
      </c>
      <c r="AN39">
        <v>500</v>
      </c>
      <c r="AO39">
        <v>-400</v>
      </c>
      <c r="AP39">
        <f t="shared" si="21"/>
        <v>-591.45562150339447</v>
      </c>
      <c r="AQ39">
        <f t="shared" si="22"/>
        <v>336.19061183388163</v>
      </c>
      <c r="AR39">
        <f t="shared" si="23"/>
        <v>-591.64152005306573</v>
      </c>
      <c r="AS39">
        <f t="shared" si="11"/>
        <v>100.13406654910698</v>
      </c>
      <c r="AT39">
        <f t="shared" si="12"/>
        <v>0.53566256366044607</v>
      </c>
      <c r="AU39" t="b">
        <f t="shared" si="24"/>
        <v>1</v>
      </c>
      <c r="AV39">
        <f t="shared" si="13"/>
        <v>100.13406654910698</v>
      </c>
    </row>
    <row r="40" spans="1:48" x14ac:dyDescent="0.25">
      <c r="A40">
        <f t="shared" si="25"/>
        <v>3.800000000000002</v>
      </c>
      <c r="B40">
        <f t="shared" si="14"/>
        <v>0.1</v>
      </c>
      <c r="C40">
        <f>sim!C39+(sim!$G39*$B40*COS($E40))</f>
        <v>-306.31331524496221</v>
      </c>
      <c r="D40">
        <f>sim!D39+(sim!$G39*$B40*SIN($E40))</f>
        <v>214.74952024547304</v>
      </c>
      <c r="E40">
        <f t="shared" si="26"/>
        <v>2.4653960827642245</v>
      </c>
      <c r="F40">
        <f t="shared" si="0"/>
        <v>100.06509262779404</v>
      </c>
      <c r="G40">
        <v>100</v>
      </c>
      <c r="H40">
        <f t="shared" si="15"/>
        <v>-5.6804033689062264E-3</v>
      </c>
      <c r="I40">
        <f t="shared" si="1"/>
        <v>-0.32546313897022117</v>
      </c>
      <c r="J40">
        <f t="shared" si="27"/>
        <v>0</v>
      </c>
      <c r="K40">
        <f t="shared" si="16"/>
        <v>0</v>
      </c>
      <c r="L40">
        <f t="shared" si="2"/>
        <v>0</v>
      </c>
      <c r="M40">
        <f t="shared" si="28"/>
        <v>-0.32546313897022117</v>
      </c>
      <c r="N40">
        <f t="shared" si="3"/>
        <v>-303.51616292087954</v>
      </c>
      <c r="O40">
        <f t="shared" si="4"/>
        <v>224.35035035936835</v>
      </c>
      <c r="P40">
        <f t="shared" si="29"/>
        <v>-275.54463968005297</v>
      </c>
      <c r="Q40">
        <f t="shared" si="30"/>
        <v>320.35865149832142</v>
      </c>
      <c r="R40">
        <f t="shared" si="5"/>
        <v>0.96008301138953078</v>
      </c>
      <c r="S40">
        <f t="shared" si="6"/>
        <v>0.27971523240826557</v>
      </c>
      <c r="U40">
        <f t="shared" si="31"/>
        <v>0</v>
      </c>
      <c r="V40" cm="1">
        <f t="array" ref="V40:AA40">INDEX(surface!$A$2:$I$40,U40+1,COLUMN(surface!$B$1:$G$1))</f>
        <v>0</v>
      </c>
      <c r="W40">
        <v>-100</v>
      </c>
      <c r="X40">
        <v>0</v>
      </c>
      <c r="Y40">
        <v>100</v>
      </c>
      <c r="Z40">
        <v>0</v>
      </c>
      <c r="AA40">
        <v>-200</v>
      </c>
      <c r="AB40">
        <f t="shared" si="17"/>
        <v>-607.03232584175908</v>
      </c>
      <c r="AC40">
        <f t="shared" si="18"/>
        <v>548.7007007187367</v>
      </c>
      <c r="AD40">
        <f t="shared" si="7"/>
        <v>-55.943046481653113</v>
      </c>
      <c r="AE40">
        <f t="shared" si="8"/>
        <v>1085.0898619560151</v>
      </c>
      <c r="AF40">
        <f t="shared" si="9"/>
        <v>6.8306334632717469</v>
      </c>
      <c r="AG40" t="b">
        <f t="shared" si="19"/>
        <v>0</v>
      </c>
      <c r="AH40">
        <f t="shared" si="10"/>
        <v>25000</v>
      </c>
      <c r="AI40">
        <f t="shared" si="20"/>
        <v>1</v>
      </c>
      <c r="AJ40" cm="1">
        <f t="array" ref="AJ40:AO40">INDEX(surface!$A$2:$I$40,AI40+1,COLUMN(surface!$B$1:$G$1))</f>
        <v>0</v>
      </c>
      <c r="AK40">
        <v>100</v>
      </c>
      <c r="AL40">
        <v>-500</v>
      </c>
      <c r="AM40">
        <v>500</v>
      </c>
      <c r="AN40">
        <v>500</v>
      </c>
      <c r="AO40">
        <v>-400</v>
      </c>
      <c r="AP40">
        <f t="shared" si="21"/>
        <v>-607.03232584175908</v>
      </c>
      <c r="AQ40">
        <f t="shared" si="22"/>
        <v>348.7007007187367</v>
      </c>
      <c r="AR40">
        <f t="shared" si="23"/>
        <v>-591.9275986580717</v>
      </c>
      <c r="AS40">
        <f t="shared" si="11"/>
        <v>100.06509262779404</v>
      </c>
      <c r="AT40">
        <f t="shared" si="12"/>
        <v>0.55105286456108293</v>
      </c>
      <c r="AU40" t="b">
        <f t="shared" si="24"/>
        <v>1</v>
      </c>
      <c r="AV40">
        <f t="shared" si="13"/>
        <v>100.06509262779404</v>
      </c>
    </row>
    <row r="41" spans="1:48" x14ac:dyDescent="0.25">
      <c r="A41">
        <f t="shared" si="25"/>
        <v>3.9000000000000021</v>
      </c>
      <c r="B41">
        <f t="shared" si="14"/>
        <v>0.1</v>
      </c>
      <c r="C41">
        <f>sim!C40+(sim!$G40*$B41*COS($E41))</f>
        <v>-314.10934559917604</v>
      </c>
      <c r="D41">
        <f>sim!D40+(sim!$G40*$B41*SIN($E41))</f>
        <v>221.01226011841817</v>
      </c>
      <c r="E41">
        <f t="shared" si="26"/>
        <v>2.4648280424273339</v>
      </c>
      <c r="F41">
        <f t="shared" si="0"/>
        <v>100.01744004213415</v>
      </c>
      <c r="G41">
        <v>100</v>
      </c>
      <c r="H41">
        <f t="shared" si="15"/>
        <v>-1.521930784637674E-3</v>
      </c>
      <c r="I41">
        <f t="shared" si="1"/>
        <v>-8.7200210670772549E-2</v>
      </c>
      <c r="J41">
        <f t="shared" si="27"/>
        <v>0</v>
      </c>
      <c r="K41">
        <f t="shared" si="16"/>
        <v>0</v>
      </c>
      <c r="L41">
        <f t="shared" si="2"/>
        <v>0</v>
      </c>
      <c r="M41">
        <f t="shared" si="28"/>
        <v>-8.7200210670772549E-2</v>
      </c>
      <c r="N41">
        <f t="shared" si="3"/>
        <v>-311.30674006789263</v>
      </c>
      <c r="O41">
        <f t="shared" si="4"/>
        <v>230.61149978810138</v>
      </c>
      <c r="P41">
        <f t="shared" si="29"/>
        <v>-283.28068475505881</v>
      </c>
      <c r="Q41">
        <f t="shared" si="30"/>
        <v>326.60389648493344</v>
      </c>
      <c r="R41">
        <f t="shared" si="5"/>
        <v>0.95992396696832083</v>
      </c>
      <c r="S41">
        <f t="shared" si="6"/>
        <v>0.28026055312833814</v>
      </c>
      <c r="U41">
        <f t="shared" si="31"/>
        <v>0</v>
      </c>
      <c r="V41" cm="1">
        <f t="array" ref="V41:AA41">INDEX(surface!$A$2:$I$40,U41+1,COLUMN(surface!$B$1:$G$1))</f>
        <v>0</v>
      </c>
      <c r="W41">
        <v>-100</v>
      </c>
      <c r="X41">
        <v>0</v>
      </c>
      <c r="Y41">
        <v>100</v>
      </c>
      <c r="Z41">
        <v>0</v>
      </c>
      <c r="AA41">
        <v>-200</v>
      </c>
      <c r="AB41">
        <f t="shared" si="17"/>
        <v>-622.61348013578527</v>
      </c>
      <c r="AC41">
        <f t="shared" si="18"/>
        <v>561.22299957620271</v>
      </c>
      <c r="AD41">
        <f t="shared" si="7"/>
        <v>-56.05211062566763</v>
      </c>
      <c r="AE41">
        <f t="shared" si="8"/>
        <v>1110.7761566621105</v>
      </c>
      <c r="AF41">
        <f t="shared" si="9"/>
        <v>6.984360772525096</v>
      </c>
      <c r="AG41" t="b">
        <f t="shared" si="19"/>
        <v>0</v>
      </c>
      <c r="AH41">
        <f t="shared" si="10"/>
        <v>25000</v>
      </c>
      <c r="AI41">
        <f t="shared" si="20"/>
        <v>1</v>
      </c>
      <c r="AJ41" cm="1">
        <f t="array" ref="AJ41:AO41">INDEX(surface!$A$2:$I$40,AI41+1,COLUMN(surface!$B$1:$G$1))</f>
        <v>0</v>
      </c>
      <c r="AK41">
        <v>100</v>
      </c>
      <c r="AL41">
        <v>-500</v>
      </c>
      <c r="AM41">
        <v>500</v>
      </c>
      <c r="AN41">
        <v>500</v>
      </c>
      <c r="AO41">
        <v>-400</v>
      </c>
      <c r="AP41">
        <f t="shared" si="21"/>
        <v>-622.61348013578527</v>
      </c>
      <c r="AQ41">
        <f t="shared" si="22"/>
        <v>361.22299957620277</v>
      </c>
      <c r="AR41">
        <f t="shared" si="23"/>
        <v>-592.06620473549572</v>
      </c>
      <c r="AS41">
        <f t="shared" si="11"/>
        <v>100.01744004213415</v>
      </c>
      <c r="AT41">
        <f t="shared" si="12"/>
        <v>0.56655159399840738</v>
      </c>
      <c r="AU41" t="b">
        <f t="shared" si="24"/>
        <v>1</v>
      </c>
      <c r="AV41">
        <f t="shared" si="13"/>
        <v>100.01744004213415</v>
      </c>
    </row>
    <row r="42" spans="1:48" x14ac:dyDescent="0.25">
      <c r="A42">
        <f t="shared" si="25"/>
        <v>4.0000000000000018</v>
      </c>
      <c r="B42">
        <f t="shared" si="14"/>
        <v>0.1</v>
      </c>
      <c r="C42">
        <f>sim!C41+(sim!$G41*$B42*COS($E42))</f>
        <v>-321.90442271744394</v>
      </c>
      <c r="D42">
        <f>sim!D41+(sim!$G41*$B42*SIN($E42))</f>
        <v>227.27618642068705</v>
      </c>
      <c r="E42">
        <f t="shared" si="26"/>
        <v>2.4646758493488701</v>
      </c>
      <c r="F42">
        <f t="shared" si="0"/>
        <v>99.987015674526617</v>
      </c>
      <c r="G42">
        <v>100</v>
      </c>
      <c r="H42">
        <f t="shared" si="15"/>
        <v>1.1330961533055058E-3</v>
      </c>
      <c r="I42">
        <f t="shared" si="1"/>
        <v>6.4921627366913981E-2</v>
      </c>
      <c r="J42">
        <f t="shared" si="27"/>
        <v>0</v>
      </c>
      <c r="K42">
        <f t="shared" si="16"/>
        <v>0</v>
      </c>
      <c r="L42">
        <f t="shared" si="2"/>
        <v>0</v>
      </c>
      <c r="M42">
        <f t="shared" si="28"/>
        <v>6.4921627366913981E-2</v>
      </c>
      <c r="N42">
        <f t="shared" si="3"/>
        <v>-319.10035628078793</v>
      </c>
      <c r="O42">
        <f t="shared" si="4"/>
        <v>236.87499944203608</v>
      </c>
      <c r="P42">
        <f t="shared" si="29"/>
        <v>-291.05969191422815</v>
      </c>
      <c r="Q42">
        <f t="shared" si="30"/>
        <v>332.86312965552622</v>
      </c>
      <c r="R42">
        <f t="shared" si="5"/>
        <v>0.95988130213490164</v>
      </c>
      <c r="S42">
        <f t="shared" si="6"/>
        <v>0.28040664366559803</v>
      </c>
      <c r="U42">
        <f t="shared" si="31"/>
        <v>1</v>
      </c>
      <c r="V42" cm="1">
        <f t="array" ref="V42:AA42">INDEX(surface!$A$2:$I$40,U42+1,COLUMN(surface!$B$1:$G$1))</f>
        <v>0</v>
      </c>
      <c r="W42">
        <v>100</v>
      </c>
      <c r="X42">
        <v>-500</v>
      </c>
      <c r="Y42">
        <v>500</v>
      </c>
      <c r="Z42">
        <v>500</v>
      </c>
      <c r="AA42">
        <v>-400</v>
      </c>
      <c r="AB42">
        <f t="shared" si="17"/>
        <v>-638.20071256157587</v>
      </c>
      <c r="AC42">
        <f t="shared" si="18"/>
        <v>373.74999888407217</v>
      </c>
      <c r="AD42">
        <f t="shared" si="7"/>
        <v>-592.10330853368998</v>
      </c>
      <c r="AE42">
        <f t="shared" si="8"/>
        <v>99.987015674526617</v>
      </c>
      <c r="AF42">
        <f t="shared" si="9"/>
        <v>0.5821266656107088</v>
      </c>
      <c r="AG42" t="b">
        <f t="shared" si="19"/>
        <v>1</v>
      </c>
      <c r="AH42">
        <f t="shared" si="10"/>
        <v>99.987015674526617</v>
      </c>
      <c r="AI42">
        <f t="shared" si="20"/>
        <v>2</v>
      </c>
      <c r="AJ42" cm="1">
        <f t="array" ref="AJ42:AO42">INDEX(surface!$A$2:$I$40,AI42+1,COLUMN(surface!$B$1:$G$1))</f>
        <v>-500</v>
      </c>
      <c r="AK42">
        <v>500</v>
      </c>
      <c r="AL42">
        <v>-500</v>
      </c>
      <c r="AM42">
        <v>1000</v>
      </c>
      <c r="AN42">
        <v>0</v>
      </c>
      <c r="AO42">
        <v>-500</v>
      </c>
      <c r="AP42">
        <f t="shared" si="21"/>
        <v>-138.20071256157587</v>
      </c>
      <c r="AQ42">
        <f t="shared" si="22"/>
        <v>-26.25000111592783</v>
      </c>
      <c r="AR42">
        <f t="shared" si="23"/>
        <v>-140.20332183279902</v>
      </c>
      <c r="AS42">
        <f t="shared" si="11"/>
        <v>-645.13322992070721</v>
      </c>
      <c r="AT42">
        <f t="shared" si="12"/>
        <v>-1.7647526506894944</v>
      </c>
      <c r="AU42" t="b">
        <f t="shared" si="24"/>
        <v>0</v>
      </c>
      <c r="AV42">
        <f t="shared" si="13"/>
        <v>25000</v>
      </c>
    </row>
    <row r="43" spans="1:48" x14ac:dyDescent="0.25">
      <c r="A43">
        <f t="shared" si="25"/>
        <v>4.1000000000000014</v>
      </c>
      <c r="B43">
        <f t="shared" si="14"/>
        <v>0.1</v>
      </c>
      <c r="C43">
        <f>sim!C42+(sim!$G42*$B43*COS($E43))</f>
        <v>-329.70020954874934</v>
      </c>
      <c r="D43">
        <f>sim!D42+(sim!$G42*$B43*SIN($E43))</f>
        <v>233.53922942555658</v>
      </c>
      <c r="E43">
        <f t="shared" si="26"/>
        <v>2.4647891589642006</v>
      </c>
      <c r="F43">
        <f t="shared" si="0"/>
        <v>99.969841170251613</v>
      </c>
      <c r="G43">
        <v>100</v>
      </c>
      <c r="H43">
        <f t="shared" si="15"/>
        <v>2.631854388288871E-3</v>
      </c>
      <c r="I43">
        <f t="shared" si="1"/>
        <v>0.15079414874193731</v>
      </c>
      <c r="J43">
        <f t="shared" si="27"/>
        <v>0</v>
      </c>
      <c r="K43">
        <f t="shared" si="16"/>
        <v>0</v>
      </c>
      <c r="L43">
        <f t="shared" si="2"/>
        <v>0</v>
      </c>
      <c r="M43">
        <f t="shared" si="28"/>
        <v>0.15079414874193731</v>
      </c>
      <c r="N43">
        <f t="shared" si="3"/>
        <v>-326.8972307679029</v>
      </c>
      <c r="O43">
        <f t="shared" si="4"/>
        <v>243.13836011297431</v>
      </c>
      <c r="P43">
        <f t="shared" si="29"/>
        <v>-298.86744295943862</v>
      </c>
      <c r="Q43">
        <f t="shared" si="30"/>
        <v>339.12966698715155</v>
      </c>
      <c r="R43">
        <f t="shared" si="5"/>
        <v>0.9599130687417724</v>
      </c>
      <c r="S43">
        <f t="shared" si="6"/>
        <v>0.28029787808464279</v>
      </c>
      <c r="U43">
        <f t="shared" si="31"/>
        <v>1</v>
      </c>
      <c r="V43" cm="1">
        <f t="array" ref="V43:AA43">INDEX(surface!$A$2:$I$40,U43+1,COLUMN(surface!$B$1:$G$1))</f>
        <v>0</v>
      </c>
      <c r="W43">
        <v>100</v>
      </c>
      <c r="X43">
        <v>-500</v>
      </c>
      <c r="Y43">
        <v>500</v>
      </c>
      <c r="Z43">
        <v>500</v>
      </c>
      <c r="AA43">
        <v>-400</v>
      </c>
      <c r="AB43">
        <f t="shared" si="17"/>
        <v>-653.79446153580579</v>
      </c>
      <c r="AC43">
        <f t="shared" si="18"/>
        <v>386.27672022594862</v>
      </c>
      <c r="AD43">
        <f t="shared" si="7"/>
        <v>-592.07568560474328</v>
      </c>
      <c r="AE43">
        <f t="shared" si="8"/>
        <v>99.969841170251613</v>
      </c>
      <c r="AF43">
        <f t="shared" si="9"/>
        <v>0.59775179283084523</v>
      </c>
      <c r="AG43" t="b">
        <f t="shared" si="19"/>
        <v>1</v>
      </c>
      <c r="AH43">
        <f t="shared" si="10"/>
        <v>99.969841170251613</v>
      </c>
      <c r="AI43">
        <f t="shared" si="20"/>
        <v>2</v>
      </c>
      <c r="AJ43" cm="1">
        <f t="array" ref="AJ43:AO43">INDEX(surface!$A$2:$I$40,AI43+1,COLUMN(surface!$B$1:$G$1))</f>
        <v>-500</v>
      </c>
      <c r="AK43">
        <v>500</v>
      </c>
      <c r="AL43">
        <v>-500</v>
      </c>
      <c r="AM43">
        <v>1000</v>
      </c>
      <c r="AN43">
        <v>0</v>
      </c>
      <c r="AO43">
        <v>-500</v>
      </c>
      <c r="AP43">
        <f t="shared" si="21"/>
        <v>-153.79446153580579</v>
      </c>
      <c r="AQ43">
        <f t="shared" si="22"/>
        <v>-13.723279774051377</v>
      </c>
      <c r="AR43">
        <f t="shared" si="23"/>
        <v>-140.14893904232139</v>
      </c>
      <c r="AS43">
        <f t="shared" si="11"/>
        <v>-617.5671768011905</v>
      </c>
      <c r="AT43">
        <f t="shared" si="12"/>
        <v>-1.6993448874488983</v>
      </c>
      <c r="AU43" t="b">
        <f t="shared" si="24"/>
        <v>0</v>
      </c>
      <c r="AV43">
        <f t="shared" si="13"/>
        <v>25000</v>
      </c>
    </row>
    <row r="44" spans="1:48" x14ac:dyDescent="0.25">
      <c r="A44">
        <f t="shared" si="25"/>
        <v>4.2000000000000011</v>
      </c>
      <c r="B44">
        <f t="shared" si="14"/>
        <v>0.1</v>
      </c>
      <c r="C44">
        <f>sim!C43+(sim!$G43*$B44*COS($E44))</f>
        <v>-337.49764445176362</v>
      </c>
      <c r="D44">
        <f>sim!D43+(sim!$G43*$B44*SIN($E44))</f>
        <v>239.80022047596182</v>
      </c>
      <c r="E44">
        <f t="shared" si="26"/>
        <v>2.4650523444030297</v>
      </c>
      <c r="F44">
        <f t="shared" si="0"/>
        <v>99.962303029995056</v>
      </c>
      <c r="G44">
        <v>100</v>
      </c>
      <c r="H44">
        <f t="shared" si="15"/>
        <v>3.2896812230591072E-3</v>
      </c>
      <c r="I44">
        <f t="shared" si="1"/>
        <v>0.1884848500247216</v>
      </c>
      <c r="J44">
        <f t="shared" si="27"/>
        <v>0</v>
      </c>
      <c r="K44">
        <f t="shared" si="16"/>
        <v>0</v>
      </c>
      <c r="L44">
        <f t="shared" si="2"/>
        <v>0</v>
      </c>
      <c r="M44">
        <f t="shared" si="28"/>
        <v>0.1884848500247216</v>
      </c>
      <c r="N44">
        <f t="shared" si="3"/>
        <v>-334.69719211938673</v>
      </c>
      <c r="O44">
        <f t="shared" si="4"/>
        <v>249.40008853412203</v>
      </c>
      <c r="P44">
        <f t="shared" si="29"/>
        <v>-306.69266879561792</v>
      </c>
      <c r="Q44">
        <f t="shared" si="30"/>
        <v>345.39876911572424</v>
      </c>
      <c r="R44">
        <f t="shared" si="5"/>
        <v>0.95998680581602214</v>
      </c>
      <c r="S44">
        <f t="shared" si="6"/>
        <v>0.28004523323768782</v>
      </c>
      <c r="U44">
        <f t="shared" si="31"/>
        <v>1</v>
      </c>
      <c r="V44" cm="1">
        <f t="array" ref="V44:AA44">INDEX(surface!$A$2:$I$40,U44+1,COLUMN(surface!$B$1:$G$1))</f>
        <v>0</v>
      </c>
      <c r="W44">
        <v>100</v>
      </c>
      <c r="X44">
        <v>-500</v>
      </c>
      <c r="Y44">
        <v>500</v>
      </c>
      <c r="Z44">
        <v>500</v>
      </c>
      <c r="AA44">
        <v>-400</v>
      </c>
      <c r="AB44">
        <f t="shared" si="17"/>
        <v>-669.39438423877345</v>
      </c>
      <c r="AC44">
        <f t="shared" si="18"/>
        <v>398.80017706824407</v>
      </c>
      <c r="AD44">
        <f t="shared" si="7"/>
        <v>-592.01149620308627</v>
      </c>
      <c r="AE44">
        <f t="shared" si="8"/>
        <v>99.962303029995056</v>
      </c>
      <c r="AF44">
        <f t="shared" si="9"/>
        <v>0.61340645130475069</v>
      </c>
      <c r="AG44" t="b">
        <f t="shared" si="19"/>
        <v>1</v>
      </c>
      <c r="AH44">
        <f t="shared" si="10"/>
        <v>99.962303029995056</v>
      </c>
      <c r="AI44">
        <f t="shared" si="20"/>
        <v>2</v>
      </c>
      <c r="AJ44" cm="1">
        <f t="array" ref="AJ44:AO44">INDEX(surface!$A$2:$I$40,AI44+1,COLUMN(surface!$B$1:$G$1))</f>
        <v>-500</v>
      </c>
      <c r="AK44">
        <v>500</v>
      </c>
      <c r="AL44">
        <v>-500</v>
      </c>
      <c r="AM44">
        <v>1000</v>
      </c>
      <c r="AN44">
        <v>0</v>
      </c>
      <c r="AO44">
        <v>-500</v>
      </c>
      <c r="AP44">
        <f t="shared" si="21"/>
        <v>-169.39438423877345</v>
      </c>
      <c r="AQ44">
        <f t="shared" si="22"/>
        <v>-1.1998229317559321</v>
      </c>
      <c r="AR44">
        <f t="shared" si="23"/>
        <v>-140.0226166188439</v>
      </c>
      <c r="AS44">
        <f t="shared" si="11"/>
        <v>-590.27181419764736</v>
      </c>
      <c r="AT44">
        <f t="shared" si="12"/>
        <v>-1.6345061298814119</v>
      </c>
      <c r="AU44" t="b">
        <f t="shared" si="24"/>
        <v>0</v>
      </c>
      <c r="AV44">
        <f t="shared" si="13"/>
        <v>25000</v>
      </c>
    </row>
    <row r="45" spans="1:48" x14ac:dyDescent="0.25">
      <c r="A45">
        <f t="shared" si="25"/>
        <v>4.3000000000000007</v>
      </c>
      <c r="B45">
        <f t="shared" si="14"/>
        <v>0.1</v>
      </c>
      <c r="C45">
        <f>sim!C44+(sim!$G44*$B45*COS($E45))</f>
        <v>-345.29713859929109</v>
      </c>
      <c r="D45">
        <f>sim!D44+(sim!$G44*$B45*SIN($E45))</f>
        <v>246.05864608011217</v>
      </c>
      <c r="E45">
        <f t="shared" si="26"/>
        <v>2.4653813125253357</v>
      </c>
      <c r="F45">
        <f t="shared" si="0"/>
        <v>99.961312794592331</v>
      </c>
      <c r="G45">
        <v>100</v>
      </c>
      <c r="H45">
        <f t="shared" si="15"/>
        <v>3.3760955637958971E-3</v>
      </c>
      <c r="I45">
        <f t="shared" si="1"/>
        <v>0.19343602703834506</v>
      </c>
      <c r="J45">
        <f t="shared" si="27"/>
        <v>0</v>
      </c>
      <c r="K45">
        <f t="shared" si="16"/>
        <v>0</v>
      </c>
      <c r="L45">
        <f t="shared" si="2"/>
        <v>0</v>
      </c>
      <c r="M45">
        <f t="shared" si="28"/>
        <v>0.19343602703834506</v>
      </c>
      <c r="N45">
        <f t="shared" si="3"/>
        <v>-342.49984446895922</v>
      </c>
      <c r="O45">
        <f t="shared" si="4"/>
        <v>255.65943487835219</v>
      </c>
      <c r="P45">
        <f t="shared" si="29"/>
        <v>-314.5269031656407</v>
      </c>
      <c r="Q45">
        <f t="shared" si="30"/>
        <v>351.66732286075234</v>
      </c>
      <c r="R45">
        <f t="shared" si="5"/>
        <v>0.96007887982400164</v>
      </c>
      <c r="S45">
        <f t="shared" si="6"/>
        <v>0.27972941303318505</v>
      </c>
      <c r="U45">
        <f t="shared" si="31"/>
        <v>1</v>
      </c>
      <c r="V45" cm="1">
        <f t="array" ref="V45:AA45">INDEX(surface!$A$2:$I$40,U45+1,COLUMN(surface!$B$1:$G$1))</f>
        <v>0</v>
      </c>
      <c r="W45">
        <v>100</v>
      </c>
      <c r="X45">
        <v>-500</v>
      </c>
      <c r="Y45">
        <v>500</v>
      </c>
      <c r="Z45">
        <v>500</v>
      </c>
      <c r="AA45">
        <v>-400</v>
      </c>
      <c r="AB45">
        <f t="shared" si="17"/>
        <v>-684.99968893791845</v>
      </c>
      <c r="AC45">
        <f t="shared" si="18"/>
        <v>411.31886975670437</v>
      </c>
      <c r="AD45">
        <f t="shared" si="7"/>
        <v>-591.9312051252748</v>
      </c>
      <c r="AE45">
        <f t="shared" si="8"/>
        <v>99.961312794592331</v>
      </c>
      <c r="AF45">
        <f t="shared" si="9"/>
        <v>0.6290754502298026</v>
      </c>
      <c r="AG45" t="b">
        <f t="shared" si="19"/>
        <v>1</v>
      </c>
      <c r="AH45">
        <f t="shared" si="10"/>
        <v>99.961312794592331</v>
      </c>
      <c r="AI45">
        <f t="shared" si="20"/>
        <v>2</v>
      </c>
      <c r="AJ45" cm="1">
        <f t="array" ref="AJ45:AO45">INDEX(surface!$A$2:$I$40,AI45+1,COLUMN(surface!$B$1:$G$1))</f>
        <v>-500</v>
      </c>
      <c r="AK45">
        <v>500</v>
      </c>
      <c r="AL45">
        <v>-500</v>
      </c>
      <c r="AM45">
        <v>1000</v>
      </c>
      <c r="AN45">
        <v>0</v>
      </c>
      <c r="AO45">
        <v>-500</v>
      </c>
      <c r="AP45">
        <f t="shared" si="21"/>
        <v>-184.99968893791845</v>
      </c>
      <c r="AQ45">
        <f t="shared" si="22"/>
        <v>11.318869756704373</v>
      </c>
      <c r="AR45">
        <f t="shared" si="23"/>
        <v>-139.86470651659252</v>
      </c>
      <c r="AS45">
        <f t="shared" si="11"/>
        <v>-563.04467171765066</v>
      </c>
      <c r="AT45">
        <f t="shared" si="12"/>
        <v>-1.5698157256704051</v>
      </c>
      <c r="AU45" t="b">
        <f t="shared" si="24"/>
        <v>0</v>
      </c>
      <c r="AV45">
        <f t="shared" si="13"/>
        <v>25000</v>
      </c>
    </row>
    <row r="46" spans="1:48" x14ac:dyDescent="0.25">
      <c r="A46">
        <f t="shared" si="25"/>
        <v>4.4000000000000004</v>
      </c>
      <c r="B46">
        <f t="shared" si="14"/>
        <v>0.1</v>
      </c>
      <c r="C46">
        <f>sim!C45+(sim!$G45*$B46*COS($E46))</f>
        <v>-353.09874520657627</v>
      </c>
      <c r="D46">
        <f>sim!D45+(sim!$G45*$B46*SIN($E46))</f>
        <v>252.31443814388507</v>
      </c>
      <c r="E46">
        <f t="shared" si="26"/>
        <v>2.4657189220817153</v>
      </c>
      <c r="F46">
        <f t="shared" si="0"/>
        <v>99.964379064286561</v>
      </c>
      <c r="G46">
        <v>100</v>
      </c>
      <c r="H46">
        <f t="shared" si="15"/>
        <v>3.1085130542037242E-3</v>
      </c>
      <c r="I46">
        <f t="shared" si="1"/>
        <v>0.1781046785671947</v>
      </c>
      <c r="J46">
        <f t="shared" si="27"/>
        <v>0</v>
      </c>
      <c r="K46">
        <f t="shared" si="16"/>
        <v>0</v>
      </c>
      <c r="L46">
        <f t="shared" si="2"/>
        <v>0</v>
      </c>
      <c r="M46">
        <f t="shared" si="28"/>
        <v>0.1781046785671947</v>
      </c>
      <c r="N46">
        <f t="shared" si="3"/>
        <v>-350.30469255364801</v>
      </c>
      <c r="O46">
        <f t="shared" si="4"/>
        <v>261.91617078818757</v>
      </c>
      <c r="P46">
        <f t="shared" si="29"/>
        <v>-322.36416602436532</v>
      </c>
      <c r="Q46">
        <f t="shared" si="30"/>
        <v>357.9334972312127</v>
      </c>
      <c r="R46">
        <f t="shared" si="5"/>
        <v>0.96017326443025119</v>
      </c>
      <c r="S46">
        <f t="shared" si="6"/>
        <v>0.27940526529282683</v>
      </c>
      <c r="U46">
        <f t="shared" si="31"/>
        <v>1</v>
      </c>
      <c r="V46" cm="1">
        <f t="array" ref="V46:AA46">INDEX(surface!$A$2:$I$40,U46+1,COLUMN(surface!$B$1:$G$1))</f>
        <v>0</v>
      </c>
      <c r="W46">
        <v>100</v>
      </c>
      <c r="X46">
        <v>-500</v>
      </c>
      <c r="Y46">
        <v>500</v>
      </c>
      <c r="Z46">
        <v>500</v>
      </c>
      <c r="AA46">
        <v>-400</v>
      </c>
      <c r="AB46">
        <f t="shared" si="17"/>
        <v>-700.60938510729602</v>
      </c>
      <c r="AC46">
        <f t="shared" si="18"/>
        <v>423.83234157637514</v>
      </c>
      <c r="AD46">
        <f t="shared" si="7"/>
        <v>-591.84873833225629</v>
      </c>
      <c r="AE46">
        <f t="shared" si="8"/>
        <v>99.964379064286561</v>
      </c>
      <c r="AF46">
        <f t="shared" si="9"/>
        <v>0.64474823740271658</v>
      </c>
      <c r="AG46" t="b">
        <f t="shared" si="19"/>
        <v>1</v>
      </c>
      <c r="AH46">
        <f t="shared" si="10"/>
        <v>99.964379064286561</v>
      </c>
      <c r="AI46">
        <f t="shared" si="20"/>
        <v>2</v>
      </c>
      <c r="AJ46" cm="1">
        <f t="array" ref="AJ46:AO46">INDEX(surface!$A$2:$I$40,AI46+1,COLUMN(surface!$B$1:$G$1))</f>
        <v>-500</v>
      </c>
      <c r="AK46">
        <v>500</v>
      </c>
      <c r="AL46">
        <v>-500</v>
      </c>
      <c r="AM46">
        <v>1000</v>
      </c>
      <c r="AN46">
        <v>0</v>
      </c>
      <c r="AO46">
        <v>-500</v>
      </c>
      <c r="AP46">
        <f t="shared" si="21"/>
        <v>-200.60938510729602</v>
      </c>
      <c r="AQ46">
        <f t="shared" si="22"/>
        <v>23.832341576375143</v>
      </c>
      <c r="AR46">
        <f t="shared" si="23"/>
        <v>-139.70263264641341</v>
      </c>
      <c r="AS46">
        <f t="shared" si="11"/>
        <v>-535.76408908925146</v>
      </c>
      <c r="AT46">
        <f t="shared" si="12"/>
        <v>-1.5050203671942779</v>
      </c>
      <c r="AU46" t="b">
        <f t="shared" si="24"/>
        <v>0</v>
      </c>
      <c r="AV46">
        <f t="shared" si="13"/>
        <v>25000</v>
      </c>
    </row>
    <row r="47" spans="1:48" x14ac:dyDescent="0.25">
      <c r="A47">
        <f t="shared" si="25"/>
        <v>4.5</v>
      </c>
      <c r="B47">
        <f t="shared" si="14"/>
        <v>0.1</v>
      </c>
      <c r="C47">
        <f>sim!C46+(sim!$G46*$B47*COS($E47))</f>
        <v>-360.90229605803069</v>
      </c>
      <c r="D47">
        <f>sim!D46+(sim!$G46*$B47*SIN($E47))</f>
        <v>258.56780476585476</v>
      </c>
      <c r="E47">
        <f t="shared" si="26"/>
        <v>2.4660297733871355</v>
      </c>
      <c r="F47">
        <f t="shared" si="0"/>
        <v>99.969606163669027</v>
      </c>
      <c r="G47">
        <v>100</v>
      </c>
      <c r="H47">
        <f t="shared" si="15"/>
        <v>2.6523625814387232E-3</v>
      </c>
      <c r="I47">
        <f t="shared" si="1"/>
        <v>0.15196918165486295</v>
      </c>
      <c r="J47">
        <f t="shared" si="27"/>
        <v>0</v>
      </c>
      <c r="K47">
        <f t="shared" si="16"/>
        <v>0</v>
      </c>
      <c r="L47">
        <f t="shared" si="2"/>
        <v>0</v>
      </c>
      <c r="M47">
        <f t="shared" si="28"/>
        <v>0.15196918165486295</v>
      </c>
      <c r="N47">
        <f t="shared" si="3"/>
        <v>-358.11122825117371</v>
      </c>
      <c r="O47">
        <f t="shared" si="4"/>
        <v>268.17040548115716</v>
      </c>
      <c r="P47">
        <f t="shared" si="29"/>
        <v>-330.20055018260416</v>
      </c>
      <c r="Q47">
        <f t="shared" si="30"/>
        <v>364.19641263418146</v>
      </c>
      <c r="R47">
        <f t="shared" si="5"/>
        <v>0.96026007153024284</v>
      </c>
      <c r="S47">
        <f t="shared" si="6"/>
        <v>0.27910678068569544</v>
      </c>
      <c r="U47">
        <f t="shared" si="31"/>
        <v>1</v>
      </c>
      <c r="V47" cm="1">
        <f t="array" ref="V47:AA47">INDEX(surface!$A$2:$I$40,U47+1,COLUMN(surface!$B$1:$G$1))</f>
        <v>0</v>
      </c>
      <c r="W47">
        <v>100</v>
      </c>
      <c r="X47">
        <v>-500</v>
      </c>
      <c r="Y47">
        <v>500</v>
      </c>
      <c r="Z47">
        <v>500</v>
      </c>
      <c r="AA47">
        <v>-400</v>
      </c>
      <c r="AB47">
        <f t="shared" si="17"/>
        <v>-716.22245650234743</v>
      </c>
      <c r="AC47">
        <f t="shared" si="18"/>
        <v>436.34081096231432</v>
      </c>
      <c r="AD47">
        <f t="shared" si="7"/>
        <v>-591.77274803939963</v>
      </c>
      <c r="AE47">
        <f t="shared" si="8"/>
        <v>99.969606163669027</v>
      </c>
      <c r="AF47">
        <f t="shared" si="9"/>
        <v>0.66041806661683045</v>
      </c>
      <c r="AG47" t="b">
        <f t="shared" si="19"/>
        <v>1</v>
      </c>
      <c r="AH47">
        <f t="shared" si="10"/>
        <v>99.969606163669027</v>
      </c>
      <c r="AI47">
        <f t="shared" si="20"/>
        <v>2</v>
      </c>
      <c r="AJ47" cm="1">
        <f t="array" ref="AJ47:AO47">INDEX(surface!$A$2:$I$40,AI47+1,COLUMN(surface!$B$1:$G$1))</f>
        <v>-500</v>
      </c>
      <c r="AK47">
        <v>500</v>
      </c>
      <c r="AL47">
        <v>-500</v>
      </c>
      <c r="AM47">
        <v>1000</v>
      </c>
      <c r="AN47">
        <v>0</v>
      </c>
      <c r="AO47">
        <v>-500</v>
      </c>
      <c r="AP47">
        <f t="shared" si="21"/>
        <v>-216.22245650234743</v>
      </c>
      <c r="AQ47">
        <f t="shared" si="22"/>
        <v>36.340810962314322</v>
      </c>
      <c r="AR47">
        <f t="shared" si="23"/>
        <v>-139.55339034284773</v>
      </c>
      <c r="AS47">
        <f t="shared" si="11"/>
        <v>-508.36734027113602</v>
      </c>
      <c r="AT47">
        <f t="shared" si="12"/>
        <v>-1.4399889061024864</v>
      </c>
      <c r="AU47" t="b">
        <f t="shared" si="24"/>
        <v>0</v>
      </c>
      <c r="AV47">
        <f t="shared" si="13"/>
        <v>25000</v>
      </c>
    </row>
    <row r="48" spans="1:48" x14ac:dyDescent="0.25">
      <c r="A48">
        <f t="shared" si="25"/>
        <v>4.5999999999999996</v>
      </c>
      <c r="B48">
        <f t="shared" si="14"/>
        <v>0.1</v>
      </c>
      <c r="C48">
        <f>sim!C47+(sim!$G47*$B48*COS($E48))</f>
        <v>-368.70750525453832</v>
      </c>
      <c r="D48">
        <f>sim!D47+(sim!$G47*$B48*SIN($E48))</f>
        <v>264.81910138325765</v>
      </c>
      <c r="E48">
        <f t="shared" si="26"/>
        <v>2.4662950096452794</v>
      </c>
      <c r="F48">
        <f t="shared" si="0"/>
        <v>99.975640719331921</v>
      </c>
      <c r="G48">
        <v>100</v>
      </c>
      <c r="H48">
        <f t="shared" si="15"/>
        <v>2.1257482553769533E-3</v>
      </c>
      <c r="I48">
        <f t="shared" si="1"/>
        <v>0.12179640334039732</v>
      </c>
      <c r="J48">
        <f t="shared" si="27"/>
        <v>0</v>
      </c>
      <c r="K48">
        <f t="shared" si="16"/>
        <v>0</v>
      </c>
      <c r="L48">
        <f t="shared" si="2"/>
        <v>0</v>
      </c>
      <c r="M48">
        <f t="shared" si="28"/>
        <v>0.12179640334039732</v>
      </c>
      <c r="N48">
        <f t="shared" si="3"/>
        <v>-365.91898450370985</v>
      </c>
      <c r="O48">
        <f t="shared" si="4"/>
        <v>274.4224420531599</v>
      </c>
      <c r="P48">
        <f t="shared" si="29"/>
        <v>-338.03377699542534</v>
      </c>
      <c r="Q48">
        <f t="shared" si="30"/>
        <v>370.45584875218265</v>
      </c>
      <c r="R48">
        <f t="shared" si="5"/>
        <v>0.96033406699022783</v>
      </c>
      <c r="S48">
        <f t="shared" si="6"/>
        <v>0.2788520750828451</v>
      </c>
      <c r="U48">
        <f t="shared" si="31"/>
        <v>1</v>
      </c>
      <c r="V48" cm="1">
        <f t="array" ref="V48:AA48">INDEX(surface!$A$2:$I$40,U48+1,COLUMN(surface!$B$1:$G$1))</f>
        <v>0</v>
      </c>
      <c r="W48">
        <v>100</v>
      </c>
      <c r="X48">
        <v>-500</v>
      </c>
      <c r="Y48">
        <v>500</v>
      </c>
      <c r="Z48">
        <v>500</v>
      </c>
      <c r="AA48">
        <v>-400</v>
      </c>
      <c r="AB48">
        <f t="shared" si="17"/>
        <v>-731.8379690074197</v>
      </c>
      <c r="AC48">
        <f t="shared" si="18"/>
        <v>448.8448841063198</v>
      </c>
      <c r="AD48">
        <f t="shared" si="7"/>
        <v>-591.70786352825189</v>
      </c>
      <c r="AE48">
        <f t="shared" si="8"/>
        <v>99.975640719331921</v>
      </c>
      <c r="AF48">
        <f t="shared" si="9"/>
        <v>0.67608113926277436</v>
      </c>
      <c r="AG48" t="b">
        <f t="shared" si="19"/>
        <v>1</v>
      </c>
      <c r="AH48">
        <f t="shared" si="10"/>
        <v>99.975640719331921</v>
      </c>
      <c r="AI48">
        <f t="shared" si="20"/>
        <v>2</v>
      </c>
      <c r="AJ48" cm="1">
        <f t="array" ref="AJ48:AO48">INDEX(surface!$A$2:$I$40,AI48+1,COLUMN(surface!$B$1:$G$1))</f>
        <v>-500</v>
      </c>
      <c r="AK48">
        <v>500</v>
      </c>
      <c r="AL48">
        <v>-500</v>
      </c>
      <c r="AM48">
        <v>1000</v>
      </c>
      <c r="AN48">
        <v>0</v>
      </c>
      <c r="AO48">
        <v>-500</v>
      </c>
      <c r="AP48">
        <f t="shared" si="21"/>
        <v>-231.8379690074197</v>
      </c>
      <c r="AQ48">
        <f t="shared" si="22"/>
        <v>48.844884106319796</v>
      </c>
      <c r="AR48">
        <f t="shared" si="23"/>
        <v>-139.42603754142255</v>
      </c>
      <c r="AS48">
        <f t="shared" si="11"/>
        <v>-480.83205210667904</v>
      </c>
      <c r="AT48">
        <f t="shared" si="12"/>
        <v>-1.3746739161714088</v>
      </c>
      <c r="AU48" t="b">
        <f t="shared" si="24"/>
        <v>0</v>
      </c>
      <c r="AV48">
        <f t="shared" si="13"/>
        <v>25000</v>
      </c>
    </row>
    <row r="49" spans="1:48" x14ac:dyDescent="0.25">
      <c r="A49">
        <f t="shared" si="25"/>
        <v>4.6999999999999993</v>
      </c>
      <c r="B49">
        <f t="shared" si="14"/>
        <v>0.1</v>
      </c>
      <c r="C49">
        <f>sim!C48+(sim!$G48*$B49*COS($E49))</f>
        <v>-376.51404314297264</v>
      </c>
      <c r="D49">
        <f>sim!D48+(sim!$G48*$B49*SIN($E49))</f>
        <v>271.06873866844779</v>
      </c>
      <c r="E49">
        <f t="shared" si="26"/>
        <v>2.4665075844708171</v>
      </c>
      <c r="F49">
        <f t="shared" si="0"/>
        <v>99.981588044994126</v>
      </c>
      <c r="G49">
        <v>100</v>
      </c>
      <c r="H49">
        <f t="shared" si="15"/>
        <v>1.6067461829077567E-3</v>
      </c>
      <c r="I49">
        <f t="shared" si="1"/>
        <v>9.2059775029369462E-2</v>
      </c>
      <c r="J49">
        <f t="shared" si="27"/>
        <v>0</v>
      </c>
      <c r="K49">
        <f t="shared" si="16"/>
        <v>0</v>
      </c>
      <c r="L49">
        <f t="shared" si="2"/>
        <v>0</v>
      </c>
      <c r="M49">
        <f t="shared" si="28"/>
        <v>9.2059775029369462E-2</v>
      </c>
      <c r="N49">
        <f t="shared" si="3"/>
        <v>-373.72756388360023</v>
      </c>
      <c r="O49">
        <f t="shared" si="4"/>
        <v>280.67267189067957</v>
      </c>
      <c r="P49">
        <f t="shared" si="29"/>
        <v>-345.86277128987598</v>
      </c>
      <c r="Q49">
        <f t="shared" si="30"/>
        <v>376.71200411299736</v>
      </c>
      <c r="R49">
        <f t="shared" si="5"/>
        <v>0.96039332222317797</v>
      </c>
      <c r="S49">
        <f t="shared" si="6"/>
        <v>0.27864792593724258</v>
      </c>
      <c r="U49">
        <f t="shared" si="31"/>
        <v>1</v>
      </c>
      <c r="V49" cm="1">
        <f t="array" ref="V49:AA49">INDEX(surface!$A$2:$I$40,U49+1,COLUMN(surface!$B$1:$G$1))</f>
        <v>0</v>
      </c>
      <c r="W49">
        <v>100</v>
      </c>
      <c r="X49">
        <v>-500</v>
      </c>
      <c r="Y49">
        <v>500</v>
      </c>
      <c r="Z49">
        <v>500</v>
      </c>
      <c r="AA49">
        <v>-400</v>
      </c>
      <c r="AB49">
        <f t="shared" si="17"/>
        <v>-747.45512776720045</v>
      </c>
      <c r="AC49">
        <f t="shared" si="18"/>
        <v>461.34534378135913</v>
      </c>
      <c r="AD49">
        <f t="shared" si="7"/>
        <v>-591.65583148648602</v>
      </c>
      <c r="AE49">
        <f t="shared" si="8"/>
        <v>99.981588044994126</v>
      </c>
      <c r="AF49">
        <f t="shared" si="9"/>
        <v>0.69173580348590169</v>
      </c>
      <c r="AG49" t="b">
        <f t="shared" si="19"/>
        <v>1</v>
      </c>
      <c r="AH49">
        <f t="shared" si="10"/>
        <v>99.981588044994126</v>
      </c>
      <c r="AI49">
        <f t="shared" si="20"/>
        <v>2</v>
      </c>
      <c r="AJ49" cm="1">
        <f t="array" ref="AJ49:AO49">INDEX(surface!$A$2:$I$40,AI49+1,COLUMN(surface!$B$1:$G$1))</f>
        <v>-500</v>
      </c>
      <c r="AK49">
        <v>500</v>
      </c>
      <c r="AL49">
        <v>-500</v>
      </c>
      <c r="AM49">
        <v>1000</v>
      </c>
      <c r="AN49">
        <v>0</v>
      </c>
      <c r="AO49">
        <v>-500</v>
      </c>
      <c r="AP49">
        <f t="shared" si="21"/>
        <v>-247.45512776720045</v>
      </c>
      <c r="AQ49">
        <f t="shared" si="22"/>
        <v>61.345343781359134</v>
      </c>
      <c r="AR49">
        <f t="shared" si="23"/>
        <v>-139.32396296862129</v>
      </c>
      <c r="AS49">
        <f t="shared" si="11"/>
        <v>-453.16122735052761</v>
      </c>
      <c r="AT49">
        <f t="shared" si="12"/>
        <v>-1.3090806894944531</v>
      </c>
      <c r="AU49" t="b">
        <f t="shared" si="24"/>
        <v>0</v>
      </c>
      <c r="AV49">
        <f t="shared" si="13"/>
        <v>25000</v>
      </c>
    </row>
    <row r="50" spans="1:48" x14ac:dyDescent="0.25">
      <c r="A50">
        <f t="shared" ref="A50:A113" si="32">A49+B50</f>
        <v>4.7999999999999989</v>
      </c>
      <c r="B50">
        <f t="shared" si="14"/>
        <v>0.1</v>
      </c>
      <c r="C50">
        <f>sim!C49+(sim!$G49*$B50*COS($E50))</f>
        <v>-384.32158508871981</v>
      </c>
      <c r="D50">
        <f>sim!D49+(sim!$G49*$B50*SIN($E50))</f>
        <v>277.31712156047661</v>
      </c>
      <c r="E50">
        <f t="shared" ref="E50:E113" si="33">E49+H49*B50</f>
        <v>2.4666682590891078</v>
      </c>
      <c r="F50">
        <f t="shared" si="0"/>
        <v>99.986916976545487</v>
      </c>
      <c r="G50">
        <v>100</v>
      </c>
      <c r="H50">
        <f t="shared" ref="H50:H113" si="34">RADIANS(M50)</f>
        <v>1.1417091769844682E-3</v>
      </c>
      <c r="I50">
        <f t="shared" si="1"/>
        <v>6.5415117272564771E-2</v>
      </c>
      <c r="J50">
        <f t="shared" si="27"/>
        <v>0</v>
      </c>
      <c r="K50">
        <f t="shared" si="16"/>
        <v>0</v>
      </c>
      <c r="L50">
        <f t="shared" si="2"/>
        <v>0</v>
      </c>
      <c r="M50">
        <f t="shared" ref="M50:M113" si="35">I50+J50+L50</f>
        <v>6.5415117272564771E-2</v>
      </c>
      <c r="N50">
        <f t="shared" si="3"/>
        <v>-381.53664897361364</v>
      </c>
      <c r="O50">
        <f t="shared" si="4"/>
        <v>286.92150237522867</v>
      </c>
      <c r="P50">
        <f t="shared" ref="P50:P113" si="36">N50+S50*100</f>
        <v>-353.68728782255209</v>
      </c>
      <c r="Q50">
        <f t="shared" ref="Q50:Q113" si="37">O50+R50*100</f>
        <v>382.96531052274929</v>
      </c>
      <c r="R50">
        <f t="shared" si="5"/>
        <v>0.96043808147520593</v>
      </c>
      <c r="S50">
        <f t="shared" si="6"/>
        <v>0.27849361151061552</v>
      </c>
      <c r="U50">
        <f t="shared" si="31"/>
        <v>1</v>
      </c>
      <c r="V50" cm="1">
        <f t="array" ref="V50:AA50">INDEX(surface!$A$2:$I$40,U50+1,COLUMN(surface!$B$1:$G$1))</f>
        <v>0</v>
      </c>
      <c r="W50">
        <v>100</v>
      </c>
      <c r="X50">
        <v>-500</v>
      </c>
      <c r="Y50">
        <v>500</v>
      </c>
      <c r="Z50">
        <v>500</v>
      </c>
      <c r="AA50">
        <v>-400</v>
      </c>
      <c r="AB50">
        <f t="shared" ref="AB50:AB113" si="38">2*$N50-V50</f>
        <v>-763.07329794722727</v>
      </c>
      <c r="AC50">
        <f t="shared" ref="AC50:AC113" si="39">2*$O50-W50</f>
        <v>473.84300475045734</v>
      </c>
      <c r="AD50">
        <f t="shared" si="7"/>
        <v>-591.61648534184917</v>
      </c>
      <c r="AE50">
        <f t="shared" si="8"/>
        <v>99.986916976545487</v>
      </c>
      <c r="AF50">
        <f t="shared" si="9"/>
        <v>0.70738186272200676</v>
      </c>
      <c r="AG50" t="b">
        <f t="shared" si="19"/>
        <v>1</v>
      </c>
      <c r="AH50">
        <f t="shared" si="10"/>
        <v>99.986916976545487</v>
      </c>
      <c r="AI50">
        <f t="shared" si="20"/>
        <v>2</v>
      </c>
      <c r="AJ50" cm="1">
        <f t="array" ref="AJ50:AO50">INDEX(surface!$A$2:$I$40,AI50+1,COLUMN(surface!$B$1:$G$1))</f>
        <v>-500</v>
      </c>
      <c r="AK50">
        <v>500</v>
      </c>
      <c r="AL50">
        <v>-500</v>
      </c>
      <c r="AM50">
        <v>1000</v>
      </c>
      <c r="AN50">
        <v>0</v>
      </c>
      <c r="AO50">
        <v>-500</v>
      </c>
      <c r="AP50">
        <f t="shared" si="21"/>
        <v>-263.07329794722727</v>
      </c>
      <c r="AQ50">
        <f t="shared" si="22"/>
        <v>73.843004750457339</v>
      </c>
      <c r="AR50">
        <f t="shared" si="23"/>
        <v>-139.24680575530778</v>
      </c>
      <c r="AS50">
        <f t="shared" si="11"/>
        <v>-425.3718797491008</v>
      </c>
      <c r="AT50">
        <f t="shared" si="12"/>
        <v>-1.2432436994489995</v>
      </c>
      <c r="AU50" t="b">
        <f t="shared" si="24"/>
        <v>0</v>
      </c>
      <c r="AV50">
        <f t="shared" si="13"/>
        <v>25000</v>
      </c>
    </row>
    <row r="51" spans="1:48" x14ac:dyDescent="0.25">
      <c r="A51">
        <f t="shared" si="32"/>
        <v>4.8999999999999986</v>
      </c>
      <c r="B51">
        <f t="shared" si="14"/>
        <v>0.1</v>
      </c>
      <c r="C51">
        <f>sim!C50+(sim!$G50*$B51*COS($E51))</f>
        <v>-392.12984036718871</v>
      </c>
      <c r="D51">
        <f>sim!D50+(sim!$G50*$B51*SIN($E51))</f>
        <v>283.56461301755462</v>
      </c>
      <c r="E51">
        <f t="shared" si="33"/>
        <v>2.4667824300068064</v>
      </c>
      <c r="F51">
        <f t="shared" si="0"/>
        <v>99.991366772925829</v>
      </c>
      <c r="G51">
        <v>100</v>
      </c>
      <c r="H51">
        <f t="shared" si="34"/>
        <v>7.5339118758297624E-4</v>
      </c>
      <c r="I51">
        <f t="shared" si="1"/>
        <v>4.3166135370853453E-2</v>
      </c>
      <c r="J51">
        <f t="shared" si="27"/>
        <v>0</v>
      </c>
      <c r="K51">
        <f t="shared" si="16"/>
        <v>0</v>
      </c>
      <c r="L51">
        <f t="shared" si="2"/>
        <v>0</v>
      </c>
      <c r="M51">
        <f t="shared" si="35"/>
        <v>4.3166135370853453E-2</v>
      </c>
      <c r="N51">
        <f t="shared" si="3"/>
        <v>-389.34600081120254</v>
      </c>
      <c r="O51">
        <f t="shared" si="4"/>
        <v>293.16931172842146</v>
      </c>
      <c r="P51">
        <f t="shared" si="36"/>
        <v>-361.50760525134081</v>
      </c>
      <c r="Q51">
        <f t="shared" si="37"/>
        <v>389.21629883708965</v>
      </c>
      <c r="R51">
        <f t="shared" si="5"/>
        <v>0.9604698710866818</v>
      </c>
      <c r="S51">
        <f t="shared" si="6"/>
        <v>0.27838395559861712</v>
      </c>
      <c r="U51">
        <f t="shared" si="31"/>
        <v>1</v>
      </c>
      <c r="V51" cm="1">
        <f t="array" ref="V51:AA51">INDEX(surface!$A$2:$I$40,U51+1,COLUMN(surface!$B$1:$G$1))</f>
        <v>0</v>
      </c>
      <c r="W51">
        <v>100</v>
      </c>
      <c r="X51">
        <v>-500</v>
      </c>
      <c r="Y51">
        <v>500</v>
      </c>
      <c r="Z51">
        <v>500</v>
      </c>
      <c r="AA51">
        <v>-400</v>
      </c>
      <c r="AB51">
        <f t="shared" si="38"/>
        <v>-778.69200162240509</v>
      </c>
      <c r="AC51">
        <f t="shared" si="39"/>
        <v>486.33862345684292</v>
      </c>
      <c r="AD51">
        <f t="shared" si="7"/>
        <v>-591.58851778278779</v>
      </c>
      <c r="AE51">
        <f t="shared" si="8"/>
        <v>99.991366772925829</v>
      </c>
      <c r="AF51">
        <f t="shared" si="9"/>
        <v>0.72302001720648656</v>
      </c>
      <c r="AG51" t="b">
        <f t="shared" si="19"/>
        <v>1</v>
      </c>
      <c r="AH51">
        <f t="shared" si="10"/>
        <v>99.991366772925829</v>
      </c>
      <c r="AI51">
        <f t="shared" si="20"/>
        <v>2</v>
      </c>
      <c r="AJ51" cm="1">
        <f t="array" ref="AJ51:AO51">INDEX(surface!$A$2:$I$40,AI51+1,COLUMN(surface!$B$1:$G$1))</f>
        <v>-500</v>
      </c>
      <c r="AK51">
        <v>500</v>
      </c>
      <c r="AL51">
        <v>-500</v>
      </c>
      <c r="AM51">
        <v>1000</v>
      </c>
      <c r="AN51">
        <v>0</v>
      </c>
      <c r="AO51">
        <v>-500</v>
      </c>
      <c r="AP51">
        <f t="shared" si="21"/>
        <v>-278.69200162240509</v>
      </c>
      <c r="AQ51">
        <f t="shared" si="22"/>
        <v>86.338623456842924</v>
      </c>
      <c r="AR51">
        <f t="shared" si="23"/>
        <v>-139.19197779930855</v>
      </c>
      <c r="AS51">
        <f t="shared" si="11"/>
        <v>-397.48698501986206</v>
      </c>
      <c r="AT51">
        <f t="shared" si="12"/>
        <v>-1.1772099230644786</v>
      </c>
      <c r="AU51" t="b">
        <f t="shared" si="24"/>
        <v>0</v>
      </c>
      <c r="AV51">
        <f t="shared" si="13"/>
        <v>25000</v>
      </c>
    </row>
    <row r="52" spans="1:48" x14ac:dyDescent="0.25">
      <c r="A52">
        <f t="shared" si="32"/>
        <v>4.9999999999999982</v>
      </c>
      <c r="B52">
        <f t="shared" si="14"/>
        <v>0.1</v>
      </c>
      <c r="C52">
        <f>sim!C51+(sim!$G51*$B52*COS($E52))</f>
        <v>-399.93856630399824</v>
      </c>
      <c r="D52">
        <f>sim!D51+(sim!$G51*$B52*SIN($E52))</f>
        <v>289.81151618983114</v>
      </c>
      <c r="E52">
        <f t="shared" si="33"/>
        <v>2.4668577691255646</v>
      </c>
      <c r="F52">
        <f t="shared" si="0"/>
        <v>99.994864532370073</v>
      </c>
      <c r="G52">
        <v>100</v>
      </c>
      <c r="H52">
        <f t="shared" si="34"/>
        <v>4.4815409385906985E-4</v>
      </c>
      <c r="I52">
        <f t="shared" si="1"/>
        <v>2.5677338149634465E-2</v>
      </c>
      <c r="J52">
        <f t="shared" si="27"/>
        <v>0</v>
      </c>
      <c r="K52">
        <f t="shared" si="16"/>
        <v>0</v>
      </c>
      <c r="L52">
        <f t="shared" si="2"/>
        <v>0</v>
      </c>
      <c r="M52">
        <f t="shared" si="35"/>
        <v>2.5677338149634465E-2</v>
      </c>
      <c r="N52">
        <f t="shared" si="3"/>
        <v>-397.1554503654487</v>
      </c>
      <c r="O52">
        <f t="shared" si="4"/>
        <v>299.41642460545864</v>
      </c>
      <c r="P52">
        <f t="shared" si="36"/>
        <v>-369.32429097995345</v>
      </c>
      <c r="Q52">
        <f t="shared" si="37"/>
        <v>395.46550876173342</v>
      </c>
      <c r="R52">
        <f t="shared" si="5"/>
        <v>0.960490841562748</v>
      </c>
      <c r="S52">
        <f t="shared" si="6"/>
        <v>0.2783115938549528</v>
      </c>
      <c r="U52">
        <f t="shared" si="31"/>
        <v>1</v>
      </c>
      <c r="V52" cm="1">
        <f t="array" ref="V52:AA52">INDEX(surface!$A$2:$I$40,U52+1,COLUMN(surface!$B$1:$G$1))</f>
        <v>0</v>
      </c>
      <c r="W52">
        <v>100</v>
      </c>
      <c r="X52">
        <v>-500</v>
      </c>
      <c r="Y52">
        <v>500</v>
      </c>
      <c r="Z52">
        <v>500</v>
      </c>
      <c r="AA52">
        <v>-400</v>
      </c>
      <c r="AB52">
        <f t="shared" si="38"/>
        <v>-794.3109007308974</v>
      </c>
      <c r="AC52">
        <f t="shared" si="39"/>
        <v>498.83284921091729</v>
      </c>
      <c r="AD52">
        <f t="shared" si="7"/>
        <v>-591.57005832335506</v>
      </c>
      <c r="AE52">
        <f t="shared" si="8"/>
        <v>99.994864532370073</v>
      </c>
      <c r="AF52">
        <f t="shared" si="9"/>
        <v>0.73865144048026943</v>
      </c>
      <c r="AG52" t="b">
        <f t="shared" si="19"/>
        <v>1</v>
      </c>
      <c r="AH52">
        <f t="shared" si="10"/>
        <v>99.994864532370073</v>
      </c>
      <c r="AI52">
        <f t="shared" si="20"/>
        <v>2</v>
      </c>
      <c r="AJ52" cm="1">
        <f t="array" ref="AJ52:AO52">INDEX(surface!$A$2:$I$40,AI52+1,COLUMN(surface!$B$1:$G$1))</f>
        <v>-500</v>
      </c>
      <c r="AK52">
        <v>500</v>
      </c>
      <c r="AL52">
        <v>-500</v>
      </c>
      <c r="AM52">
        <v>1000</v>
      </c>
      <c r="AN52">
        <v>0</v>
      </c>
      <c r="AO52">
        <v>-500</v>
      </c>
      <c r="AP52">
        <f t="shared" si="21"/>
        <v>-294.3109007308974</v>
      </c>
      <c r="AQ52">
        <f t="shared" si="22"/>
        <v>98.832849210917288</v>
      </c>
      <c r="AR52">
        <f t="shared" si="23"/>
        <v>-139.15579692747639</v>
      </c>
      <c r="AS52">
        <f t="shared" si="11"/>
        <v>-369.53023842819363</v>
      </c>
      <c r="AT52">
        <f t="shared" si="12"/>
        <v>-1.11102797017064</v>
      </c>
      <c r="AU52" t="b">
        <f t="shared" si="24"/>
        <v>0</v>
      </c>
      <c r="AV52">
        <f t="shared" si="13"/>
        <v>25000</v>
      </c>
    </row>
    <row r="53" spans="1:48" x14ac:dyDescent="0.25">
      <c r="A53">
        <f t="shared" si="32"/>
        <v>5.0999999999999979</v>
      </c>
      <c r="B53">
        <f t="shared" si="14"/>
        <v>0.1</v>
      </c>
      <c r="C53">
        <f>sim!C52+(sim!$G52*$B53*COS($E53))</f>
        <v>-407.74757219048911</v>
      </c>
      <c r="D53">
        <f>sim!D52+(sim!$G52*$B53*SIN($E53))</f>
        <v>296.0580694045849</v>
      </c>
      <c r="E53">
        <f t="shared" si="33"/>
        <v>2.4669025845349504</v>
      </c>
      <c r="F53">
        <f t="shared" si="0"/>
        <v>99.997457225746359</v>
      </c>
      <c r="G53">
        <v>100</v>
      </c>
      <c r="H53">
        <f t="shared" si="34"/>
        <v>2.2189891430486689E-4</v>
      </c>
      <c r="I53">
        <f t="shared" si="1"/>
        <v>1.2713871268204002E-2</v>
      </c>
      <c r="J53">
        <f t="shared" si="27"/>
        <v>0</v>
      </c>
      <c r="K53">
        <f t="shared" si="16"/>
        <v>0</v>
      </c>
      <c r="L53">
        <f t="shared" si="2"/>
        <v>0</v>
      </c>
      <c r="M53">
        <f t="shared" si="35"/>
        <v>1.2713871268204002E-2</v>
      </c>
      <c r="N53">
        <f t="shared" si="3"/>
        <v>-404.96488670263705</v>
      </c>
      <c r="O53">
        <f t="shared" si="4"/>
        <v>305.66310253704717</v>
      </c>
      <c r="P53">
        <f t="shared" si="36"/>
        <v>-377.13803182411624</v>
      </c>
      <c r="Q53">
        <f t="shared" si="37"/>
        <v>401.71343386166961</v>
      </c>
      <c r="R53">
        <f t="shared" si="5"/>
        <v>0.96050331324622418</v>
      </c>
      <c r="S53">
        <f t="shared" si="6"/>
        <v>0.27826854878520796</v>
      </c>
      <c r="U53">
        <f t="shared" si="31"/>
        <v>1</v>
      </c>
      <c r="V53" cm="1">
        <f t="array" ref="V53:AA53">INDEX(surface!$A$2:$I$40,U53+1,COLUMN(surface!$B$1:$G$1))</f>
        <v>0</v>
      </c>
      <c r="W53">
        <v>100</v>
      </c>
      <c r="X53">
        <v>-500</v>
      </c>
      <c r="Y53">
        <v>500</v>
      </c>
      <c r="Z53">
        <v>500</v>
      </c>
      <c r="AA53">
        <v>-400</v>
      </c>
      <c r="AB53">
        <f t="shared" si="38"/>
        <v>-809.92977340527409</v>
      </c>
      <c r="AC53">
        <f t="shared" si="39"/>
        <v>511.32620507409433</v>
      </c>
      <c r="AD53">
        <f t="shared" si="7"/>
        <v>-591.55907613719523</v>
      </c>
      <c r="AE53">
        <f t="shared" si="8"/>
        <v>99.997457225746359</v>
      </c>
      <c r="AF53">
        <f t="shared" si="9"/>
        <v>0.75427747879643536</v>
      </c>
      <c r="AG53" t="b">
        <f t="shared" si="19"/>
        <v>1</v>
      </c>
      <c r="AH53">
        <f t="shared" si="10"/>
        <v>99.997457225746359</v>
      </c>
      <c r="AI53">
        <f t="shared" si="20"/>
        <v>2</v>
      </c>
      <c r="AJ53" cm="1">
        <f t="array" ref="AJ53:AO53">INDEX(surface!$A$2:$I$40,AI53+1,COLUMN(surface!$B$1:$G$1))</f>
        <v>-500</v>
      </c>
      <c r="AK53">
        <v>500</v>
      </c>
      <c r="AL53">
        <v>-500</v>
      </c>
      <c r="AM53">
        <v>1000</v>
      </c>
      <c r="AN53">
        <v>0</v>
      </c>
      <c r="AO53">
        <v>-500</v>
      </c>
      <c r="AP53">
        <f t="shared" si="21"/>
        <v>-309.92977340527409</v>
      </c>
      <c r="AQ53">
        <f t="shared" si="22"/>
        <v>111.32620507409433</v>
      </c>
      <c r="AR53">
        <f t="shared" si="23"/>
        <v>-139.13427439260397</v>
      </c>
      <c r="AS53">
        <f t="shared" si="11"/>
        <v>-341.52301333457336</v>
      </c>
      <c r="AT53">
        <f t="shared" si="12"/>
        <v>-1.0447417666412899</v>
      </c>
      <c r="AU53" t="b">
        <f t="shared" si="24"/>
        <v>0</v>
      </c>
      <c r="AV53">
        <f t="shared" si="13"/>
        <v>25000</v>
      </c>
    </row>
    <row r="54" spans="1:48" x14ac:dyDescent="0.25">
      <c r="A54">
        <f t="shared" si="32"/>
        <v>5.1999999999999975</v>
      </c>
      <c r="B54">
        <f t="shared" si="14"/>
        <v>0.1</v>
      </c>
      <c r="C54">
        <f>sim!C53+(sim!$G53*$B54*COS($E54))</f>
        <v>-415.55671668539509</v>
      </c>
      <c r="D54">
        <f>sim!D53+(sim!$G53*$B54*SIN($E54))</f>
        <v>302.30444933680803</v>
      </c>
      <c r="E54">
        <f t="shared" si="33"/>
        <v>2.4669247744263809</v>
      </c>
      <c r="F54">
        <f t="shared" si="0"/>
        <v>99.999259285969543</v>
      </c>
      <c r="G54">
        <v>100</v>
      </c>
      <c r="H54">
        <f t="shared" si="34"/>
        <v>6.4639493235917566E-5</v>
      </c>
      <c r="I54">
        <f t="shared" si="1"/>
        <v>3.7035701522825093E-3</v>
      </c>
      <c r="J54">
        <f t="shared" si="27"/>
        <v>0</v>
      </c>
      <c r="K54">
        <f t="shared" si="16"/>
        <v>0</v>
      </c>
      <c r="L54">
        <f t="shared" si="2"/>
        <v>0</v>
      </c>
      <c r="M54">
        <f t="shared" si="35"/>
        <v>3.7035701522825093E-3</v>
      </c>
      <c r="N54">
        <f t="shared" si="3"/>
        <v>-412.77424433287047</v>
      </c>
      <c r="O54">
        <f t="shared" si="4"/>
        <v>311.90954421439443</v>
      </c>
      <c r="P54">
        <f t="shared" si="36"/>
        <v>-384.94952080762431</v>
      </c>
      <c r="Q54">
        <f t="shared" si="37"/>
        <v>407.96049299025822</v>
      </c>
      <c r="R54">
        <f t="shared" si="5"/>
        <v>0.96050948775863809</v>
      </c>
      <c r="S54">
        <f t="shared" si="6"/>
        <v>0.27824723525246159</v>
      </c>
      <c r="U54">
        <f t="shared" si="31"/>
        <v>1</v>
      </c>
      <c r="V54" cm="1">
        <f t="array" ref="V54:AA54">INDEX(surface!$A$2:$I$40,U54+1,COLUMN(surface!$B$1:$G$1))</f>
        <v>0</v>
      </c>
      <c r="W54">
        <v>100</v>
      </c>
      <c r="X54">
        <v>-500</v>
      </c>
      <c r="Y54">
        <v>500</v>
      </c>
      <c r="Z54">
        <v>500</v>
      </c>
      <c r="AA54">
        <v>-400</v>
      </c>
      <c r="AB54">
        <f t="shared" si="38"/>
        <v>-825.54848866574093</v>
      </c>
      <c r="AC54">
        <f t="shared" si="39"/>
        <v>523.81908842878886</v>
      </c>
      <c r="AD54">
        <f t="shared" si="7"/>
        <v>-591.55363798030373</v>
      </c>
      <c r="AE54">
        <f t="shared" si="8"/>
        <v>99.999259285969543</v>
      </c>
      <c r="AF54">
        <f t="shared" si="9"/>
        <v>0.76989945381851077</v>
      </c>
      <c r="AG54" t="b">
        <f t="shared" si="19"/>
        <v>1</v>
      </c>
      <c r="AH54">
        <f t="shared" si="10"/>
        <v>99.999259285969543</v>
      </c>
      <c r="AI54">
        <f t="shared" si="20"/>
        <v>2</v>
      </c>
      <c r="AJ54" cm="1">
        <f t="array" ref="AJ54:AO54">INDEX(surface!$A$2:$I$40,AI54+1,COLUMN(surface!$B$1:$G$1))</f>
        <v>-500</v>
      </c>
      <c r="AK54">
        <v>500</v>
      </c>
      <c r="AL54">
        <v>-500</v>
      </c>
      <c r="AM54">
        <v>1000</v>
      </c>
      <c r="AN54">
        <v>0</v>
      </c>
      <c r="AO54">
        <v>-500</v>
      </c>
      <c r="AP54">
        <f t="shared" si="21"/>
        <v>-325.54848866574093</v>
      </c>
      <c r="AQ54">
        <f t="shared" si="22"/>
        <v>123.81908842878886</v>
      </c>
      <c r="AR54">
        <f t="shared" si="23"/>
        <v>-139.12361762623078</v>
      </c>
      <c r="AS54">
        <f t="shared" si="11"/>
        <v>-313.4829195624788</v>
      </c>
      <c r="AT54">
        <f t="shared" si="12"/>
        <v>-0.97838754855128895</v>
      </c>
      <c r="AU54" t="b">
        <f t="shared" si="24"/>
        <v>0</v>
      </c>
      <c r="AV54">
        <f t="shared" si="13"/>
        <v>25000</v>
      </c>
    </row>
    <row r="55" spans="1:48" x14ac:dyDescent="0.25">
      <c r="A55">
        <f t="shared" si="32"/>
        <v>5.2999999999999972</v>
      </c>
      <c r="B55">
        <f t="shared" si="14"/>
        <v>0.1</v>
      </c>
      <c r="C55">
        <f>sim!C54+(sim!$G54*$B55*COS($E55))</f>
        <v>-423.36590155642125</v>
      </c>
      <c r="D55">
        <f>sim!D54+(sim!$G54*$B55*SIN($E55))</f>
        <v>308.55077879098639</v>
      </c>
      <c r="E55">
        <f t="shared" si="33"/>
        <v>2.4669312383757047</v>
      </c>
      <c r="F55">
        <f t="shared" si="0"/>
        <v>100.00041469054662</v>
      </c>
      <c r="G55">
        <v>100</v>
      </c>
      <c r="H55">
        <f t="shared" si="34"/>
        <v>-3.6188577077072163E-5</v>
      </c>
      <c r="I55">
        <f t="shared" si="1"/>
        <v>-2.0734527331001118E-3</v>
      </c>
      <c r="J55">
        <f t="shared" si="27"/>
        <v>0</v>
      </c>
      <c r="K55">
        <f t="shared" si="16"/>
        <v>0</v>
      </c>
      <c r="L55">
        <f t="shared" si="2"/>
        <v>0</v>
      </c>
      <c r="M55">
        <f t="shared" si="35"/>
        <v>-2.0734527331001118E-3</v>
      </c>
      <c r="N55">
        <f t="shared" si="3"/>
        <v>-420.58349129080131</v>
      </c>
      <c r="O55">
        <f t="shared" si="4"/>
        <v>318.1558916541324</v>
      </c>
      <c r="P55">
        <f t="shared" si="36"/>
        <v>-392.75938863460181</v>
      </c>
      <c r="Q55">
        <f t="shared" si="37"/>
        <v>414.20702028559242</v>
      </c>
      <c r="R55">
        <f t="shared" si="5"/>
        <v>0.96051128631459992</v>
      </c>
      <c r="S55">
        <f t="shared" si="6"/>
        <v>0.27824102656199479</v>
      </c>
      <c r="U55">
        <f t="shared" si="31"/>
        <v>1</v>
      </c>
      <c r="V55" cm="1">
        <f t="array" ref="V55:AA55">INDEX(surface!$A$2:$I$40,U55+1,COLUMN(surface!$B$1:$G$1))</f>
        <v>0</v>
      </c>
      <c r="W55">
        <v>100</v>
      </c>
      <c r="X55">
        <v>-500</v>
      </c>
      <c r="Y55">
        <v>500</v>
      </c>
      <c r="Z55">
        <v>500</v>
      </c>
      <c r="AA55">
        <v>-400</v>
      </c>
      <c r="AB55">
        <f t="shared" si="38"/>
        <v>-841.16698258160261</v>
      </c>
      <c r="AC55">
        <f t="shared" si="39"/>
        <v>536.31178330826481</v>
      </c>
      <c r="AD55">
        <f t="shared" si="7"/>
        <v>-591.55205378209791</v>
      </c>
      <c r="AE55">
        <f t="shared" si="8"/>
        <v>100.00041469054662</v>
      </c>
      <c r="AF55">
        <f t="shared" si="9"/>
        <v>0.78551854650135688</v>
      </c>
      <c r="AG55" t="b">
        <f t="shared" si="19"/>
        <v>1</v>
      </c>
      <c r="AH55">
        <f t="shared" si="10"/>
        <v>100.00041469054662</v>
      </c>
      <c r="AI55">
        <f t="shared" si="20"/>
        <v>2</v>
      </c>
      <c r="AJ55" cm="1">
        <f t="array" ref="AJ55:AO55">INDEX(surface!$A$2:$I$40,AI55+1,COLUMN(surface!$B$1:$G$1))</f>
        <v>-500</v>
      </c>
      <c r="AK55">
        <v>500</v>
      </c>
      <c r="AL55">
        <v>-500</v>
      </c>
      <c r="AM55">
        <v>1000</v>
      </c>
      <c r="AN55">
        <v>0</v>
      </c>
      <c r="AO55">
        <v>-500</v>
      </c>
      <c r="AP55">
        <f t="shared" si="21"/>
        <v>-341.16698258160261</v>
      </c>
      <c r="AQ55">
        <f t="shared" si="22"/>
        <v>136.31178330826481</v>
      </c>
      <c r="AR55">
        <f t="shared" si="23"/>
        <v>-139.12051328099739</v>
      </c>
      <c r="AS55">
        <f t="shared" si="11"/>
        <v>-285.42343194490741</v>
      </c>
      <c r="AT55">
        <f t="shared" si="12"/>
        <v>-0.91199307221519654</v>
      </c>
      <c r="AU55" t="b">
        <f t="shared" si="24"/>
        <v>0</v>
      </c>
      <c r="AV55">
        <f t="shared" si="13"/>
        <v>25000</v>
      </c>
    </row>
    <row r="56" spans="1:48" x14ac:dyDescent="0.25">
      <c r="A56">
        <f t="shared" si="32"/>
        <v>5.3999999999999968</v>
      </c>
      <c r="B56">
        <f t="shared" si="14"/>
        <v>0.1</v>
      </c>
      <c r="C56">
        <f>sim!C55+(sim!$G55*$B56*COS($E56))</f>
        <v>-431.1750638228188</v>
      </c>
      <c r="D56">
        <f>sim!D55+(sim!$G55*$B56*SIN($E56))</f>
        <v>314.79713650545267</v>
      </c>
      <c r="E56">
        <f t="shared" si="33"/>
        <v>2.466927619517997</v>
      </c>
      <c r="F56">
        <f t="shared" si="0"/>
        <v>100.00107141575829</v>
      </c>
      <c r="G56">
        <v>100</v>
      </c>
      <c r="H56">
        <f t="shared" si="34"/>
        <v>-9.3498663199527798E-5</v>
      </c>
      <c r="I56">
        <f t="shared" si="1"/>
        <v>-5.3570787914480889E-3</v>
      </c>
      <c r="J56">
        <f t="shared" si="27"/>
        <v>0</v>
      </c>
      <c r="K56">
        <f t="shared" si="16"/>
        <v>0</v>
      </c>
      <c r="L56">
        <f t="shared" si="2"/>
        <v>0</v>
      </c>
      <c r="M56">
        <f t="shared" si="35"/>
        <v>-5.3570787914480889E-3</v>
      </c>
      <c r="N56">
        <f t="shared" si="3"/>
        <v>-428.39261879768037</v>
      </c>
      <c r="O56">
        <f t="shared" si="4"/>
        <v>324.40223929938895</v>
      </c>
      <c r="P56">
        <f t="shared" si="36"/>
        <v>-400.56816854629591</v>
      </c>
      <c r="Q56">
        <f t="shared" si="37"/>
        <v>420.45326723875166</v>
      </c>
      <c r="R56">
        <f t="shared" si="5"/>
        <v>0.96051027939362688</v>
      </c>
      <c r="S56">
        <f t="shared" si="6"/>
        <v>0.27824450251384464</v>
      </c>
      <c r="U56">
        <f t="shared" si="31"/>
        <v>1</v>
      </c>
      <c r="V56" cm="1">
        <f t="array" ref="V56:AA56">INDEX(surface!$A$2:$I$40,U56+1,COLUMN(surface!$B$1:$G$1))</f>
        <v>0</v>
      </c>
      <c r="W56">
        <v>100</v>
      </c>
      <c r="X56">
        <v>-500</v>
      </c>
      <c r="Y56">
        <v>500</v>
      </c>
      <c r="Z56">
        <v>500</v>
      </c>
      <c r="AA56">
        <v>-400</v>
      </c>
      <c r="AB56">
        <f t="shared" si="38"/>
        <v>-856.78523759536074</v>
      </c>
      <c r="AC56">
        <f t="shared" si="39"/>
        <v>548.80447859877791</v>
      </c>
      <c r="AD56">
        <f t="shared" si="7"/>
        <v>-591.55294070235129</v>
      </c>
      <c r="AE56">
        <f t="shared" si="8"/>
        <v>100.00107141575829</v>
      </c>
      <c r="AF56">
        <f t="shared" si="9"/>
        <v>0.80113574086150241</v>
      </c>
      <c r="AG56" t="b">
        <f t="shared" si="19"/>
        <v>1</v>
      </c>
      <c r="AH56">
        <f t="shared" si="10"/>
        <v>100.00107141575829</v>
      </c>
      <c r="AI56">
        <f t="shared" si="20"/>
        <v>2</v>
      </c>
      <c r="AJ56" cm="1">
        <f t="array" ref="AJ56:AO56">INDEX(surface!$A$2:$I$40,AI56+1,COLUMN(surface!$B$1:$G$1))</f>
        <v>-500</v>
      </c>
      <c r="AK56">
        <v>500</v>
      </c>
      <c r="AL56">
        <v>-500</v>
      </c>
      <c r="AM56">
        <v>1000</v>
      </c>
      <c r="AN56">
        <v>0</v>
      </c>
      <c r="AO56">
        <v>-500</v>
      </c>
      <c r="AP56">
        <f t="shared" si="21"/>
        <v>-356.78523759536074</v>
      </c>
      <c r="AQ56">
        <f t="shared" si="22"/>
        <v>148.80447859877791</v>
      </c>
      <c r="AR56">
        <f t="shared" si="23"/>
        <v>-139.12225125692231</v>
      </c>
      <c r="AS56">
        <f t="shared" si="11"/>
        <v>-257.35416353376706</v>
      </c>
      <c r="AT56">
        <f t="shared" si="12"/>
        <v>-0.84557816043908551</v>
      </c>
      <c r="AU56" t="b">
        <f t="shared" si="24"/>
        <v>0</v>
      </c>
      <c r="AV56">
        <f t="shared" si="13"/>
        <v>25000</v>
      </c>
    </row>
    <row r="57" spans="1:48" x14ac:dyDescent="0.25">
      <c r="A57">
        <f t="shared" si="32"/>
        <v>5.4999999999999964</v>
      </c>
      <c r="B57">
        <f t="shared" si="14"/>
        <v>0.1</v>
      </c>
      <c r="C57">
        <f>sim!C56+(sim!$G56*$B57*COS($E57))</f>
        <v>-438.98416768626538</v>
      </c>
      <c r="D57">
        <f>sim!D56+(sim!$G56*$B57*SIN($E57))</f>
        <v>321.04356723426923</v>
      </c>
      <c r="E57">
        <f t="shared" si="33"/>
        <v>2.4669182696516772</v>
      </c>
      <c r="F57">
        <f t="shared" si="0"/>
        <v>100.00136575559402</v>
      </c>
      <c r="G57">
        <v>100</v>
      </c>
      <c r="H57">
        <f t="shared" si="34"/>
        <v>-1.1918465946613935E-4</v>
      </c>
      <c r="I57">
        <f t="shared" si="1"/>
        <v>-6.8287779701137197E-3</v>
      </c>
      <c r="J57">
        <f t="shared" si="27"/>
        <v>0</v>
      </c>
      <c r="K57">
        <f t="shared" si="16"/>
        <v>0</v>
      </c>
      <c r="L57">
        <f t="shared" si="2"/>
        <v>0</v>
      </c>
      <c r="M57">
        <f t="shared" si="35"/>
        <v>-6.8287779701137197E-3</v>
      </c>
      <c r="N57">
        <f t="shared" si="3"/>
        <v>-436.20163285482147</v>
      </c>
      <c r="O57">
        <f t="shared" si="4"/>
        <v>330.64864401229664</v>
      </c>
      <c r="P57">
        <f t="shared" si="36"/>
        <v>-408.37628454038213</v>
      </c>
      <c r="Q57">
        <f t="shared" si="37"/>
        <v>426.69941179257069</v>
      </c>
      <c r="R57">
        <f t="shared" si="5"/>
        <v>0.96050767780274027</v>
      </c>
      <c r="S57">
        <f t="shared" si="6"/>
        <v>0.27825348314439363</v>
      </c>
      <c r="U57">
        <f t="shared" si="31"/>
        <v>1</v>
      </c>
      <c r="V57" cm="1">
        <f t="array" ref="V57:AA57">INDEX(surface!$A$2:$I$40,U57+1,COLUMN(surface!$B$1:$G$1))</f>
        <v>0</v>
      </c>
      <c r="W57">
        <v>100</v>
      </c>
      <c r="X57">
        <v>-500</v>
      </c>
      <c r="Y57">
        <v>500</v>
      </c>
      <c r="Z57">
        <v>500</v>
      </c>
      <c r="AA57">
        <v>-400</v>
      </c>
      <c r="AB57">
        <f t="shared" si="38"/>
        <v>-872.40326570964294</v>
      </c>
      <c r="AC57">
        <f t="shared" si="39"/>
        <v>561.29728802459329</v>
      </c>
      <c r="AD57">
        <f t="shared" si="7"/>
        <v>-591.55523215912763</v>
      </c>
      <c r="AE57">
        <f t="shared" si="8"/>
        <v>100.00136575559402</v>
      </c>
      <c r="AF57">
        <f t="shared" si="9"/>
        <v>0.81675180902826183</v>
      </c>
      <c r="AG57" t="b">
        <f t="shared" si="19"/>
        <v>1</v>
      </c>
      <c r="AH57">
        <f t="shared" si="10"/>
        <v>100.00136575559402</v>
      </c>
      <c r="AI57">
        <f t="shared" si="20"/>
        <v>2</v>
      </c>
      <c r="AJ57" cm="1">
        <f t="array" ref="AJ57:AO57">INDEX(surface!$A$2:$I$40,AI57+1,COLUMN(surface!$B$1:$G$1))</f>
        <v>-500</v>
      </c>
      <c r="AK57">
        <v>500</v>
      </c>
      <c r="AL57">
        <v>-500</v>
      </c>
      <c r="AM57">
        <v>1000</v>
      </c>
      <c r="AN57">
        <v>0</v>
      </c>
      <c r="AO57">
        <v>-500</v>
      </c>
      <c r="AP57">
        <f t="shared" si="21"/>
        <v>-372.40326570964294</v>
      </c>
      <c r="AQ57">
        <f t="shared" si="22"/>
        <v>161.29728802459329</v>
      </c>
      <c r="AR57">
        <f t="shared" si="23"/>
        <v>-139.12674157219681</v>
      </c>
      <c r="AS57">
        <f t="shared" si="11"/>
        <v>-229.28146819305675</v>
      </c>
      <c r="AT57">
        <f t="shared" si="12"/>
        <v>-0.77915593313003828</v>
      </c>
      <c r="AU57" t="b">
        <f t="shared" si="24"/>
        <v>0</v>
      </c>
      <c r="AV57">
        <f t="shared" si="13"/>
        <v>25000</v>
      </c>
    </row>
    <row r="58" spans="1:48" x14ac:dyDescent="0.25">
      <c r="A58">
        <f t="shared" si="32"/>
        <v>5.5999999999999961</v>
      </c>
      <c r="B58">
        <f t="shared" si="14"/>
        <v>0.1</v>
      </c>
      <c r="C58">
        <f>sim!C57+(sim!$G57*$B58*COS($E58))</f>
        <v>-446.79319710128539</v>
      </c>
      <c r="D58">
        <f>sim!D57+(sim!$G57*$B58*SIN($E58))</f>
        <v>327.29009103518058</v>
      </c>
      <c r="E58">
        <f t="shared" si="33"/>
        <v>2.4669063511857305</v>
      </c>
      <c r="F58">
        <f t="shared" si="0"/>
        <v>100.00141404071519</v>
      </c>
      <c r="G58">
        <v>100</v>
      </c>
      <c r="H58">
        <f t="shared" si="34"/>
        <v>-1.2339833118659685E-4</v>
      </c>
      <c r="I58">
        <f t="shared" si="1"/>
        <v>-7.0702035759495629E-3</v>
      </c>
      <c r="J58">
        <f t="shared" si="27"/>
        <v>0</v>
      </c>
      <c r="K58">
        <f t="shared" si="16"/>
        <v>0</v>
      </c>
      <c r="L58">
        <f t="shared" si="2"/>
        <v>0</v>
      </c>
      <c r="M58">
        <f t="shared" si="35"/>
        <v>-7.0702035759495629E-3</v>
      </c>
      <c r="N58">
        <f t="shared" si="3"/>
        <v>-444.01054779225859</v>
      </c>
      <c r="O58">
        <f t="shared" si="4"/>
        <v>336.89513464897914</v>
      </c>
      <c r="P58">
        <f t="shared" si="36"/>
        <v>-416.18405470199059</v>
      </c>
      <c r="Q58">
        <f t="shared" si="37"/>
        <v>432.94557078696482</v>
      </c>
      <c r="R58">
        <f t="shared" si="5"/>
        <v>0.96050436137985695</v>
      </c>
      <c r="S58">
        <f t="shared" si="6"/>
        <v>0.27826493090267979</v>
      </c>
      <c r="U58">
        <f t="shared" si="31"/>
        <v>1</v>
      </c>
      <c r="V58" cm="1">
        <f t="array" ref="V58:AA58">INDEX(surface!$A$2:$I$40,U58+1,COLUMN(surface!$B$1:$G$1))</f>
        <v>0</v>
      </c>
      <c r="W58">
        <v>100</v>
      </c>
      <c r="X58">
        <v>-500</v>
      </c>
      <c r="Y58">
        <v>500</v>
      </c>
      <c r="Z58">
        <v>500</v>
      </c>
      <c r="AA58">
        <v>-400</v>
      </c>
      <c r="AB58">
        <f t="shared" si="38"/>
        <v>-888.02109558451718</v>
      </c>
      <c r="AC58">
        <f t="shared" si="39"/>
        <v>573.79026929795828</v>
      </c>
      <c r="AD58">
        <f t="shared" si="7"/>
        <v>-591.55815305100043</v>
      </c>
      <c r="AE58">
        <f t="shared" si="8"/>
        <v>100.00141404071519</v>
      </c>
      <c r="AF58">
        <f t="shared" si="9"/>
        <v>0.8323673224480973</v>
      </c>
      <c r="AG58" t="b">
        <f t="shared" si="19"/>
        <v>1</v>
      </c>
      <c r="AH58">
        <f t="shared" si="10"/>
        <v>100.00141404071519</v>
      </c>
      <c r="AI58">
        <f t="shared" si="20"/>
        <v>2</v>
      </c>
      <c r="AJ58" cm="1">
        <f t="array" ref="AJ58:AO58">INDEX(surface!$A$2:$I$40,AI58+1,COLUMN(surface!$B$1:$G$1))</f>
        <v>-500</v>
      </c>
      <c r="AK58">
        <v>500</v>
      </c>
      <c r="AL58">
        <v>-500</v>
      </c>
      <c r="AM58">
        <v>1000</v>
      </c>
      <c r="AN58">
        <v>0</v>
      </c>
      <c r="AO58">
        <v>-500</v>
      </c>
      <c r="AP58">
        <f t="shared" si="21"/>
        <v>-388.02109558451718</v>
      </c>
      <c r="AQ58">
        <f t="shared" si="22"/>
        <v>173.79026929795828</v>
      </c>
      <c r="AR58">
        <f t="shared" si="23"/>
        <v>-139.1324654513399</v>
      </c>
      <c r="AS58">
        <f t="shared" si="11"/>
        <v>-201.2091571370994</v>
      </c>
      <c r="AT58">
        <f t="shared" si="12"/>
        <v>-0.71273427666153966</v>
      </c>
      <c r="AU58" t="b">
        <f t="shared" si="24"/>
        <v>0</v>
      </c>
      <c r="AV58">
        <f t="shared" si="13"/>
        <v>25000</v>
      </c>
    </row>
    <row r="59" spans="1:48" x14ac:dyDescent="0.25">
      <c r="A59">
        <f t="shared" si="32"/>
        <v>5.6999999999999957</v>
      </c>
      <c r="B59">
        <f t="shared" si="14"/>
        <v>0.1</v>
      </c>
      <c r="C59">
        <f>sim!C58+(sim!$G58*$B59*COS($E59))</f>
        <v>-454.60214943464956</v>
      </c>
      <c r="D59">
        <f>sim!D58+(sim!$G58*$B59*SIN($E59))</f>
        <v>333.53671119773617</v>
      </c>
      <c r="E59">
        <f t="shared" si="33"/>
        <v>2.4668940113526117</v>
      </c>
      <c r="F59">
        <f t="shared" si="0"/>
        <v>100.00130957173189</v>
      </c>
      <c r="G59">
        <v>100</v>
      </c>
      <c r="H59">
        <f t="shared" si="34"/>
        <v>-1.142816925630366E-4</v>
      </c>
      <c r="I59">
        <f t="shared" si="1"/>
        <v>-6.5478586594736043E-3</v>
      </c>
      <c r="J59">
        <f t="shared" si="27"/>
        <v>0</v>
      </c>
      <c r="K59">
        <f t="shared" si="16"/>
        <v>0</v>
      </c>
      <c r="L59">
        <f t="shared" si="2"/>
        <v>0</v>
      </c>
      <c r="M59">
        <f t="shared" si="35"/>
        <v>-6.5478586594736043E-3</v>
      </c>
      <c r="N59">
        <f t="shared" si="3"/>
        <v>-451.81938160119932</v>
      </c>
      <c r="O59">
        <f t="shared" si="4"/>
        <v>343.14172047337536</v>
      </c>
      <c r="P59">
        <f t="shared" si="36"/>
        <v>-423.99170326669702</v>
      </c>
      <c r="Q59">
        <f t="shared" si="37"/>
        <v>439.19181322976715</v>
      </c>
      <c r="R59">
        <f t="shared" si="5"/>
        <v>0.96050092756391814</v>
      </c>
      <c r="S59">
        <f t="shared" si="6"/>
        <v>0.27827678334502293</v>
      </c>
      <c r="U59">
        <f t="shared" si="31"/>
        <v>1</v>
      </c>
      <c r="V59" cm="1">
        <f t="array" ref="V59:AA59">INDEX(surface!$A$2:$I$40,U59+1,COLUMN(surface!$B$1:$G$1))</f>
        <v>0</v>
      </c>
      <c r="W59">
        <v>100</v>
      </c>
      <c r="X59">
        <v>-500</v>
      </c>
      <c r="Y59">
        <v>500</v>
      </c>
      <c r="Z59">
        <v>500</v>
      </c>
      <c r="AA59">
        <v>-400</v>
      </c>
      <c r="AB59">
        <f t="shared" si="38"/>
        <v>-903.63876320239865</v>
      </c>
      <c r="AC59">
        <f t="shared" si="39"/>
        <v>586.28344094675072</v>
      </c>
      <c r="AD59">
        <f t="shared" si="7"/>
        <v>-591.56117711996819</v>
      </c>
      <c r="AE59">
        <f t="shared" si="8"/>
        <v>100.00130957173189</v>
      </c>
      <c r="AF59">
        <f t="shared" si="9"/>
        <v>0.84798267768657598</v>
      </c>
      <c r="AG59" t="b">
        <f t="shared" si="19"/>
        <v>1</v>
      </c>
      <c r="AH59">
        <f t="shared" si="10"/>
        <v>100.00130957173189</v>
      </c>
      <c r="AI59">
        <f t="shared" si="20"/>
        <v>2</v>
      </c>
      <c r="AJ59" cm="1">
        <f t="array" ref="AJ59:AO59">INDEX(surface!$A$2:$I$40,AI59+1,COLUMN(surface!$B$1:$G$1))</f>
        <v>-500</v>
      </c>
      <c r="AK59">
        <v>500</v>
      </c>
      <c r="AL59">
        <v>-500</v>
      </c>
      <c r="AM59">
        <v>1000</v>
      </c>
      <c r="AN59">
        <v>0</v>
      </c>
      <c r="AO59">
        <v>-500</v>
      </c>
      <c r="AP59">
        <f t="shared" si="21"/>
        <v>-403.63876320239865</v>
      </c>
      <c r="AQ59">
        <f t="shared" si="22"/>
        <v>186.28344094675072</v>
      </c>
      <c r="AR59">
        <f t="shared" si="23"/>
        <v>-139.13839167251146</v>
      </c>
      <c r="AS59">
        <f t="shared" si="11"/>
        <v>-173.13919551478961</v>
      </c>
      <c r="AT59">
        <f t="shared" si="12"/>
        <v>-0.64631727483250134</v>
      </c>
      <c r="AU59" t="b">
        <f t="shared" si="24"/>
        <v>0</v>
      </c>
      <c r="AV59">
        <f t="shared" si="13"/>
        <v>25000</v>
      </c>
    </row>
    <row r="60" spans="1:48" x14ac:dyDescent="0.25">
      <c r="A60">
        <f t="shared" si="32"/>
        <v>5.7999999999999954</v>
      </c>
      <c r="B60">
        <f t="shared" si="14"/>
        <v>0.1</v>
      </c>
      <c r="C60">
        <f>sim!C59+(sim!$G59*$B60*COS($E60))</f>
        <v>-462.41103038007134</v>
      </c>
      <c r="D60">
        <f>sim!D59+(sim!$G59*$B60*SIN($E60))</f>
        <v>339.78342060191278</v>
      </c>
      <c r="E60">
        <f t="shared" si="33"/>
        <v>2.4668825831833554</v>
      </c>
      <c r="F60">
        <f t="shared" si="0"/>
        <v>100.00112296399774</v>
      </c>
      <c r="G60">
        <v>100</v>
      </c>
      <c r="H60">
        <f t="shared" si="34"/>
        <v>-9.7997095709986639E-5</v>
      </c>
      <c r="I60">
        <f t="shared" si="1"/>
        <v>-5.6148199887218198E-3</v>
      </c>
      <c r="J60">
        <f t="shared" si="27"/>
        <v>0</v>
      </c>
      <c r="K60">
        <f t="shared" si="16"/>
        <v>0</v>
      </c>
      <c r="L60">
        <f t="shared" si="2"/>
        <v>0</v>
      </c>
      <c r="M60">
        <f t="shared" si="35"/>
        <v>-5.6148199887218198E-3</v>
      </c>
      <c r="N60">
        <f t="shared" si="3"/>
        <v>-459.62815277913114</v>
      </c>
      <c r="O60">
        <f t="shared" si="4"/>
        <v>349.38839807498294</v>
      </c>
      <c r="P60">
        <f t="shared" si="36"/>
        <v>-431.79937676972895</v>
      </c>
      <c r="Q60">
        <f t="shared" si="37"/>
        <v>445.43817280568453</v>
      </c>
      <c r="R60">
        <f t="shared" si="5"/>
        <v>0.96049774730701587</v>
      </c>
      <c r="S60">
        <f t="shared" si="6"/>
        <v>0.27828776009402179</v>
      </c>
      <c r="U60">
        <f t="shared" si="31"/>
        <v>1</v>
      </c>
      <c r="V60" cm="1">
        <f t="array" ref="V60:AA60">INDEX(surface!$A$2:$I$40,U60+1,COLUMN(surface!$B$1:$G$1))</f>
        <v>0</v>
      </c>
      <c r="W60">
        <v>100</v>
      </c>
      <c r="X60">
        <v>-500</v>
      </c>
      <c r="Y60">
        <v>500</v>
      </c>
      <c r="Z60">
        <v>500</v>
      </c>
      <c r="AA60">
        <v>-400</v>
      </c>
      <c r="AB60">
        <f t="shared" si="38"/>
        <v>-919.25630555826228</v>
      </c>
      <c r="AC60">
        <f t="shared" si="39"/>
        <v>598.77679614996589</v>
      </c>
      <c r="AD60">
        <f t="shared" si="7"/>
        <v>-591.56397769111663</v>
      </c>
      <c r="AE60">
        <f t="shared" si="8"/>
        <v>100.00112296399774</v>
      </c>
      <c r="AF60">
        <f t="shared" si="9"/>
        <v>0.86359812852518669</v>
      </c>
      <c r="AG60" t="b">
        <f t="shared" si="19"/>
        <v>1</v>
      </c>
      <c r="AH60">
        <f t="shared" si="10"/>
        <v>100.00112296399774</v>
      </c>
      <c r="AI60">
        <f t="shared" si="20"/>
        <v>2</v>
      </c>
      <c r="AJ60" cm="1">
        <f t="array" ref="AJ60:AO60">INDEX(surface!$A$2:$I$40,AI60+1,COLUMN(surface!$B$1:$G$1))</f>
        <v>-500</v>
      </c>
      <c r="AK60">
        <v>500</v>
      </c>
      <c r="AL60">
        <v>-500</v>
      </c>
      <c r="AM60">
        <v>1000</v>
      </c>
      <c r="AN60">
        <v>0</v>
      </c>
      <c r="AO60">
        <v>-500</v>
      </c>
      <c r="AP60">
        <f t="shared" si="21"/>
        <v>-419.25630555826228</v>
      </c>
      <c r="AQ60">
        <f t="shared" si="22"/>
        <v>198.77679614996589</v>
      </c>
      <c r="AR60">
        <f t="shared" si="23"/>
        <v>-139.1438800470109</v>
      </c>
      <c r="AS60">
        <f t="shared" si="11"/>
        <v>-145.0723064759618</v>
      </c>
      <c r="AT60">
        <f t="shared" si="12"/>
        <v>-0.5799064509836227</v>
      </c>
      <c r="AU60" t="b">
        <f t="shared" si="24"/>
        <v>0</v>
      </c>
      <c r="AV60">
        <f t="shared" si="13"/>
        <v>25000</v>
      </c>
    </row>
    <row r="61" spans="1:48" x14ac:dyDescent="0.25">
      <c r="A61">
        <f t="shared" si="32"/>
        <v>5.899999999999995</v>
      </c>
      <c r="B61">
        <f t="shared" si="14"/>
        <v>0.1</v>
      </c>
      <c r="C61">
        <f>sim!C60+(sim!$G60*$B61*COS($E61))</f>
        <v>-470.21985010918024</v>
      </c>
      <c r="D61">
        <f>sim!D60+(sim!$G60*$B61*SIN($E61))</f>
        <v>346.03020653055478</v>
      </c>
      <c r="E61">
        <f t="shared" si="33"/>
        <v>2.4668727834737845</v>
      </c>
      <c r="F61">
        <f t="shared" si="0"/>
        <v>100.00090450339673</v>
      </c>
      <c r="G61">
        <v>100</v>
      </c>
      <c r="H61">
        <f t="shared" si="34"/>
        <v>-7.8932811841656356E-5</v>
      </c>
      <c r="I61">
        <f t="shared" si="1"/>
        <v>-4.5225169836271562E-3</v>
      </c>
      <c r="J61">
        <f t="shared" si="27"/>
        <v>0</v>
      </c>
      <c r="K61">
        <f t="shared" si="16"/>
        <v>0</v>
      </c>
      <c r="L61">
        <f t="shared" si="2"/>
        <v>0</v>
      </c>
      <c r="M61">
        <f t="shared" si="35"/>
        <v>-4.5225169836271562E-3</v>
      </c>
      <c r="N61">
        <f t="shared" si="3"/>
        <v>-467.43687838238395</v>
      </c>
      <c r="O61">
        <f t="shared" si="4"/>
        <v>355.63515673177147</v>
      </c>
      <c r="P61">
        <f t="shared" si="36"/>
        <v>-439.60716111442133</v>
      </c>
      <c r="Q61">
        <f t="shared" si="37"/>
        <v>451.68465874393843</v>
      </c>
      <c r="R61">
        <f t="shared" si="5"/>
        <v>0.96049502012166954</v>
      </c>
      <c r="S61">
        <f t="shared" si="6"/>
        <v>0.27829717267962623</v>
      </c>
      <c r="U61">
        <f t="shared" si="31"/>
        <v>1</v>
      </c>
      <c r="V61" cm="1">
        <f t="array" ref="V61:AA61">INDEX(surface!$A$2:$I$40,U61+1,COLUMN(surface!$B$1:$G$1))</f>
        <v>0</v>
      </c>
      <c r="W61">
        <v>100</v>
      </c>
      <c r="X61">
        <v>-500</v>
      </c>
      <c r="Y61">
        <v>500</v>
      </c>
      <c r="Z61">
        <v>500</v>
      </c>
      <c r="AA61">
        <v>-400</v>
      </c>
      <c r="AB61">
        <f t="shared" si="38"/>
        <v>-934.8737567647679</v>
      </c>
      <c r="AC61">
        <f t="shared" si="39"/>
        <v>611.27031346354295</v>
      </c>
      <c r="AD61">
        <f t="shared" si="7"/>
        <v>-591.56637913268526</v>
      </c>
      <c r="AE61">
        <f t="shared" si="8"/>
        <v>100.00090450339673</v>
      </c>
      <c r="AF61">
        <f t="shared" si="9"/>
        <v>0.8792138187873666</v>
      </c>
      <c r="AG61" t="b">
        <f t="shared" si="19"/>
        <v>1</v>
      </c>
      <c r="AH61">
        <f t="shared" si="10"/>
        <v>100.00090450339673</v>
      </c>
      <c r="AI61">
        <f t="shared" si="20"/>
        <v>2</v>
      </c>
      <c r="AJ61" cm="1">
        <f t="array" ref="AJ61:AO61">INDEX(surface!$A$2:$I$40,AI61+1,COLUMN(surface!$B$1:$G$1))</f>
        <v>-500</v>
      </c>
      <c r="AK61">
        <v>500</v>
      </c>
      <c r="AL61">
        <v>-500</v>
      </c>
      <c r="AM61">
        <v>1000</v>
      </c>
      <c r="AN61">
        <v>0</v>
      </c>
      <c r="AO61">
        <v>-500</v>
      </c>
      <c r="AP61">
        <f t="shared" si="21"/>
        <v>-434.8737567647679</v>
      </c>
      <c r="AQ61">
        <f t="shared" si="22"/>
        <v>211.27031346354295</v>
      </c>
      <c r="AR61">
        <f t="shared" si="23"/>
        <v>-139.14858633981311</v>
      </c>
      <c r="AS61">
        <f t="shared" si="11"/>
        <v>-117.00845288537117</v>
      </c>
      <c r="AT61">
        <f t="shared" si="12"/>
        <v>-0.51350175915353713</v>
      </c>
      <c r="AU61" t="b">
        <f t="shared" si="24"/>
        <v>0</v>
      </c>
      <c r="AV61">
        <f t="shared" si="13"/>
        <v>25000</v>
      </c>
    </row>
    <row r="62" spans="1:48" x14ac:dyDescent="0.25">
      <c r="A62">
        <f t="shared" si="32"/>
        <v>5.9999999999999947</v>
      </c>
      <c r="B62">
        <f t="shared" si="14"/>
        <v>0.1</v>
      </c>
      <c r="C62">
        <f>sim!C61+(sim!$G61*$B62*COS($E62))</f>
        <v>-478.02862053040803</v>
      </c>
      <c r="D62">
        <f>sim!D61+(sim!$G61*$B62*SIN($E62))</f>
        <v>352.27705409621205</v>
      </c>
      <c r="E62">
        <f t="shared" si="33"/>
        <v>2.4668648901926002</v>
      </c>
      <c r="F62">
        <f t="shared" si="0"/>
        <v>100.000687485521</v>
      </c>
      <c r="G62">
        <v>100</v>
      </c>
      <c r="H62">
        <f t="shared" si="34"/>
        <v>-5.9994429506072738E-5</v>
      </c>
      <c r="I62">
        <f t="shared" si="1"/>
        <v>-3.4374276049931041E-3</v>
      </c>
      <c r="J62">
        <f t="shared" si="27"/>
        <v>0</v>
      </c>
      <c r="K62">
        <f t="shared" si="16"/>
        <v>0</v>
      </c>
      <c r="L62">
        <f t="shared" si="2"/>
        <v>0</v>
      </c>
      <c r="M62">
        <f t="shared" si="35"/>
        <v>-3.4374276049931041E-3</v>
      </c>
      <c r="N62">
        <f t="shared" si="3"/>
        <v>-475.24557298912578</v>
      </c>
      <c r="O62">
        <f t="shared" si="4"/>
        <v>361.88198233035115</v>
      </c>
      <c r="P62">
        <f t="shared" si="36"/>
        <v>-447.41509757630314</v>
      </c>
      <c r="Q62">
        <f t="shared" si="37"/>
        <v>457.93126467174227</v>
      </c>
      <c r="R62">
        <f t="shared" si="5"/>
        <v>0.96049282341391151</v>
      </c>
      <c r="S62">
        <f t="shared" si="6"/>
        <v>0.27830475412822647</v>
      </c>
      <c r="U62">
        <f t="shared" si="31"/>
        <v>1</v>
      </c>
      <c r="V62" cm="1">
        <f t="array" ref="V62:AA62">INDEX(surface!$A$2:$I$40,U62+1,COLUMN(surface!$B$1:$G$1))</f>
        <v>0</v>
      </c>
      <c r="W62">
        <v>100</v>
      </c>
      <c r="X62">
        <v>-500</v>
      </c>
      <c r="Y62">
        <v>500</v>
      </c>
      <c r="Z62">
        <v>500</v>
      </c>
      <c r="AA62">
        <v>-400</v>
      </c>
      <c r="AB62">
        <f t="shared" si="38"/>
        <v>-950.49114597825155</v>
      </c>
      <c r="AC62">
        <f t="shared" si="39"/>
        <v>623.7639646607023</v>
      </c>
      <c r="AD62">
        <f t="shared" si="7"/>
        <v>-591.56831335824631</v>
      </c>
      <c r="AE62">
        <f t="shared" si="8"/>
        <v>100.000687485521</v>
      </c>
      <c r="AF62">
        <f t="shared" si="9"/>
        <v>0.89482981249162863</v>
      </c>
      <c r="AG62" t="b">
        <f t="shared" si="19"/>
        <v>1</v>
      </c>
      <c r="AH62">
        <f t="shared" si="10"/>
        <v>100.000687485521</v>
      </c>
      <c r="AI62">
        <f t="shared" si="20"/>
        <v>2</v>
      </c>
      <c r="AJ62" cm="1">
        <f t="array" ref="AJ62:AO62">INDEX(surface!$A$2:$I$40,AI62+1,COLUMN(surface!$B$1:$G$1))</f>
        <v>-500</v>
      </c>
      <c r="AK62">
        <v>500</v>
      </c>
      <c r="AL62">
        <v>-500</v>
      </c>
      <c r="AM62">
        <v>1000</v>
      </c>
      <c r="AN62">
        <v>0</v>
      </c>
      <c r="AO62">
        <v>-500</v>
      </c>
      <c r="AP62">
        <f t="shared" si="21"/>
        <v>-450.49114597825155</v>
      </c>
      <c r="AQ62">
        <f t="shared" si="22"/>
        <v>223.7639646607023</v>
      </c>
      <c r="AR62">
        <f t="shared" si="23"/>
        <v>-139.15237706411324</v>
      </c>
      <c r="AS62">
        <f t="shared" si="11"/>
        <v>-88.947194195140625</v>
      </c>
      <c r="AT62">
        <f t="shared" si="12"/>
        <v>-0.44710231871376993</v>
      </c>
      <c r="AU62" t="b">
        <f t="shared" si="24"/>
        <v>0</v>
      </c>
      <c r="AV62">
        <f t="shared" si="13"/>
        <v>25000</v>
      </c>
    </row>
    <row r="63" spans="1:48" x14ac:dyDescent="0.25">
      <c r="A63">
        <f t="shared" si="32"/>
        <v>6.0999999999999943</v>
      </c>
      <c r="B63">
        <f t="shared" si="14"/>
        <v>0.1</v>
      </c>
      <c r="C63">
        <f>sim!C62+(sim!$G62*$B63*COS($E63))</f>
        <v>-485.83735347388972</v>
      </c>
      <c r="D63">
        <f>sim!D62+(sim!$G62*$B63*SIN($E63))</f>
        <v>358.52394851002953</v>
      </c>
      <c r="E63">
        <f t="shared" si="33"/>
        <v>2.4668588907496498</v>
      </c>
      <c r="F63">
        <f t="shared" si="0"/>
        <v>100.00049183002911</v>
      </c>
      <c r="G63">
        <v>100</v>
      </c>
      <c r="H63">
        <f t="shared" si="34"/>
        <v>-4.2920266840330298E-5</v>
      </c>
      <c r="I63">
        <f t="shared" si="1"/>
        <v>-2.4591501455262232E-3</v>
      </c>
      <c r="J63">
        <f t="shared" si="27"/>
        <v>0</v>
      </c>
      <c r="K63">
        <f t="shared" si="16"/>
        <v>0</v>
      </c>
      <c r="L63">
        <f t="shared" si="2"/>
        <v>0</v>
      </c>
      <c r="M63">
        <f t="shared" si="35"/>
        <v>-2.4591501455262232E-3</v>
      </c>
      <c r="N63">
        <f t="shared" si="3"/>
        <v>-483.05424830843856</v>
      </c>
      <c r="O63">
        <f t="shared" si="4"/>
        <v>368.12886004726084</v>
      </c>
      <c r="P63">
        <f t="shared" si="36"/>
        <v>-455.22319665392695</v>
      </c>
      <c r="Q63">
        <f t="shared" si="37"/>
        <v>464.1779754195739</v>
      </c>
      <c r="R63">
        <f t="shared" si="5"/>
        <v>0.96049115372313065</v>
      </c>
      <c r="S63">
        <f t="shared" si="6"/>
        <v>0.27831051654511629</v>
      </c>
      <c r="U63">
        <f t="shared" si="31"/>
        <v>1</v>
      </c>
      <c r="V63" cm="1">
        <f t="array" ref="V63:AA63">INDEX(surface!$A$2:$I$40,U63+1,COLUMN(surface!$B$1:$G$1))</f>
        <v>0</v>
      </c>
      <c r="W63">
        <v>100</v>
      </c>
      <c r="X63">
        <v>-500</v>
      </c>
      <c r="Y63">
        <v>500</v>
      </c>
      <c r="Z63">
        <v>500</v>
      </c>
      <c r="AA63">
        <v>-400</v>
      </c>
      <c r="AB63">
        <f t="shared" si="38"/>
        <v>-966.10849661687712</v>
      </c>
      <c r="AC63">
        <f t="shared" si="39"/>
        <v>636.25772009452169</v>
      </c>
      <c r="AD63">
        <f t="shared" si="7"/>
        <v>-591.56978347961183</v>
      </c>
      <c r="AE63">
        <f t="shared" si="8"/>
        <v>100.00049183002911</v>
      </c>
      <c r="AF63">
        <f t="shared" si="9"/>
        <v>0.91044611954491494</v>
      </c>
      <c r="AG63" t="b">
        <f t="shared" si="19"/>
        <v>1</v>
      </c>
      <c r="AH63">
        <f t="shared" si="10"/>
        <v>100.00049183002911</v>
      </c>
      <c r="AI63">
        <f t="shared" si="20"/>
        <v>2</v>
      </c>
      <c r="AJ63" cm="1">
        <f t="array" ref="AJ63:AO63">INDEX(surface!$A$2:$I$40,AI63+1,COLUMN(surface!$B$1:$G$1))</f>
        <v>-500</v>
      </c>
      <c r="AK63">
        <v>500</v>
      </c>
      <c r="AL63">
        <v>-500</v>
      </c>
      <c r="AM63">
        <v>1000</v>
      </c>
      <c r="AN63">
        <v>0</v>
      </c>
      <c r="AO63">
        <v>-500</v>
      </c>
      <c r="AP63">
        <f t="shared" si="21"/>
        <v>-466.10849661687712</v>
      </c>
      <c r="AQ63">
        <f t="shared" si="22"/>
        <v>236.25772009452169</v>
      </c>
      <c r="AR63">
        <f t="shared" si="23"/>
        <v>-139.15525827255814</v>
      </c>
      <c r="AS63">
        <f t="shared" si="11"/>
        <v>-60.887931587789652</v>
      </c>
      <c r="AT63">
        <f t="shared" si="12"/>
        <v>-0.38070691922262057</v>
      </c>
      <c r="AU63" t="b">
        <f t="shared" si="24"/>
        <v>0</v>
      </c>
      <c r="AV63">
        <f t="shared" si="13"/>
        <v>25000</v>
      </c>
    </row>
    <row r="64" spans="1:48" x14ac:dyDescent="0.25">
      <c r="A64">
        <f t="shared" si="32"/>
        <v>6.199999999999994</v>
      </c>
      <c r="B64">
        <f t="shared" si="14"/>
        <v>0.1</v>
      </c>
      <c r="C64">
        <f>sim!C63+(sim!$G63*$B64*COS($E64))</f>
        <v>-493.64605960546191</v>
      </c>
      <c r="D64">
        <f>sim!D63+(sim!$G63*$B64*SIN($E64))</f>
        <v>364.77087643907964</v>
      </c>
      <c r="E64">
        <f t="shared" si="33"/>
        <v>2.466854598722966</v>
      </c>
      <c r="F64">
        <f t="shared" si="0"/>
        <v>100.00032751938294</v>
      </c>
      <c r="G64">
        <v>100</v>
      </c>
      <c r="H64">
        <f t="shared" si="34"/>
        <v>-2.8581457981604958E-5</v>
      </c>
      <c r="I64">
        <f t="shared" si="1"/>
        <v>-1.6375969146764646E-3</v>
      </c>
      <c r="J64">
        <f t="shared" si="27"/>
        <v>0</v>
      </c>
      <c r="K64">
        <f t="shared" si="16"/>
        <v>0</v>
      </c>
      <c r="L64">
        <f t="shared" si="2"/>
        <v>0</v>
      </c>
      <c r="M64">
        <f t="shared" si="35"/>
        <v>-1.6375969146764646E-3</v>
      </c>
      <c r="N64">
        <f t="shared" si="3"/>
        <v>-490.86291321549976</v>
      </c>
      <c r="O64">
        <f t="shared" si="4"/>
        <v>374.37577603106087</v>
      </c>
      <c r="P64">
        <f t="shared" si="36"/>
        <v>-463.03144931587832</v>
      </c>
      <c r="Q64">
        <f t="shared" si="37"/>
        <v>470.42477195087292</v>
      </c>
      <c r="R64">
        <f t="shared" si="5"/>
        <v>0.96048995919812041</v>
      </c>
      <c r="S64">
        <f t="shared" si="6"/>
        <v>0.27831463899621417</v>
      </c>
      <c r="U64">
        <f t="shared" si="31"/>
        <v>1</v>
      </c>
      <c r="V64" cm="1">
        <f t="array" ref="V64:AA64">INDEX(surface!$A$2:$I$40,U64+1,COLUMN(surface!$B$1:$G$1))</f>
        <v>0</v>
      </c>
      <c r="W64">
        <v>100</v>
      </c>
      <c r="X64">
        <v>-500</v>
      </c>
      <c r="Y64">
        <v>500</v>
      </c>
      <c r="Z64">
        <v>500</v>
      </c>
      <c r="AA64">
        <v>-400</v>
      </c>
      <c r="AB64">
        <f t="shared" si="38"/>
        <v>-981.72582643099952</v>
      </c>
      <c r="AC64">
        <f t="shared" si="39"/>
        <v>648.75155206212173</v>
      </c>
      <c r="AD64">
        <f t="shared" si="7"/>
        <v>-591.57083519754588</v>
      </c>
      <c r="AE64">
        <f t="shared" si="8"/>
        <v>100.00032751938294</v>
      </c>
      <c r="AF64">
        <f t="shared" si="9"/>
        <v>0.92606271632487902</v>
      </c>
      <c r="AG64" t="b">
        <f t="shared" si="19"/>
        <v>1</v>
      </c>
      <c r="AH64">
        <f t="shared" si="10"/>
        <v>100.00032751938294</v>
      </c>
      <c r="AI64">
        <f t="shared" si="20"/>
        <v>2</v>
      </c>
      <c r="AJ64" cm="1">
        <f t="array" ref="AJ64:AO64">INDEX(surface!$A$2:$I$40,AI64+1,COLUMN(surface!$B$1:$G$1))</f>
        <v>-500</v>
      </c>
      <c r="AK64">
        <v>500</v>
      </c>
      <c r="AL64">
        <v>-500</v>
      </c>
      <c r="AM64">
        <v>1000</v>
      </c>
      <c r="AN64">
        <v>0</v>
      </c>
      <c r="AO64">
        <v>-500</v>
      </c>
      <c r="AP64">
        <f t="shared" si="21"/>
        <v>-481.72582643099952</v>
      </c>
      <c r="AQ64">
        <f t="shared" si="22"/>
        <v>248.75155206212173</v>
      </c>
      <c r="AR64">
        <f t="shared" si="23"/>
        <v>-139.15731949810709</v>
      </c>
      <c r="AS64">
        <f t="shared" si="11"/>
        <v>-32.830061751169801</v>
      </c>
      <c r="AT64">
        <f t="shared" si="12"/>
        <v>-0.31431433728158398</v>
      </c>
      <c r="AU64" t="b">
        <f t="shared" si="24"/>
        <v>0</v>
      </c>
      <c r="AV64">
        <f t="shared" si="13"/>
        <v>25000</v>
      </c>
    </row>
    <row r="65" spans="1:48" x14ac:dyDescent="0.25">
      <c r="A65">
        <f t="shared" si="32"/>
        <v>6.2999999999999936</v>
      </c>
      <c r="B65">
        <f t="shared" si="14"/>
        <v>0.1</v>
      </c>
      <c r="C65">
        <f>sim!C64+(sim!$G64*$B65*COS($E65))</f>
        <v>-501.45474788237141</v>
      </c>
      <c r="D65">
        <f>sim!D64+(sim!$G64*$B65*SIN($E65))</f>
        <v>371.01782668652487</v>
      </c>
      <c r="E65">
        <f t="shared" si="33"/>
        <v>2.4668517405771677</v>
      </c>
      <c r="F65">
        <f t="shared" si="0"/>
        <v>100.00019760760908</v>
      </c>
      <c r="G65">
        <v>100</v>
      </c>
      <c r="H65">
        <f t="shared" si="34"/>
        <v>-1.7244517027310386E-5</v>
      </c>
      <c r="I65">
        <f t="shared" si="1"/>
        <v>-9.8803804540636975E-4</v>
      </c>
      <c r="J65">
        <f t="shared" si="27"/>
        <v>0</v>
      </c>
      <c r="K65">
        <f t="shared" si="16"/>
        <v>0</v>
      </c>
      <c r="L65">
        <f t="shared" si="2"/>
        <v>0</v>
      </c>
      <c r="M65">
        <f t="shared" si="35"/>
        <v>-9.8803804540636975E-4</v>
      </c>
      <c r="N65">
        <f t="shared" si="3"/>
        <v>-498.67157404021719</v>
      </c>
      <c r="O65">
        <f t="shared" si="4"/>
        <v>380.62271832382868</v>
      </c>
      <c r="P65">
        <f t="shared" si="36"/>
        <v>-470.83983561867535</v>
      </c>
      <c r="Q65">
        <f t="shared" si="37"/>
        <v>476.67163469686682</v>
      </c>
      <c r="R65">
        <f t="shared" si="5"/>
        <v>0.96048916373038118</v>
      </c>
      <c r="S65">
        <f t="shared" si="6"/>
        <v>0.27831738421541857</v>
      </c>
      <c r="U65">
        <f t="shared" si="31"/>
        <v>1</v>
      </c>
      <c r="V65" cm="1">
        <f t="array" ref="V65:AA65">INDEX(surface!$A$2:$I$40,U65+1,COLUMN(surface!$B$1:$G$1))</f>
        <v>0</v>
      </c>
      <c r="W65">
        <v>100</v>
      </c>
      <c r="X65">
        <v>-500</v>
      </c>
      <c r="Y65">
        <v>500</v>
      </c>
      <c r="Z65">
        <v>500</v>
      </c>
      <c r="AA65">
        <v>-400</v>
      </c>
      <c r="AB65">
        <f t="shared" si="38"/>
        <v>-997.34314808043439</v>
      </c>
      <c r="AC65">
        <f t="shared" si="39"/>
        <v>661.24543664765736</v>
      </c>
      <c r="AD65">
        <f t="shared" si="7"/>
        <v>-591.57153555135801</v>
      </c>
      <c r="AE65">
        <f t="shared" si="8"/>
        <v>100.00019760760908</v>
      </c>
      <c r="AF65">
        <f t="shared" si="9"/>
        <v>0.94167956124208496</v>
      </c>
      <c r="AG65" t="b">
        <f t="shared" si="19"/>
        <v>1</v>
      </c>
      <c r="AH65">
        <f t="shared" si="10"/>
        <v>100.00019760760908</v>
      </c>
      <c r="AI65">
        <f t="shared" si="20"/>
        <v>2</v>
      </c>
      <c r="AJ65" cm="1">
        <f t="array" ref="AJ65:AO65">INDEX(surface!$A$2:$I$40,AI65+1,COLUMN(surface!$B$1:$G$1))</f>
        <v>-500</v>
      </c>
      <c r="AK65">
        <v>500</v>
      </c>
      <c r="AL65">
        <v>-500</v>
      </c>
      <c r="AM65">
        <v>1000</v>
      </c>
      <c r="AN65">
        <v>0</v>
      </c>
      <c r="AO65">
        <v>-500</v>
      </c>
      <c r="AP65">
        <f t="shared" si="21"/>
        <v>-497.34314808043439</v>
      </c>
      <c r="AQ65">
        <f t="shared" si="22"/>
        <v>261.24543664765736</v>
      </c>
      <c r="AR65">
        <f t="shared" si="23"/>
        <v>-139.1586921077093</v>
      </c>
      <c r="AS65">
        <f t="shared" si="11"/>
        <v>-4.7730613864730751</v>
      </c>
      <c r="AT65">
        <f t="shared" si="12"/>
        <v>-0.24792351083139719</v>
      </c>
      <c r="AU65" t="b">
        <f t="shared" si="24"/>
        <v>0</v>
      </c>
      <c r="AV65">
        <f t="shared" si="13"/>
        <v>25000</v>
      </c>
    </row>
    <row r="66" spans="1:48" x14ac:dyDescent="0.25">
      <c r="A66">
        <f t="shared" si="32"/>
        <v>6.3999999999999932</v>
      </c>
      <c r="B66">
        <f t="shared" si="14"/>
        <v>0.1</v>
      </c>
      <c r="C66">
        <f>sim!C65+(sim!$G65*$B66*COS($E66))</f>
        <v>-509.26342538670531</v>
      </c>
      <c r="D66">
        <f>sim!D65+(sim!$G65*$B66*SIN($E66))</f>
        <v>377.26479039966659</v>
      </c>
      <c r="E66">
        <f t="shared" si="33"/>
        <v>2.466850016125465</v>
      </c>
      <c r="F66">
        <f t="shared" ref="F66:F129" si="40">MIN(AH66,AV66)</f>
        <v>100.00010068649895</v>
      </c>
      <c r="G66">
        <v>100</v>
      </c>
      <c r="H66">
        <f t="shared" si="34"/>
        <v>-8.7865545952176896E-6</v>
      </c>
      <c r="I66">
        <f t="shared" ref="I66:I129" si="41">(Ksoll-F66)*Kp</f>
        <v>-5.0343249476725305E-4</v>
      </c>
      <c r="J66">
        <f t="shared" si="27"/>
        <v>0</v>
      </c>
      <c r="K66">
        <f t="shared" si="16"/>
        <v>0</v>
      </c>
      <c r="L66">
        <f t="shared" ref="L66:L129" si="42">IF(Dcap&lt;&gt;-1,MAX(MIN(K66,Dcap),-Dcap),K66)</f>
        <v>0</v>
      </c>
      <c r="M66">
        <f t="shared" si="35"/>
        <v>-5.0343249476725305E-4</v>
      </c>
      <c r="N66">
        <f t="shared" ref="N66:N129" si="43">C66+usFrontD*S66</f>
        <v>-506.48023498138355</v>
      </c>
      <c r="O66">
        <f t="shared" ref="O66:O129" si="44">D66+usFrontD*R66</f>
        <v>386.86967723750723</v>
      </c>
      <c r="P66">
        <f t="shared" si="36"/>
        <v>-478.64833092816571</v>
      </c>
      <c r="Q66">
        <f t="shared" si="37"/>
        <v>482.91854561591384</v>
      </c>
      <c r="R66">
        <f t="shared" ref="R66:R129" si="45">SIN(E66+usrot)</f>
        <v>0.96048868378406604</v>
      </c>
      <c r="S66">
        <f t="shared" ref="S66:S129" si="46">COS(E66+usrot)</f>
        <v>0.2783190405321786</v>
      </c>
      <c r="U66">
        <f t="shared" si="31"/>
        <v>1</v>
      </c>
      <c r="V66" cm="1">
        <f t="array" ref="V66:AA66">INDEX(surface!$A$2:$I$40,U66+1,COLUMN(surface!$B$1:$G$1))</f>
        <v>0</v>
      </c>
      <c r="W66">
        <v>100</v>
      </c>
      <c r="X66">
        <v>-500</v>
      </c>
      <c r="Y66">
        <v>500</v>
      </c>
      <c r="Z66">
        <v>500</v>
      </c>
      <c r="AA66">
        <v>-400</v>
      </c>
      <c r="AB66">
        <f t="shared" si="38"/>
        <v>-1012.9604699627671</v>
      </c>
      <c r="AC66">
        <f t="shared" si="39"/>
        <v>673.73935447501447</v>
      </c>
      <c r="AD66">
        <f t="shared" ref="AD66:AD129" si="47">AA66*$S66-Z66*$R66</f>
        <v>-591.57195810490452</v>
      </c>
      <c r="AE66">
        <f t="shared" ref="AE66:AE129" si="48">((($N66 - AB66) * AA66) - (($O66 - AC66) * Z66)) / AD66</f>
        <v>100.00010068649895</v>
      </c>
      <c r="AF66">
        <f t="shared" ref="AF66:AF129" si="49">((AB66 - $N66) * $R66 - (AC66 - $O66) * $S66) / AD66</f>
        <v>0.95729660581039167</v>
      </c>
      <c r="AG66" t="b">
        <f t="shared" si="19"/>
        <v>1</v>
      </c>
      <c r="AH66">
        <f t="shared" ref="AH66:AH129" si="50">IF(AG66,AE66,usNoTarget)</f>
        <v>100.00010068649895</v>
      </c>
      <c r="AI66">
        <f t="shared" si="20"/>
        <v>2</v>
      </c>
      <c r="AJ66" cm="1">
        <f t="array" ref="AJ66:AO66">INDEX(surface!$A$2:$I$40,AI66+1,COLUMN(surface!$B$1:$G$1))</f>
        <v>-500</v>
      </c>
      <c r="AK66">
        <v>500</v>
      </c>
      <c r="AL66">
        <v>-500</v>
      </c>
      <c r="AM66">
        <v>1000</v>
      </c>
      <c r="AN66">
        <v>0</v>
      </c>
      <c r="AO66">
        <v>-500</v>
      </c>
      <c r="AP66">
        <f t="shared" si="21"/>
        <v>-512.96046996276709</v>
      </c>
      <c r="AQ66">
        <f t="shared" si="22"/>
        <v>273.73935447501447</v>
      </c>
      <c r="AR66">
        <f t="shared" si="23"/>
        <v>-139.15952026608929</v>
      </c>
      <c r="AS66">
        <f t="shared" ref="AS66:AS129" si="51">((($N66 - AP66) * AO66) - (($O66 - AQ66) * AN66)) / AR66</f>
        <v>23.28347700894836</v>
      </c>
      <c r="AT66">
        <f t="shared" ref="AT66:AT129" si="52">((AP66 - $N66) * $R66 - (AQ66 - $O66) * $S66) / AR66</f>
        <v>-0.1815336131525028</v>
      </c>
      <c r="AU66" t="b">
        <f t="shared" si="24"/>
        <v>0</v>
      </c>
      <c r="AV66">
        <f t="shared" ref="AV66:AV129" si="53">IF(AU66,AS66,usNoTarget)</f>
        <v>25000</v>
      </c>
    </row>
    <row r="67" spans="1:48" x14ac:dyDescent="0.25">
      <c r="A67">
        <f t="shared" si="32"/>
        <v>6.4999999999999929</v>
      </c>
      <c r="B67">
        <f t="shared" ref="B67:B130" si="54">DT</f>
        <v>0.1</v>
      </c>
      <c r="C67">
        <f>sim!C66+(sim!$G66*$B67*COS($E67))</f>
        <v>-517.07209740210749</v>
      </c>
      <c r="D67">
        <f>sim!D66+(sim!$G66*$B67*SIN($E67))</f>
        <v>383.51176097394301</v>
      </c>
      <c r="E67">
        <f t="shared" si="33"/>
        <v>2.4668491374700054</v>
      </c>
      <c r="F67">
        <f t="shared" si="40"/>
        <v>100.00003279247811</v>
      </c>
      <c r="G67">
        <v>100</v>
      </c>
      <c r="H67">
        <f t="shared" si="34"/>
        <v>-2.861683564446273E-6</v>
      </c>
      <c r="I67">
        <f t="shared" si="41"/>
        <v>-1.6396239054472517E-4</v>
      </c>
      <c r="J67">
        <f t="shared" ref="J67:J130" si="55">J66+(Ksoll-F66)*B67*Ki</f>
        <v>0</v>
      </c>
      <c r="K67">
        <f t="shared" ref="K67:K130" si="56">((Ksoll-F67)-(Ksoll-F66))/B67*Kd</f>
        <v>0</v>
      </c>
      <c r="L67">
        <f t="shared" si="42"/>
        <v>0</v>
      </c>
      <c r="M67">
        <f t="shared" si="35"/>
        <v>-1.6396239054472517E-4</v>
      </c>
      <c r="N67">
        <f t="shared" si="43"/>
        <v>-514.28889855740056</v>
      </c>
      <c r="O67">
        <f t="shared" si="44"/>
        <v>393.11664536631451</v>
      </c>
      <c r="P67">
        <f t="shared" si="36"/>
        <v>-486.45691011033085</v>
      </c>
      <c r="Q67">
        <f t="shared" si="37"/>
        <v>489.1654892900296</v>
      </c>
      <c r="R67">
        <f t="shared" si="45"/>
        <v>0.96048843923715077</v>
      </c>
      <c r="S67">
        <f t="shared" si="46"/>
        <v>0.278319884470697</v>
      </c>
      <c r="U67">
        <f t="shared" si="31"/>
        <v>1</v>
      </c>
      <c r="V67" cm="1">
        <f t="array" ref="V67:AA67">INDEX(surface!$A$2:$I$40,U67+1,COLUMN(surface!$B$1:$G$1))</f>
        <v>0</v>
      </c>
      <c r="W67">
        <v>100</v>
      </c>
      <c r="X67">
        <v>-500</v>
      </c>
      <c r="Y67">
        <v>500</v>
      </c>
      <c r="Z67">
        <v>500</v>
      </c>
      <c r="AA67">
        <v>-400</v>
      </c>
      <c r="AB67">
        <f t="shared" si="38"/>
        <v>-1028.5777971148011</v>
      </c>
      <c r="AC67">
        <f t="shared" si="39"/>
        <v>686.23329073262903</v>
      </c>
      <c r="AD67">
        <f t="shared" si="47"/>
        <v>-591.57217340685418</v>
      </c>
      <c r="AE67">
        <f t="shared" si="48"/>
        <v>100.00003279247811</v>
      </c>
      <c r="AF67">
        <f t="shared" si="49"/>
        <v>0.97291380196706434</v>
      </c>
      <c r="AG67" t="b">
        <f t="shared" ref="AG67:AG130" si="57">IF(NOT(OR(ISERROR(AE67),ISERROR(AF67))),IF(AND(AF67&gt;=0,AF67&lt;=1,AE67&gt;=0),TRUE,FALSE),FALSE)</f>
        <v>1</v>
      </c>
      <c r="AH67">
        <f t="shared" si="50"/>
        <v>100.00003279247811</v>
      </c>
      <c r="AI67">
        <f t="shared" ref="AI67:AI130" si="58">U67+1</f>
        <v>2</v>
      </c>
      <c r="AJ67" cm="1">
        <f t="array" ref="AJ67:AO67">INDEX(surface!$A$2:$I$40,AI67+1,COLUMN(surface!$B$1:$G$1))</f>
        <v>-500</v>
      </c>
      <c r="AK67">
        <v>500</v>
      </c>
      <c r="AL67">
        <v>-500</v>
      </c>
      <c r="AM67">
        <v>1000</v>
      </c>
      <c r="AN67">
        <v>0</v>
      </c>
      <c r="AO67">
        <v>-500</v>
      </c>
      <c r="AP67">
        <f t="shared" ref="AP67:AP130" si="59">2*$N67-AJ67</f>
        <v>-528.57779711480111</v>
      </c>
      <c r="AQ67">
        <f t="shared" ref="AQ67:AQ130" si="60">2*$O67-AK67</f>
        <v>286.23329073262903</v>
      </c>
      <c r="AR67">
        <f t="shared" ref="AR67:AR130" si="61">AO67*$S67-AN67*$R67</f>
        <v>-139.1599422353485</v>
      </c>
      <c r="AS67">
        <f t="shared" si="51"/>
        <v>51.339840789941718</v>
      </c>
      <c r="AT67">
        <f t="shared" si="52"/>
        <v>-0.11514406216534112</v>
      </c>
      <c r="AU67" t="b">
        <f t="shared" ref="AU67:AU130" si="62">IF(NOT(OR(ISERROR(AS67),ISERROR(AT67))),IF(AND(AT67&gt;=0,AT67&lt;=1,AS67&gt;=0),TRUE,FALSE),FALSE)</f>
        <v>0</v>
      </c>
      <c r="AV67">
        <f t="shared" si="53"/>
        <v>25000</v>
      </c>
    </row>
    <row r="68" spans="1:48" x14ac:dyDescent="0.25">
      <c r="A68">
        <f t="shared" si="32"/>
        <v>6.5999999999999925</v>
      </c>
      <c r="B68">
        <f t="shared" si="54"/>
        <v>0.1</v>
      </c>
      <c r="C68">
        <f>sim!C67+(sim!$G67*$B68*COS($E68))</f>
        <v>-524.88076762982405</v>
      </c>
      <c r="D68">
        <f>sim!D67+(sim!$G67*$B68*SIN($E68))</f>
        <v>389.75873378281403</v>
      </c>
      <c r="E68">
        <f t="shared" si="33"/>
        <v>2.4668488513016489</v>
      </c>
      <c r="F68">
        <f t="shared" si="40"/>
        <v>99.999988796666216</v>
      </c>
      <c r="G68">
        <v>100</v>
      </c>
      <c r="H68">
        <f t="shared" si="34"/>
        <v>9.7767530867431549E-7</v>
      </c>
      <c r="I68">
        <f t="shared" si="41"/>
        <v>5.6016668921188284E-5</v>
      </c>
      <c r="J68">
        <f t="shared" si="55"/>
        <v>0</v>
      </c>
      <c r="K68">
        <f t="shared" si="56"/>
        <v>0</v>
      </c>
      <c r="L68">
        <f t="shared" si="42"/>
        <v>0</v>
      </c>
      <c r="M68">
        <f t="shared" si="35"/>
        <v>5.6016668921188284E-5</v>
      </c>
      <c r="N68">
        <f t="shared" si="43"/>
        <v>-522.09756603650317</v>
      </c>
      <c r="O68">
        <f t="shared" si="44"/>
        <v>399.3636173787217</v>
      </c>
      <c r="P68">
        <f t="shared" si="36"/>
        <v>-494.2655501032948</v>
      </c>
      <c r="Q68">
        <f t="shared" si="37"/>
        <v>495.41245333779847</v>
      </c>
      <c r="R68">
        <f t="shared" si="45"/>
        <v>0.9604883595907675</v>
      </c>
      <c r="S68">
        <f t="shared" si="46"/>
        <v>0.27832015933208376</v>
      </c>
      <c r="U68">
        <f t="shared" si="31"/>
        <v>1</v>
      </c>
      <c r="V68" cm="1">
        <f t="array" ref="V68:AA68">INDEX(surface!$A$2:$I$40,U68+1,COLUMN(surface!$B$1:$G$1))</f>
        <v>0</v>
      </c>
      <c r="W68">
        <v>100</v>
      </c>
      <c r="X68">
        <v>-500</v>
      </c>
      <c r="Y68">
        <v>500</v>
      </c>
      <c r="Z68">
        <v>500</v>
      </c>
      <c r="AA68">
        <v>-400</v>
      </c>
      <c r="AB68">
        <f t="shared" si="38"/>
        <v>-1044.1951320730063</v>
      </c>
      <c r="AC68">
        <f t="shared" si="39"/>
        <v>698.7272347574434</v>
      </c>
      <c r="AD68">
        <f t="shared" si="47"/>
        <v>-591.5722435282172</v>
      </c>
      <c r="AE68">
        <f t="shared" si="48"/>
        <v>99.999988796666216</v>
      </c>
      <c r="AF68">
        <f t="shared" si="49"/>
        <v>0.98853110644281694</v>
      </c>
      <c r="AG68" t="b">
        <f t="shared" si="57"/>
        <v>1</v>
      </c>
      <c r="AH68">
        <f t="shared" si="50"/>
        <v>99.999988796666216</v>
      </c>
      <c r="AI68">
        <f t="shared" si="58"/>
        <v>2</v>
      </c>
      <c r="AJ68" cm="1">
        <f t="array" ref="AJ68:AO68">INDEX(surface!$A$2:$I$40,AI68+1,COLUMN(surface!$B$1:$G$1))</f>
        <v>-500</v>
      </c>
      <c r="AK68">
        <v>500</v>
      </c>
      <c r="AL68">
        <v>-500</v>
      </c>
      <c r="AM68">
        <v>1000</v>
      </c>
      <c r="AN68">
        <v>0</v>
      </c>
      <c r="AO68">
        <v>-500</v>
      </c>
      <c r="AP68">
        <f t="shared" si="59"/>
        <v>-544.19513207300633</v>
      </c>
      <c r="AQ68">
        <f t="shared" si="60"/>
        <v>298.7272347574434</v>
      </c>
      <c r="AR68">
        <f t="shared" si="61"/>
        <v>-139.16007966604187</v>
      </c>
      <c r="AS68">
        <f t="shared" si="51"/>
        <v>79.39621078664652</v>
      </c>
      <c r="AT68">
        <f t="shared" si="52"/>
        <v>-4.8754492730178761E-2</v>
      </c>
      <c r="AU68" t="b">
        <f t="shared" si="62"/>
        <v>0</v>
      </c>
      <c r="AV68">
        <f t="shared" si="53"/>
        <v>25000</v>
      </c>
    </row>
    <row r="69" spans="1:48" x14ac:dyDescent="0.25">
      <c r="A69">
        <f t="shared" si="32"/>
        <v>6.6999999999999922</v>
      </c>
      <c r="B69">
        <f t="shared" si="54"/>
        <v>0.1</v>
      </c>
      <c r="C69">
        <f>sim!C68+(sim!$G68*$B69*COS($E69))</f>
        <v>-532.68943846829166</v>
      </c>
      <c r="D69">
        <f>sim!D68+(sim!$G68*$B69*SIN($E69))</f>
        <v>396.0057058282506</v>
      </c>
      <c r="E69">
        <f t="shared" si="33"/>
        <v>2.4668489490691798</v>
      </c>
      <c r="F69">
        <f t="shared" si="40"/>
        <v>107.45268318358498</v>
      </c>
      <c r="G69">
        <v>100</v>
      </c>
      <c r="H69">
        <f t="shared" si="34"/>
        <v>-0.65036929830785462</v>
      </c>
      <c r="I69">
        <f t="shared" si="41"/>
        <v>-37.263415917924902</v>
      </c>
      <c r="J69">
        <f t="shared" si="55"/>
        <v>0</v>
      </c>
      <c r="K69">
        <f t="shared" si="56"/>
        <v>0</v>
      </c>
      <c r="L69">
        <f t="shared" si="42"/>
        <v>0</v>
      </c>
      <c r="M69">
        <f t="shared" si="35"/>
        <v>-37.263415917924902</v>
      </c>
      <c r="N69">
        <f t="shared" si="43"/>
        <v>-529.90623781401655</v>
      </c>
      <c r="O69">
        <f t="shared" si="44"/>
        <v>405.61058969626498</v>
      </c>
      <c r="P69">
        <f t="shared" si="36"/>
        <v>-502.07423127126583</v>
      </c>
      <c r="Q69">
        <f t="shared" si="37"/>
        <v>501.65942837640875</v>
      </c>
      <c r="R69">
        <f t="shared" si="45"/>
        <v>0.96048838680143767</v>
      </c>
      <c r="S69">
        <f t="shared" si="46"/>
        <v>0.27832006542750698</v>
      </c>
      <c r="U69">
        <f t="shared" ref="U69:U132" si="63">IF(((AJ68-C68)^2+(AK68-D68)^2)&gt;((AL68-C68)^2+(AM68-D68)^2),U68+1,U68)</f>
        <v>1</v>
      </c>
      <c r="V69" cm="1">
        <f t="array" ref="V69:AA69">INDEX(surface!$A$2:$I$40,U69+1,COLUMN(surface!$B$1:$G$1))</f>
        <v>0</v>
      </c>
      <c r="W69">
        <v>100</v>
      </c>
      <c r="X69">
        <v>-500</v>
      </c>
      <c r="Y69">
        <v>500</v>
      </c>
      <c r="Z69">
        <v>500</v>
      </c>
      <c r="AA69">
        <v>-400</v>
      </c>
      <c r="AB69">
        <f t="shared" si="38"/>
        <v>-1059.8124756280331</v>
      </c>
      <c r="AC69">
        <f t="shared" si="39"/>
        <v>711.22117939252996</v>
      </c>
      <c r="AD69">
        <f t="shared" si="47"/>
        <v>-591.57221957172158</v>
      </c>
      <c r="AE69">
        <f t="shared" si="48"/>
        <v>99.999963352406837</v>
      </c>
      <c r="AF69">
        <f t="shared" si="49"/>
        <v>1.0041484829420528</v>
      </c>
      <c r="AG69" t="b">
        <f t="shared" si="57"/>
        <v>0</v>
      </c>
      <c r="AH69">
        <f t="shared" si="50"/>
        <v>25000</v>
      </c>
      <c r="AI69">
        <f t="shared" si="58"/>
        <v>2</v>
      </c>
      <c r="AJ69" cm="1">
        <f t="array" ref="AJ69:AO69">INDEX(surface!$A$2:$I$40,AI69+1,COLUMN(surface!$B$1:$G$1))</f>
        <v>-500</v>
      </c>
      <c r="AK69">
        <v>500</v>
      </c>
      <c r="AL69">
        <v>-500</v>
      </c>
      <c r="AM69">
        <v>1000</v>
      </c>
      <c r="AN69">
        <v>0</v>
      </c>
      <c r="AO69">
        <v>-500</v>
      </c>
      <c r="AP69">
        <f t="shared" si="59"/>
        <v>-559.8124756280331</v>
      </c>
      <c r="AQ69">
        <f t="shared" si="60"/>
        <v>311.22117939252996</v>
      </c>
      <c r="AR69">
        <f t="shared" si="61"/>
        <v>-139.16003271375348</v>
      </c>
      <c r="AS69">
        <f t="shared" si="51"/>
        <v>107.45268318358498</v>
      </c>
      <c r="AT69">
        <f t="shared" si="52"/>
        <v>1.7635288049504972E-2</v>
      </c>
      <c r="AU69" t="b">
        <f t="shared" si="62"/>
        <v>1</v>
      </c>
      <c r="AV69">
        <f t="shared" si="53"/>
        <v>107.45268318358498</v>
      </c>
    </row>
    <row r="70" spans="1:48" x14ac:dyDescent="0.25">
      <c r="A70">
        <f t="shared" si="32"/>
        <v>6.7999999999999918</v>
      </c>
      <c r="B70">
        <f t="shared" si="54"/>
        <v>0.1</v>
      </c>
      <c r="C70">
        <f>sim!C69+(sim!$G69*$B70*COS($E70))</f>
        <v>-540.07560303394621</v>
      </c>
      <c r="D70">
        <f>sim!D69+(sim!$G69*$B70*SIN($E70))</f>
        <v>402.74696483596347</v>
      </c>
      <c r="E70">
        <f t="shared" si="33"/>
        <v>2.4018120192383945</v>
      </c>
      <c r="F70">
        <f t="shared" si="40"/>
        <v>107.81576556627247</v>
      </c>
      <c r="G70">
        <v>100</v>
      </c>
      <c r="H70">
        <f t="shared" si="34"/>
        <v>-0.6820542134772688</v>
      </c>
      <c r="I70">
        <f t="shared" si="41"/>
        <v>-39.078827831362375</v>
      </c>
      <c r="J70">
        <f t="shared" si="55"/>
        <v>0</v>
      </c>
      <c r="K70">
        <f t="shared" si="56"/>
        <v>0</v>
      </c>
      <c r="L70">
        <f t="shared" si="42"/>
        <v>0</v>
      </c>
      <c r="M70">
        <f t="shared" si="35"/>
        <v>-39.078827831362375</v>
      </c>
      <c r="N70">
        <f t="shared" si="43"/>
        <v>-536.67405462136105</v>
      </c>
      <c r="O70">
        <f t="shared" si="44"/>
        <v>412.15065923746545</v>
      </c>
      <c r="P70">
        <f t="shared" si="36"/>
        <v>-502.6585704955092</v>
      </c>
      <c r="Q70">
        <f t="shared" si="37"/>
        <v>506.18760325248502</v>
      </c>
      <c r="R70">
        <f t="shared" si="45"/>
        <v>0.94036944015019552</v>
      </c>
      <c r="S70">
        <f t="shared" si="46"/>
        <v>0.34015484125851847</v>
      </c>
      <c r="U70">
        <f t="shared" si="63"/>
        <v>1</v>
      </c>
      <c r="V70" cm="1">
        <f t="array" ref="V70:AA70">INDEX(surface!$A$2:$I$40,U70+1,COLUMN(surface!$B$1:$G$1))</f>
        <v>0</v>
      </c>
      <c r="W70">
        <v>100</v>
      </c>
      <c r="X70">
        <v>-500</v>
      </c>
      <c r="Y70">
        <v>500</v>
      </c>
      <c r="Z70">
        <v>500</v>
      </c>
      <c r="AA70">
        <v>-400</v>
      </c>
      <c r="AB70">
        <f t="shared" si="38"/>
        <v>-1073.3481092427221</v>
      </c>
      <c r="AC70">
        <f t="shared" si="39"/>
        <v>724.30131847493089</v>
      </c>
      <c r="AD70">
        <f t="shared" si="47"/>
        <v>-606.24665657850517</v>
      </c>
      <c r="AE70">
        <f t="shared" si="48"/>
        <v>96.650911958017687</v>
      </c>
      <c r="AF70">
        <f t="shared" si="49"/>
        <v>1.0075955580135811</v>
      </c>
      <c r="AG70" t="b">
        <f t="shared" si="57"/>
        <v>0</v>
      </c>
      <c r="AH70">
        <f t="shared" si="50"/>
        <v>25000</v>
      </c>
      <c r="AI70">
        <f t="shared" si="58"/>
        <v>2</v>
      </c>
      <c r="AJ70" cm="1">
        <f t="array" ref="AJ70:AO70">INDEX(surface!$A$2:$I$40,AI70+1,COLUMN(surface!$B$1:$G$1))</f>
        <v>-500</v>
      </c>
      <c r="AK70">
        <v>500</v>
      </c>
      <c r="AL70">
        <v>-500</v>
      </c>
      <c r="AM70">
        <v>1000</v>
      </c>
      <c r="AN70">
        <v>0</v>
      </c>
      <c r="AO70">
        <v>-500</v>
      </c>
      <c r="AP70">
        <f t="shared" si="59"/>
        <v>-573.3481092427221</v>
      </c>
      <c r="AQ70">
        <f t="shared" si="60"/>
        <v>324.30131847493089</v>
      </c>
      <c r="AR70">
        <f t="shared" si="61"/>
        <v>-170.07742062925922</v>
      </c>
      <c r="AS70">
        <f t="shared" si="51"/>
        <v>107.81576556627247</v>
      </c>
      <c r="AT70">
        <f t="shared" si="52"/>
        <v>2.7074620684771629E-2</v>
      </c>
      <c r="AU70" t="b">
        <f t="shared" si="62"/>
        <v>1</v>
      </c>
      <c r="AV70">
        <f t="shared" si="53"/>
        <v>107.81576556627247</v>
      </c>
    </row>
    <row r="71" spans="1:48" x14ac:dyDescent="0.25">
      <c r="A71">
        <f t="shared" si="32"/>
        <v>6.8999999999999915</v>
      </c>
      <c r="B71">
        <f t="shared" si="54"/>
        <v>0.1</v>
      </c>
      <c r="C71">
        <f>sim!C70+(sim!$G70*$B71*COS($E71))</f>
        <v>-546.9851601109475</v>
      </c>
      <c r="D71">
        <f>sim!D70+(sim!$G70*$B71*SIN($E71))</f>
        <v>409.97593578622053</v>
      </c>
      <c r="E71">
        <f t="shared" si="33"/>
        <v>2.3336065978906677</v>
      </c>
      <c r="F71">
        <f t="shared" si="40"/>
        <v>106.45771635299002</v>
      </c>
      <c r="G71">
        <v>100</v>
      </c>
      <c r="H71">
        <f t="shared" si="34"/>
        <v>-0.56354206259778095</v>
      </c>
      <c r="I71">
        <f t="shared" si="41"/>
        <v>-32.288581764950095</v>
      </c>
      <c r="J71">
        <f t="shared" si="55"/>
        <v>0</v>
      </c>
      <c r="K71">
        <f t="shared" si="56"/>
        <v>0</v>
      </c>
      <c r="L71">
        <f t="shared" si="42"/>
        <v>0</v>
      </c>
      <c r="M71">
        <f t="shared" si="35"/>
        <v>-32.288581764950095</v>
      </c>
      <c r="N71">
        <f t="shared" si="43"/>
        <v>-542.95063482723572</v>
      </c>
      <c r="O71">
        <f t="shared" si="44"/>
        <v>419.1259415640925</v>
      </c>
      <c r="P71">
        <f t="shared" si="36"/>
        <v>-502.60538199011773</v>
      </c>
      <c r="Q71">
        <f t="shared" si="37"/>
        <v>510.62599934281207</v>
      </c>
      <c r="R71">
        <f t="shared" si="45"/>
        <v>0.9150005777871959</v>
      </c>
      <c r="S71">
        <f t="shared" si="46"/>
        <v>0.40345252837117979</v>
      </c>
      <c r="U71">
        <f t="shared" si="63"/>
        <v>1</v>
      </c>
      <c r="V71" cm="1">
        <f t="array" ref="V71:AA71">INDEX(surface!$A$2:$I$40,U71+1,COLUMN(surface!$B$1:$G$1))</f>
        <v>0</v>
      </c>
      <c r="W71">
        <v>100</v>
      </c>
      <c r="X71">
        <v>-500</v>
      </c>
      <c r="Y71">
        <v>500</v>
      </c>
      <c r="Z71">
        <v>500</v>
      </c>
      <c r="AA71">
        <v>-400</v>
      </c>
      <c r="AB71">
        <f t="shared" si="38"/>
        <v>-1085.9012696544714</v>
      </c>
      <c r="AC71">
        <f t="shared" si="39"/>
        <v>738.251883128185</v>
      </c>
      <c r="AD71">
        <f t="shared" si="47"/>
        <v>-618.88130024206987</v>
      </c>
      <c r="AE71">
        <f t="shared" si="48"/>
        <v>93.099085602217315</v>
      </c>
      <c r="AF71">
        <f t="shared" si="49"/>
        <v>1.0107791467039524</v>
      </c>
      <c r="AG71" t="b">
        <f t="shared" si="57"/>
        <v>0</v>
      </c>
      <c r="AH71">
        <f t="shared" si="50"/>
        <v>25000</v>
      </c>
      <c r="AI71">
        <f t="shared" si="58"/>
        <v>2</v>
      </c>
      <c r="AJ71" cm="1">
        <f t="array" ref="AJ71:AO71">INDEX(surface!$A$2:$I$40,AI71+1,COLUMN(surface!$B$1:$G$1))</f>
        <v>-500</v>
      </c>
      <c r="AK71">
        <v>500</v>
      </c>
      <c r="AL71">
        <v>-500</v>
      </c>
      <c r="AM71">
        <v>1000</v>
      </c>
      <c r="AN71">
        <v>0</v>
      </c>
      <c r="AO71">
        <v>-500</v>
      </c>
      <c r="AP71">
        <f t="shared" si="59"/>
        <v>-585.90126965447143</v>
      </c>
      <c r="AQ71">
        <f t="shared" si="60"/>
        <v>338.251883128185</v>
      </c>
      <c r="AR71">
        <f t="shared" si="61"/>
        <v>-201.72626418558988</v>
      </c>
      <c r="AS71">
        <f t="shared" si="51"/>
        <v>106.45771635299002</v>
      </c>
      <c r="AT71">
        <f t="shared" si="52"/>
        <v>3.3069627073967565E-2</v>
      </c>
      <c r="AU71" t="b">
        <f t="shared" si="62"/>
        <v>1</v>
      </c>
      <c r="AV71">
        <f t="shared" si="53"/>
        <v>106.45771635299002</v>
      </c>
    </row>
    <row r="72" spans="1:48" x14ac:dyDescent="0.25">
      <c r="A72">
        <f t="shared" si="32"/>
        <v>6.9999999999999911</v>
      </c>
      <c r="B72">
        <f t="shared" si="54"/>
        <v>0.1</v>
      </c>
      <c r="C72">
        <f>sim!C71+(sim!$G71*$B72*COS($E72))</f>
        <v>-553.47658109081533</v>
      </c>
      <c r="D72">
        <f>sim!D71+(sim!$G71*$B72*SIN($E72))</f>
        <v>417.58260744090182</v>
      </c>
      <c r="E72">
        <f t="shared" si="33"/>
        <v>2.2772523916308898</v>
      </c>
      <c r="F72">
        <f t="shared" si="40"/>
        <v>107.69937420163643</v>
      </c>
      <c r="G72">
        <v>100</v>
      </c>
      <c r="H72">
        <f t="shared" si="34"/>
        <v>-0.67189715080832746</v>
      </c>
      <c r="I72">
        <f t="shared" si="41"/>
        <v>-38.496871008182154</v>
      </c>
      <c r="J72">
        <f t="shared" si="55"/>
        <v>0</v>
      </c>
      <c r="K72">
        <f t="shared" si="56"/>
        <v>0</v>
      </c>
      <c r="L72">
        <f t="shared" si="42"/>
        <v>0</v>
      </c>
      <c r="M72">
        <f t="shared" si="35"/>
        <v>-38.496871008182154</v>
      </c>
      <c r="N72">
        <f t="shared" si="43"/>
        <v>-548.93309210002406</v>
      </c>
      <c r="O72">
        <f t="shared" si="44"/>
        <v>426.49084563880376</v>
      </c>
      <c r="P72">
        <f t="shared" si="36"/>
        <v>-503.49820219211171</v>
      </c>
      <c r="Q72">
        <f t="shared" si="37"/>
        <v>515.57322761782302</v>
      </c>
      <c r="R72">
        <f t="shared" si="45"/>
        <v>0.8908238197901921</v>
      </c>
      <c r="S72">
        <f t="shared" si="46"/>
        <v>0.4543488990791234</v>
      </c>
      <c r="U72">
        <f t="shared" si="63"/>
        <v>1</v>
      </c>
      <c r="V72" cm="1">
        <f t="array" ref="V72:AA72">INDEX(surface!$A$2:$I$40,U72+1,COLUMN(surface!$B$1:$G$1))</f>
        <v>0</v>
      </c>
      <c r="W72">
        <v>100</v>
      </c>
      <c r="X72">
        <v>-500</v>
      </c>
      <c r="Y72">
        <v>500</v>
      </c>
      <c r="Z72">
        <v>500</v>
      </c>
      <c r="AA72">
        <v>-400</v>
      </c>
      <c r="AB72">
        <f t="shared" si="38"/>
        <v>-1097.8661842000481</v>
      </c>
      <c r="AC72">
        <f t="shared" si="39"/>
        <v>752.98169127760752</v>
      </c>
      <c r="AD72">
        <f t="shared" si="47"/>
        <v>-627.15146952674547</v>
      </c>
      <c r="AE72">
        <f t="shared" si="48"/>
        <v>89.815326532062898</v>
      </c>
      <c r="AF72">
        <f t="shared" si="49"/>
        <v>1.0162511947394985</v>
      </c>
      <c r="AG72" t="b">
        <f t="shared" si="57"/>
        <v>0</v>
      </c>
      <c r="AH72">
        <f t="shared" si="50"/>
        <v>25000</v>
      </c>
      <c r="AI72">
        <f t="shared" si="58"/>
        <v>2</v>
      </c>
      <c r="AJ72" cm="1">
        <f t="array" ref="AJ72:AO72">INDEX(surface!$A$2:$I$40,AI72+1,COLUMN(surface!$B$1:$G$1))</f>
        <v>-500</v>
      </c>
      <c r="AK72">
        <v>500</v>
      </c>
      <c r="AL72">
        <v>-500</v>
      </c>
      <c r="AM72">
        <v>1000</v>
      </c>
      <c r="AN72">
        <v>0</v>
      </c>
      <c r="AO72">
        <v>-500</v>
      </c>
      <c r="AP72">
        <f t="shared" si="59"/>
        <v>-597.86618420004811</v>
      </c>
      <c r="AQ72">
        <f t="shared" si="60"/>
        <v>352.98169127760752</v>
      </c>
      <c r="AR72">
        <f t="shared" si="61"/>
        <v>-227.17444953956169</v>
      </c>
      <c r="AS72">
        <f t="shared" si="51"/>
        <v>107.69937420163643</v>
      </c>
      <c r="AT72">
        <f t="shared" si="52"/>
        <v>4.48640271082376E-2</v>
      </c>
      <c r="AU72" t="b">
        <f t="shared" si="62"/>
        <v>1</v>
      </c>
      <c r="AV72">
        <f t="shared" si="53"/>
        <v>107.69937420163643</v>
      </c>
    </row>
    <row r="73" spans="1:48" x14ac:dyDescent="0.25">
      <c r="A73">
        <f t="shared" si="32"/>
        <v>7.0999999999999908</v>
      </c>
      <c r="B73">
        <f t="shared" si="54"/>
        <v>0.1</v>
      </c>
      <c r="C73">
        <f>sim!C72+(sim!$G72*$B73*COS($E73))</f>
        <v>-559.44264932029523</v>
      </c>
      <c r="D73">
        <f>sim!D72+(sim!$G72*$B73*SIN($E73))</f>
        <v>425.60794418655865</v>
      </c>
      <c r="E73">
        <f t="shared" si="33"/>
        <v>2.2100626765500571</v>
      </c>
      <c r="F73">
        <f t="shared" si="40"/>
        <v>105.84260249017626</v>
      </c>
      <c r="G73">
        <v>100</v>
      </c>
      <c r="H73">
        <f t="shared" si="34"/>
        <v>-0.50986325169397706</v>
      </c>
      <c r="I73">
        <f t="shared" si="41"/>
        <v>-29.213012450881308</v>
      </c>
      <c r="J73">
        <f t="shared" si="55"/>
        <v>0</v>
      </c>
      <c r="K73">
        <f t="shared" si="56"/>
        <v>0</v>
      </c>
      <c r="L73">
        <f t="shared" si="42"/>
        <v>0</v>
      </c>
      <c r="M73">
        <f t="shared" si="35"/>
        <v>-29.213012450881308</v>
      </c>
      <c r="N73">
        <f t="shared" si="43"/>
        <v>-554.3113204272538</v>
      </c>
      <c r="O73">
        <f t="shared" si="44"/>
        <v>434.19103592505468</v>
      </c>
      <c r="P73">
        <f t="shared" si="36"/>
        <v>-502.9980314968397</v>
      </c>
      <c r="Q73">
        <f t="shared" si="37"/>
        <v>520.02195331001474</v>
      </c>
      <c r="R73">
        <f t="shared" si="45"/>
        <v>0.85830917384960081</v>
      </c>
      <c r="S73">
        <f t="shared" si="46"/>
        <v>0.51313288930414092</v>
      </c>
      <c r="U73">
        <f t="shared" si="63"/>
        <v>1</v>
      </c>
      <c r="V73" cm="1">
        <f t="array" ref="V73:AA73">INDEX(surface!$A$2:$I$40,U73+1,COLUMN(surface!$B$1:$G$1))</f>
        <v>0</v>
      </c>
      <c r="W73">
        <v>100</v>
      </c>
      <c r="X73">
        <v>-500</v>
      </c>
      <c r="Y73">
        <v>500</v>
      </c>
      <c r="Z73">
        <v>500</v>
      </c>
      <c r="AA73">
        <v>-400</v>
      </c>
      <c r="AB73">
        <f t="shared" si="38"/>
        <v>-1108.6226408545076</v>
      </c>
      <c r="AC73">
        <f t="shared" si="39"/>
        <v>768.38207185010936</v>
      </c>
      <c r="AD73">
        <f t="shared" si="47"/>
        <v>-634.40774264645677</v>
      </c>
      <c r="AE73">
        <f t="shared" si="48"/>
        <v>86.110251398394226</v>
      </c>
      <c r="AF73">
        <f t="shared" si="49"/>
        <v>1.0202506366569797</v>
      </c>
      <c r="AG73" t="b">
        <f t="shared" si="57"/>
        <v>0</v>
      </c>
      <c r="AH73">
        <f t="shared" si="50"/>
        <v>25000</v>
      </c>
      <c r="AI73">
        <f t="shared" si="58"/>
        <v>2</v>
      </c>
      <c r="AJ73" cm="1">
        <f t="array" ref="AJ73:AO73">INDEX(surface!$A$2:$I$40,AI73+1,COLUMN(surface!$B$1:$G$1))</f>
        <v>-500</v>
      </c>
      <c r="AK73">
        <v>500</v>
      </c>
      <c r="AL73">
        <v>-500</v>
      </c>
      <c r="AM73">
        <v>1000</v>
      </c>
      <c r="AN73">
        <v>0</v>
      </c>
      <c r="AO73">
        <v>-500</v>
      </c>
      <c r="AP73">
        <f t="shared" si="59"/>
        <v>-608.62264085450761</v>
      </c>
      <c r="AQ73">
        <f t="shared" si="60"/>
        <v>368.38207185010936</v>
      </c>
      <c r="AR73">
        <f t="shared" si="61"/>
        <v>-256.56644465207046</v>
      </c>
      <c r="AS73">
        <f t="shared" si="51"/>
        <v>105.84260249017626</v>
      </c>
      <c r="AT73">
        <f t="shared" si="52"/>
        <v>5.0073425252979108E-2</v>
      </c>
      <c r="AU73" t="b">
        <f t="shared" si="62"/>
        <v>1</v>
      </c>
      <c r="AV73">
        <f t="shared" si="53"/>
        <v>105.84260249017626</v>
      </c>
    </row>
    <row r="74" spans="1:48" x14ac:dyDescent="0.25">
      <c r="A74">
        <f t="shared" si="32"/>
        <v>7.1999999999999904</v>
      </c>
      <c r="B74">
        <f t="shared" si="54"/>
        <v>0.1</v>
      </c>
      <c r="C74">
        <f>sim!C73+(sim!$G73*$B74*COS($E74))</f>
        <v>-564.99195935162743</v>
      </c>
      <c r="D74">
        <f>sim!D73+(sim!$G73*$B74*SIN($E74))</f>
        <v>433.9269079547305</v>
      </c>
      <c r="E74">
        <f t="shared" si="33"/>
        <v>2.1590763513806595</v>
      </c>
      <c r="F74">
        <f t="shared" si="40"/>
        <v>106.84806181020133</v>
      </c>
      <c r="G74">
        <v>100</v>
      </c>
      <c r="H74">
        <f t="shared" si="34"/>
        <v>-0.597606129840481</v>
      </c>
      <c r="I74">
        <f t="shared" si="41"/>
        <v>-34.240309051006648</v>
      </c>
      <c r="J74">
        <f t="shared" si="55"/>
        <v>0</v>
      </c>
      <c r="K74">
        <f t="shared" si="56"/>
        <v>0</v>
      </c>
      <c r="L74">
        <f t="shared" si="42"/>
        <v>0</v>
      </c>
      <c r="M74">
        <f t="shared" si="35"/>
        <v>-34.240309051006648</v>
      </c>
      <c r="N74">
        <f t="shared" si="43"/>
        <v>-559.42986800455867</v>
      </c>
      <c r="O74">
        <f t="shared" si="44"/>
        <v>442.23733152076267</v>
      </c>
      <c r="P74">
        <f t="shared" si="36"/>
        <v>-503.80895453387126</v>
      </c>
      <c r="Q74">
        <f t="shared" si="37"/>
        <v>525.34156718108443</v>
      </c>
      <c r="R74">
        <f t="shared" si="45"/>
        <v>0.83104235660321824</v>
      </c>
      <c r="S74">
        <f t="shared" si="46"/>
        <v>0.55620913470687405</v>
      </c>
      <c r="U74">
        <f t="shared" si="63"/>
        <v>1</v>
      </c>
      <c r="V74" cm="1">
        <f t="array" ref="V74:AA74">INDEX(surface!$A$2:$I$40,U74+1,COLUMN(surface!$B$1:$G$1))</f>
        <v>0</v>
      </c>
      <c r="W74">
        <v>100</v>
      </c>
      <c r="X74">
        <v>-500</v>
      </c>
      <c r="Y74">
        <v>500</v>
      </c>
      <c r="Z74">
        <v>500</v>
      </c>
      <c r="AA74">
        <v>-400</v>
      </c>
      <c r="AB74">
        <f t="shared" si="38"/>
        <v>-1118.8597360091173</v>
      </c>
      <c r="AC74">
        <f t="shared" si="39"/>
        <v>784.47466304152533</v>
      </c>
      <c r="AD74">
        <f t="shared" si="47"/>
        <v>-638.00483218435875</v>
      </c>
      <c r="AE74">
        <f t="shared" si="48"/>
        <v>82.52802923321336</v>
      </c>
      <c r="AF74">
        <f t="shared" si="49"/>
        <v>1.0270540485513788</v>
      </c>
      <c r="AG74" t="b">
        <f t="shared" si="57"/>
        <v>0</v>
      </c>
      <c r="AH74">
        <f t="shared" si="50"/>
        <v>25000</v>
      </c>
      <c r="AI74">
        <f t="shared" si="58"/>
        <v>2</v>
      </c>
      <c r="AJ74" cm="1">
        <f t="array" ref="AJ74:AO74">INDEX(surface!$A$2:$I$40,AI74+1,COLUMN(surface!$B$1:$G$1))</f>
        <v>-500</v>
      </c>
      <c r="AK74">
        <v>500</v>
      </c>
      <c r="AL74">
        <v>-500</v>
      </c>
      <c r="AM74">
        <v>1000</v>
      </c>
      <c r="AN74">
        <v>0</v>
      </c>
      <c r="AO74">
        <v>-500</v>
      </c>
      <c r="AP74">
        <f t="shared" si="59"/>
        <v>-618.85973600911734</v>
      </c>
      <c r="AQ74">
        <f t="shared" si="60"/>
        <v>384.47466304152533</v>
      </c>
      <c r="AR74">
        <f t="shared" si="61"/>
        <v>-278.10456735343701</v>
      </c>
      <c r="AS74">
        <f t="shared" si="51"/>
        <v>106.84806181020133</v>
      </c>
      <c r="AT74">
        <f t="shared" si="52"/>
        <v>6.2065193211997403E-2</v>
      </c>
      <c r="AU74" t="b">
        <f t="shared" si="62"/>
        <v>1</v>
      </c>
      <c r="AV74">
        <f t="shared" si="53"/>
        <v>106.84806181020133</v>
      </c>
    </row>
    <row r="75" spans="1:48" x14ac:dyDescent="0.25">
      <c r="A75">
        <f t="shared" si="32"/>
        <v>7.2999999999999901</v>
      </c>
      <c r="B75">
        <f t="shared" si="54"/>
        <v>0.1</v>
      </c>
      <c r="C75">
        <f>sim!C74+(sim!$G74*$B75*COS($E75))</f>
        <v>-570.03451260595421</v>
      </c>
      <c r="D75">
        <f>sim!D74+(sim!$G74*$B75*SIN($E75))</f>
        <v>442.5624540681664</v>
      </c>
      <c r="E75">
        <f t="shared" si="33"/>
        <v>2.0993157383966112</v>
      </c>
      <c r="F75">
        <f t="shared" si="40"/>
        <v>105.78818074401394</v>
      </c>
      <c r="G75">
        <v>100</v>
      </c>
      <c r="H75">
        <f t="shared" si="34"/>
        <v>-0.50511405841789181</v>
      </c>
      <c r="I75">
        <f t="shared" si="41"/>
        <v>-28.940903720069713</v>
      </c>
      <c r="J75">
        <f t="shared" si="55"/>
        <v>0</v>
      </c>
      <c r="K75">
        <f t="shared" si="56"/>
        <v>0</v>
      </c>
      <c r="L75">
        <f t="shared" si="42"/>
        <v>0</v>
      </c>
      <c r="M75">
        <f t="shared" si="35"/>
        <v>-28.940903720069713</v>
      </c>
      <c r="N75">
        <f t="shared" si="43"/>
        <v>-563.98600988694284</v>
      </c>
      <c r="O75">
        <f t="shared" si="44"/>
        <v>450.52584623847378</v>
      </c>
      <c r="P75">
        <f t="shared" si="36"/>
        <v>-503.50098269682974</v>
      </c>
      <c r="Q75">
        <f t="shared" si="37"/>
        <v>530.15976794154744</v>
      </c>
      <c r="R75">
        <f t="shared" si="45"/>
        <v>0.79633921703073729</v>
      </c>
      <c r="S75">
        <f t="shared" si="46"/>
        <v>0.60485027190113116</v>
      </c>
      <c r="U75">
        <f t="shared" si="63"/>
        <v>1</v>
      </c>
      <c r="V75" cm="1">
        <f t="array" ref="V75:AA75">INDEX(surface!$A$2:$I$40,U75+1,COLUMN(surface!$B$1:$G$1))</f>
        <v>0</v>
      </c>
      <c r="W75">
        <v>100</v>
      </c>
      <c r="X75">
        <v>-500</v>
      </c>
      <c r="Y75">
        <v>500</v>
      </c>
      <c r="Z75">
        <v>500</v>
      </c>
      <c r="AA75">
        <v>-400</v>
      </c>
      <c r="AB75">
        <f t="shared" si="38"/>
        <v>-1127.9720197738857</v>
      </c>
      <c r="AC75">
        <f t="shared" si="39"/>
        <v>801.05169247694755</v>
      </c>
      <c r="AD75">
        <f t="shared" si="47"/>
        <v>-640.10971727582114</v>
      </c>
      <c r="AE75">
        <f t="shared" si="48"/>
        <v>78.629459102325399</v>
      </c>
      <c r="AF75">
        <f t="shared" si="49"/>
        <v>1.0328539203389249</v>
      </c>
      <c r="AG75" t="b">
        <f t="shared" si="57"/>
        <v>0</v>
      </c>
      <c r="AH75">
        <f t="shared" si="50"/>
        <v>25000</v>
      </c>
      <c r="AI75">
        <f t="shared" si="58"/>
        <v>2</v>
      </c>
      <c r="AJ75" cm="1">
        <f t="array" ref="AJ75:AO75">INDEX(surface!$A$2:$I$40,AI75+1,COLUMN(surface!$B$1:$G$1))</f>
        <v>-500</v>
      </c>
      <c r="AK75">
        <v>500</v>
      </c>
      <c r="AL75">
        <v>-500</v>
      </c>
      <c r="AM75">
        <v>1000</v>
      </c>
      <c r="AN75">
        <v>0</v>
      </c>
      <c r="AO75">
        <v>-500</v>
      </c>
      <c r="AP75">
        <f t="shared" si="59"/>
        <v>-627.97201977388568</v>
      </c>
      <c r="AQ75">
        <f t="shared" si="60"/>
        <v>401.05169247694755</v>
      </c>
      <c r="AR75">
        <f t="shared" si="61"/>
        <v>-302.42513595056556</v>
      </c>
      <c r="AS75">
        <f t="shared" si="51"/>
        <v>105.78818074401394</v>
      </c>
      <c r="AT75">
        <f t="shared" si="52"/>
        <v>6.9538246526535924E-2</v>
      </c>
      <c r="AU75" t="b">
        <f t="shared" si="62"/>
        <v>1</v>
      </c>
      <c r="AV75">
        <f t="shared" si="53"/>
        <v>105.78818074401394</v>
      </c>
    </row>
    <row r="76" spans="1:48" x14ac:dyDescent="0.25">
      <c r="A76">
        <f t="shared" si="32"/>
        <v>7.3999999999999897</v>
      </c>
      <c r="B76">
        <f t="shared" si="54"/>
        <v>0.1</v>
      </c>
      <c r="C76">
        <f>sim!C75+(sim!$G75*$B76*COS($E76))</f>
        <v>-574.63462632349206</v>
      </c>
      <c r="D76">
        <f>sim!D75+(sim!$G75*$B76*SIN($E76))</f>
        <v>451.44158430629898</v>
      </c>
      <c r="E76">
        <f t="shared" si="33"/>
        <v>2.048804332554822</v>
      </c>
      <c r="F76">
        <f t="shared" si="40"/>
        <v>105.84084308315187</v>
      </c>
      <c r="G76">
        <v>100</v>
      </c>
      <c r="H76">
        <f t="shared" si="34"/>
        <v>-0.50970971446668512</v>
      </c>
      <c r="I76">
        <f t="shared" si="41"/>
        <v>-29.204215415759336</v>
      </c>
      <c r="J76">
        <f t="shared" si="55"/>
        <v>0</v>
      </c>
      <c r="K76">
        <f t="shared" si="56"/>
        <v>0</v>
      </c>
      <c r="L76">
        <f t="shared" si="42"/>
        <v>0</v>
      </c>
      <c r="M76">
        <f t="shared" si="35"/>
        <v>-29.204215415759336</v>
      </c>
      <c r="N76">
        <f t="shared" si="43"/>
        <v>-568.19176693667646</v>
      </c>
      <c r="O76">
        <f t="shared" si="44"/>
        <v>459.08943125310185</v>
      </c>
      <c r="P76">
        <f t="shared" si="36"/>
        <v>-503.76317306852025</v>
      </c>
      <c r="Q76">
        <f t="shared" si="37"/>
        <v>535.5679007211304</v>
      </c>
      <c r="R76">
        <f t="shared" si="45"/>
        <v>0.76478469468028576</v>
      </c>
      <c r="S76">
        <f t="shared" si="46"/>
        <v>0.64428593868156248</v>
      </c>
      <c r="U76">
        <f t="shared" si="63"/>
        <v>1</v>
      </c>
      <c r="V76" cm="1">
        <f t="array" ref="V76:AA76">INDEX(surface!$A$2:$I$40,U76+1,COLUMN(surface!$B$1:$G$1))</f>
        <v>0</v>
      </c>
      <c r="W76">
        <v>100</v>
      </c>
      <c r="X76">
        <v>-500</v>
      </c>
      <c r="Y76">
        <v>500</v>
      </c>
      <c r="Z76">
        <v>500</v>
      </c>
      <c r="AA76">
        <v>-400</v>
      </c>
      <c r="AB76">
        <f t="shared" si="38"/>
        <v>-1136.3835338733529</v>
      </c>
      <c r="AC76">
        <f t="shared" si="39"/>
        <v>818.1788625062037</v>
      </c>
      <c r="AD76">
        <f t="shared" si="47"/>
        <v>-640.10672281276788</v>
      </c>
      <c r="AE76">
        <f t="shared" si="48"/>
        <v>74.56880149356175</v>
      </c>
      <c r="AF76">
        <f t="shared" si="49"/>
        <v>1.0402962733400758</v>
      </c>
      <c r="AG76" t="b">
        <f t="shared" si="57"/>
        <v>0</v>
      </c>
      <c r="AH76">
        <f t="shared" si="50"/>
        <v>25000</v>
      </c>
      <c r="AI76">
        <f t="shared" si="58"/>
        <v>2</v>
      </c>
      <c r="AJ76" cm="1">
        <f t="array" ref="AJ76:AO76">INDEX(surface!$A$2:$I$40,AI76+1,COLUMN(surface!$B$1:$G$1))</f>
        <v>-500</v>
      </c>
      <c r="AK76">
        <v>500</v>
      </c>
      <c r="AL76">
        <v>-500</v>
      </c>
      <c r="AM76">
        <v>1000</v>
      </c>
      <c r="AN76">
        <v>0</v>
      </c>
      <c r="AO76">
        <v>-500</v>
      </c>
      <c r="AP76">
        <f t="shared" si="59"/>
        <v>-636.38353387335292</v>
      </c>
      <c r="AQ76">
        <f t="shared" si="60"/>
        <v>418.1788625062037</v>
      </c>
      <c r="AR76">
        <f t="shared" si="61"/>
        <v>-322.14296934078124</v>
      </c>
      <c r="AS76">
        <f t="shared" si="51"/>
        <v>105.84084308315187</v>
      </c>
      <c r="AT76">
        <f t="shared" si="52"/>
        <v>8.0069776230308365E-2</v>
      </c>
      <c r="AU76" t="b">
        <f t="shared" si="62"/>
        <v>1</v>
      </c>
      <c r="AV76">
        <f t="shared" si="53"/>
        <v>105.84084308315187</v>
      </c>
    </row>
    <row r="77" spans="1:48" x14ac:dyDescent="0.25">
      <c r="A77">
        <f t="shared" si="32"/>
        <v>7.4999999999999893</v>
      </c>
      <c r="B77">
        <f t="shared" si="54"/>
        <v>0.1</v>
      </c>
      <c r="C77">
        <f>sim!C76+(sim!$G76*$B77*COS($E77))</f>
        <v>-578.77638374504852</v>
      </c>
      <c r="D77">
        <f>sim!D76+(sim!$G76*$B77*SIN($E77))</f>
        <v>460.54355362403356</v>
      </c>
      <c r="E77">
        <f t="shared" si="33"/>
        <v>1.9978333611081536</v>
      </c>
      <c r="F77">
        <f t="shared" si="40"/>
        <v>105.43779839346809</v>
      </c>
      <c r="G77">
        <v>100</v>
      </c>
      <c r="H77">
        <f t="shared" si="34"/>
        <v>-0.47453743012838101</v>
      </c>
      <c r="I77">
        <f t="shared" si="41"/>
        <v>-27.188991967340428</v>
      </c>
      <c r="J77">
        <f t="shared" si="55"/>
        <v>0</v>
      </c>
      <c r="K77">
        <f t="shared" si="56"/>
        <v>0</v>
      </c>
      <c r="L77">
        <f t="shared" si="42"/>
        <v>0</v>
      </c>
      <c r="M77">
        <f t="shared" si="35"/>
        <v>-27.188991967340428</v>
      </c>
      <c r="N77">
        <f t="shared" si="43"/>
        <v>-571.9522425329526</v>
      </c>
      <c r="O77">
        <f t="shared" si="44"/>
        <v>467.85321139422871</v>
      </c>
      <c r="P77">
        <f t="shared" si="36"/>
        <v>-503.71083041199347</v>
      </c>
      <c r="Q77">
        <f t="shared" si="37"/>
        <v>540.94978909617998</v>
      </c>
      <c r="R77">
        <f t="shared" si="45"/>
        <v>0.73096577701951337</v>
      </c>
      <c r="S77">
        <f t="shared" si="46"/>
        <v>0.68241412120959144</v>
      </c>
      <c r="U77">
        <f t="shared" si="63"/>
        <v>1</v>
      </c>
      <c r="V77" cm="1">
        <f t="array" ref="V77:AA77">INDEX(surface!$A$2:$I$40,U77+1,COLUMN(surface!$B$1:$G$1))</f>
        <v>0</v>
      </c>
      <c r="W77">
        <v>100</v>
      </c>
      <c r="X77">
        <v>-500</v>
      </c>
      <c r="Y77">
        <v>500</v>
      </c>
      <c r="Z77">
        <v>500</v>
      </c>
      <c r="AA77">
        <v>-400</v>
      </c>
      <c r="AB77">
        <f t="shared" si="38"/>
        <v>-1143.9044850659052</v>
      </c>
      <c r="AC77">
        <f t="shared" si="39"/>
        <v>835.70642278845742</v>
      </c>
      <c r="AD77">
        <f t="shared" si="47"/>
        <v>-638.44853699359328</v>
      </c>
      <c r="AE77">
        <f t="shared" si="48"/>
        <v>70.25513994797798</v>
      </c>
      <c r="AF77">
        <f t="shared" si="49"/>
        <v>1.0480182858897928</v>
      </c>
      <c r="AG77" t="b">
        <f t="shared" si="57"/>
        <v>0</v>
      </c>
      <c r="AH77">
        <f t="shared" si="50"/>
        <v>25000</v>
      </c>
      <c r="AI77">
        <f t="shared" si="58"/>
        <v>2</v>
      </c>
      <c r="AJ77" cm="1">
        <f t="array" ref="AJ77:AO77">INDEX(surface!$A$2:$I$40,AI77+1,COLUMN(surface!$B$1:$G$1))</f>
        <v>-500</v>
      </c>
      <c r="AK77">
        <v>500</v>
      </c>
      <c r="AL77">
        <v>-500</v>
      </c>
      <c r="AM77">
        <v>1000</v>
      </c>
      <c r="AN77">
        <v>0</v>
      </c>
      <c r="AO77">
        <v>-500</v>
      </c>
      <c r="AP77">
        <f t="shared" si="59"/>
        <v>-643.90448506590519</v>
      </c>
      <c r="AQ77">
        <f t="shared" si="60"/>
        <v>435.70642278845742</v>
      </c>
      <c r="AR77">
        <f t="shared" si="61"/>
        <v>-341.20706060479574</v>
      </c>
      <c r="AS77">
        <f t="shared" si="51"/>
        <v>105.43779839346809</v>
      </c>
      <c r="AT77">
        <f t="shared" si="52"/>
        <v>8.9849267248273815E-2</v>
      </c>
      <c r="AU77" t="b">
        <f t="shared" si="62"/>
        <v>1</v>
      </c>
      <c r="AV77">
        <f t="shared" si="53"/>
        <v>105.43779839346809</v>
      </c>
    </row>
    <row r="78" spans="1:48" x14ac:dyDescent="0.25">
      <c r="A78">
        <f t="shared" si="32"/>
        <v>7.599999999999989</v>
      </c>
      <c r="B78">
        <f t="shared" si="54"/>
        <v>0.1</v>
      </c>
      <c r="C78">
        <f>sim!C77+(sim!$G77*$B78*COS($E78))</f>
        <v>-582.48171829091939</v>
      </c>
      <c r="D78">
        <f>sim!D77+(sim!$G77*$B78*SIN($E78))</f>
        <v>469.83174483132336</v>
      </c>
      <c r="E78">
        <f t="shared" si="33"/>
        <v>1.9503796180953155</v>
      </c>
      <c r="F78">
        <f t="shared" si="40"/>
        <v>105.14647476009725</v>
      </c>
      <c r="G78">
        <v>100</v>
      </c>
      <c r="H78">
        <f t="shared" si="34"/>
        <v>-0.4491146471724114</v>
      </c>
      <c r="I78">
        <f t="shared" si="41"/>
        <v>-25.732373800486243</v>
      </c>
      <c r="J78">
        <f t="shared" si="55"/>
        <v>0</v>
      </c>
      <c r="K78">
        <f t="shared" si="56"/>
        <v>0</v>
      </c>
      <c r="L78">
        <f t="shared" si="42"/>
        <v>0</v>
      </c>
      <c r="M78">
        <f t="shared" si="35"/>
        <v>-25.732373800486243</v>
      </c>
      <c r="N78">
        <f t="shared" si="43"/>
        <v>-575.31851868252784</v>
      </c>
      <c r="O78">
        <f t="shared" si="44"/>
        <v>476.8094644710294</v>
      </c>
      <c r="P78">
        <f t="shared" si="36"/>
        <v>-503.68652259861256</v>
      </c>
      <c r="Q78">
        <f t="shared" si="37"/>
        <v>546.58666086808989</v>
      </c>
      <c r="R78">
        <f t="shared" si="45"/>
        <v>0.69777196397060448</v>
      </c>
      <c r="S78">
        <f t="shared" si="46"/>
        <v>0.71631996083915284</v>
      </c>
      <c r="U78">
        <f t="shared" si="63"/>
        <v>1</v>
      </c>
      <c r="V78" cm="1">
        <f t="array" ref="V78:AA78">INDEX(surface!$A$2:$I$40,U78+1,COLUMN(surface!$B$1:$G$1))</f>
        <v>0</v>
      </c>
      <c r="W78">
        <v>100</v>
      </c>
      <c r="X78">
        <v>-500</v>
      </c>
      <c r="Y78">
        <v>500</v>
      </c>
      <c r="Z78">
        <v>500</v>
      </c>
      <c r="AA78">
        <v>-400</v>
      </c>
      <c r="AB78">
        <f t="shared" si="38"/>
        <v>-1150.6370373650557</v>
      </c>
      <c r="AC78">
        <f t="shared" si="39"/>
        <v>853.6189289420588</v>
      </c>
      <c r="AD78">
        <f t="shared" si="47"/>
        <v>-635.41396632096337</v>
      </c>
      <c r="AE78">
        <f t="shared" si="48"/>
        <v>65.662194174091042</v>
      </c>
      <c r="AF78">
        <f t="shared" si="49"/>
        <v>1.0565667566462602</v>
      </c>
      <c r="AG78" t="b">
        <f t="shared" si="57"/>
        <v>0</v>
      </c>
      <c r="AH78">
        <f t="shared" si="50"/>
        <v>25000</v>
      </c>
      <c r="AI78">
        <f t="shared" si="58"/>
        <v>2</v>
      </c>
      <c r="AJ78" cm="1">
        <f t="array" ref="AJ78:AO78">INDEX(surface!$A$2:$I$40,AI78+1,COLUMN(surface!$B$1:$G$1))</f>
        <v>-500</v>
      </c>
      <c r="AK78">
        <v>500</v>
      </c>
      <c r="AL78">
        <v>-500</v>
      </c>
      <c r="AM78">
        <v>1000</v>
      </c>
      <c r="AN78">
        <v>0</v>
      </c>
      <c r="AO78">
        <v>-500</v>
      </c>
      <c r="AP78">
        <f t="shared" si="59"/>
        <v>-650.63703736505568</v>
      </c>
      <c r="AQ78">
        <f t="shared" si="60"/>
        <v>453.6189289420588</v>
      </c>
      <c r="AR78">
        <f t="shared" si="61"/>
        <v>-358.15998041957641</v>
      </c>
      <c r="AS78">
        <f t="shared" si="51"/>
        <v>105.14647476009725</v>
      </c>
      <c r="AT78">
        <f t="shared" si="52"/>
        <v>0.10035545333793611</v>
      </c>
      <c r="AU78" t="b">
        <f t="shared" si="62"/>
        <v>1</v>
      </c>
      <c r="AV78">
        <f t="shared" si="53"/>
        <v>105.14647476009725</v>
      </c>
    </row>
    <row r="79" spans="1:48" x14ac:dyDescent="0.25">
      <c r="A79">
        <f t="shared" si="32"/>
        <v>7.6999999999999886</v>
      </c>
      <c r="B79">
        <f t="shared" si="54"/>
        <v>0.1</v>
      </c>
      <c r="C79">
        <f>sim!C78+(sim!$G78*$B79*COS($E79))</f>
        <v>-585.7663105090935</v>
      </c>
      <c r="D79">
        <f>sim!D78+(sim!$G78*$B79*SIN($E79))</f>
        <v>479.27692635209416</v>
      </c>
      <c r="E79">
        <f t="shared" si="33"/>
        <v>1.9054681533780744</v>
      </c>
      <c r="F79">
        <f t="shared" si="40"/>
        <v>104.82585345117552</v>
      </c>
      <c r="G79">
        <v>100</v>
      </c>
      <c r="H79">
        <f t="shared" si="34"/>
        <v>-0.42113515970872106</v>
      </c>
      <c r="I79">
        <f t="shared" si="41"/>
        <v>-24.129267255877593</v>
      </c>
      <c r="J79">
        <f t="shared" si="55"/>
        <v>0</v>
      </c>
      <c r="K79">
        <f t="shared" si="56"/>
        <v>0</v>
      </c>
      <c r="L79">
        <f t="shared" si="42"/>
        <v>0</v>
      </c>
      <c r="M79">
        <f t="shared" si="35"/>
        <v>-24.129267255877593</v>
      </c>
      <c r="N79">
        <f t="shared" si="43"/>
        <v>-578.29705964517007</v>
      </c>
      <c r="O79">
        <f t="shared" si="44"/>
        <v>485.92600835879097</v>
      </c>
      <c r="P79">
        <f t="shared" si="36"/>
        <v>-503.60455100593606</v>
      </c>
      <c r="Q79">
        <f t="shared" si="37"/>
        <v>552.41682842575926</v>
      </c>
      <c r="R79">
        <f t="shared" si="45"/>
        <v>0.66490820066968281</v>
      </c>
      <c r="S79">
        <f t="shared" si="46"/>
        <v>0.74692508639234023</v>
      </c>
      <c r="U79">
        <f t="shared" si="63"/>
        <v>1</v>
      </c>
      <c r="V79" cm="1">
        <f t="array" ref="V79:AA79">INDEX(surface!$A$2:$I$40,U79+1,COLUMN(surface!$B$1:$G$1))</f>
        <v>0</v>
      </c>
      <c r="W79">
        <v>100</v>
      </c>
      <c r="X79">
        <v>-500</v>
      </c>
      <c r="Y79">
        <v>500</v>
      </c>
      <c r="Z79">
        <v>500</v>
      </c>
      <c r="AA79">
        <v>-400</v>
      </c>
      <c r="AB79">
        <f t="shared" si="38"/>
        <v>-1156.5941192903401</v>
      </c>
      <c r="AC79">
        <f t="shared" si="39"/>
        <v>871.85201671758193</v>
      </c>
      <c r="AD79">
        <f t="shared" si="47"/>
        <v>-631.22413489177757</v>
      </c>
      <c r="AE79">
        <f t="shared" si="48"/>
        <v>60.764184318219407</v>
      </c>
      <c r="AF79">
        <f t="shared" si="49"/>
        <v>1.065821532047448</v>
      </c>
      <c r="AG79" t="b">
        <f t="shared" si="57"/>
        <v>0</v>
      </c>
      <c r="AH79">
        <f t="shared" si="50"/>
        <v>25000</v>
      </c>
      <c r="AI79">
        <f t="shared" si="58"/>
        <v>2</v>
      </c>
      <c r="AJ79" cm="1">
        <f t="array" ref="AJ79:AO79">INDEX(surface!$A$2:$I$40,AI79+1,COLUMN(surface!$B$1:$G$1))</f>
        <v>-500</v>
      </c>
      <c r="AK79">
        <v>500</v>
      </c>
      <c r="AL79">
        <v>-500</v>
      </c>
      <c r="AM79">
        <v>1000</v>
      </c>
      <c r="AN79">
        <v>0</v>
      </c>
      <c r="AO79">
        <v>-500</v>
      </c>
      <c r="AP79">
        <f t="shared" si="59"/>
        <v>-656.59411929034013</v>
      </c>
      <c r="AQ79">
        <f t="shared" si="60"/>
        <v>471.85201671758193</v>
      </c>
      <c r="AR79">
        <f t="shared" si="61"/>
        <v>-373.46254319617009</v>
      </c>
      <c r="AS79">
        <f t="shared" si="51"/>
        <v>104.82585345117552</v>
      </c>
      <c r="AT79">
        <f t="shared" si="52"/>
        <v>0.11125115592135187</v>
      </c>
      <c r="AU79" t="b">
        <f t="shared" si="62"/>
        <v>1</v>
      </c>
      <c r="AV79">
        <f t="shared" si="53"/>
        <v>104.82585345117552</v>
      </c>
    </row>
    <row r="80" spans="1:48" x14ac:dyDescent="0.25">
      <c r="A80">
        <f t="shared" si="32"/>
        <v>7.7999999999999883</v>
      </c>
      <c r="B80">
        <f t="shared" si="54"/>
        <v>0.1</v>
      </c>
      <c r="C80">
        <f>sim!C79+(sim!$G79*$B80*COS($E80))</f>
        <v>-588.65033823044496</v>
      </c>
      <c r="D80">
        <f>sim!D79+(sim!$G79*$B80*SIN($E80))</f>
        <v>488.85201821079067</v>
      </c>
      <c r="E80">
        <f t="shared" si="33"/>
        <v>1.8633546374072023</v>
      </c>
      <c r="F80">
        <f t="shared" si="40"/>
        <v>104.49742468605723</v>
      </c>
      <c r="G80">
        <v>100</v>
      </c>
      <c r="H80">
        <f t="shared" si="34"/>
        <v>-0.39247434316085483</v>
      </c>
      <c r="I80">
        <f t="shared" si="41"/>
        <v>-22.487123430286147</v>
      </c>
      <c r="J80">
        <f t="shared" si="55"/>
        <v>0</v>
      </c>
      <c r="K80">
        <f t="shared" si="56"/>
        <v>0</v>
      </c>
      <c r="L80">
        <f t="shared" si="42"/>
        <v>0</v>
      </c>
      <c r="M80">
        <f t="shared" si="35"/>
        <v>-22.487123430286147</v>
      </c>
      <c r="N80">
        <f t="shared" si="43"/>
        <v>-580.90777646772256</v>
      </c>
      <c r="O80">
        <f t="shared" si="44"/>
        <v>495.18074141143944</v>
      </c>
      <c r="P80">
        <f t="shared" si="36"/>
        <v>-503.48215884049904</v>
      </c>
      <c r="Q80">
        <f t="shared" si="37"/>
        <v>558.46797341792694</v>
      </c>
      <c r="R80">
        <f t="shared" si="45"/>
        <v>0.63287232006487493</v>
      </c>
      <c r="S80">
        <f t="shared" si="46"/>
        <v>0.7742561762722352</v>
      </c>
      <c r="U80">
        <f t="shared" si="63"/>
        <v>1</v>
      </c>
      <c r="V80" cm="1">
        <f t="array" ref="V80:AA80">INDEX(surface!$A$2:$I$40,U80+1,COLUMN(surface!$B$1:$G$1))</f>
        <v>0</v>
      </c>
      <c r="W80">
        <v>100</v>
      </c>
      <c r="X80">
        <v>-500</v>
      </c>
      <c r="Y80">
        <v>500</v>
      </c>
      <c r="Z80">
        <v>500</v>
      </c>
      <c r="AA80">
        <v>-400</v>
      </c>
      <c r="AB80">
        <f t="shared" si="38"/>
        <v>-1161.8155529354451</v>
      </c>
      <c r="AC80">
        <f t="shared" si="39"/>
        <v>890.36148282287888</v>
      </c>
      <c r="AD80">
        <f t="shared" si="47"/>
        <v>-626.13863054133151</v>
      </c>
      <c r="AE80">
        <f t="shared" si="48"/>
        <v>55.535209273553932</v>
      </c>
      <c r="AF80">
        <f t="shared" si="49"/>
        <v>1.0758185953742048</v>
      </c>
      <c r="AG80" t="b">
        <f t="shared" si="57"/>
        <v>0</v>
      </c>
      <c r="AH80">
        <f t="shared" si="50"/>
        <v>25000</v>
      </c>
      <c r="AI80">
        <f t="shared" si="58"/>
        <v>2</v>
      </c>
      <c r="AJ80" cm="1">
        <f t="array" ref="AJ80:AO80">INDEX(surface!$A$2:$I$40,AI80+1,COLUMN(surface!$B$1:$G$1))</f>
        <v>-500</v>
      </c>
      <c r="AK80">
        <v>500</v>
      </c>
      <c r="AL80">
        <v>-500</v>
      </c>
      <c r="AM80">
        <v>1000</v>
      </c>
      <c r="AN80">
        <v>0</v>
      </c>
      <c r="AO80">
        <v>-500</v>
      </c>
      <c r="AP80">
        <f t="shared" si="59"/>
        <v>-661.81555293544511</v>
      </c>
      <c r="AQ80">
        <f t="shared" si="60"/>
        <v>490.36148282287888</v>
      </c>
      <c r="AR80">
        <f t="shared" si="61"/>
        <v>-387.12808813611758</v>
      </c>
      <c r="AS80">
        <f t="shared" si="51"/>
        <v>104.49742468605723</v>
      </c>
      <c r="AT80">
        <f t="shared" si="52"/>
        <v>0.12262853802661805</v>
      </c>
      <c r="AU80" t="b">
        <f t="shared" si="62"/>
        <v>1</v>
      </c>
      <c r="AV80">
        <f t="shared" si="53"/>
        <v>104.49742468605723</v>
      </c>
    </row>
    <row r="81" spans="1:48" x14ac:dyDescent="0.25">
      <c r="A81">
        <f t="shared" si="32"/>
        <v>7.8999999999999879</v>
      </c>
      <c r="B81">
        <f t="shared" si="54"/>
        <v>0.1</v>
      </c>
      <c r="C81">
        <f>sim!C80+(sim!$G80*$B81*COS($E81))</f>
        <v>-591.15644369600591</v>
      </c>
      <c r="D81">
        <f>sim!D80+(sim!$G80*$B81*SIN($E81))</f>
        <v>498.53289809825367</v>
      </c>
      <c r="E81">
        <f t="shared" si="33"/>
        <v>1.8241072030911167</v>
      </c>
      <c r="F81">
        <f t="shared" si="40"/>
        <v>104.16072270529425</v>
      </c>
      <c r="G81">
        <v>100</v>
      </c>
      <c r="H81">
        <f t="shared" si="34"/>
        <v>-0.36309155234935164</v>
      </c>
      <c r="I81">
        <f t="shared" si="41"/>
        <v>-20.803613526471239</v>
      </c>
      <c r="J81">
        <f t="shared" si="55"/>
        <v>0</v>
      </c>
      <c r="K81">
        <f t="shared" si="56"/>
        <v>0</v>
      </c>
      <c r="L81">
        <f t="shared" si="42"/>
        <v>0</v>
      </c>
      <c r="M81">
        <f t="shared" si="35"/>
        <v>-20.803613526471239</v>
      </c>
      <c r="N81">
        <f t="shared" si="43"/>
        <v>-583.17152195270842</v>
      </c>
      <c r="O81">
        <f t="shared" si="44"/>
        <v>504.55294998784854</v>
      </c>
      <c r="P81">
        <f t="shared" si="36"/>
        <v>-503.32230451973356</v>
      </c>
      <c r="Q81">
        <f t="shared" si="37"/>
        <v>564.7534688837975</v>
      </c>
      <c r="R81">
        <f t="shared" si="45"/>
        <v>0.60200518895948929</v>
      </c>
      <c r="S81">
        <f t="shared" si="46"/>
        <v>0.79849217432974851</v>
      </c>
      <c r="U81">
        <f t="shared" si="63"/>
        <v>1</v>
      </c>
      <c r="V81" cm="1">
        <f t="array" ref="V81:AA81">INDEX(surface!$A$2:$I$40,U81+1,COLUMN(surface!$B$1:$G$1))</f>
        <v>0</v>
      </c>
      <c r="W81">
        <v>100</v>
      </c>
      <c r="X81">
        <v>-500</v>
      </c>
      <c r="Y81">
        <v>500</v>
      </c>
      <c r="Z81">
        <v>500</v>
      </c>
      <c r="AA81">
        <v>-400</v>
      </c>
      <c r="AB81">
        <f t="shared" si="38"/>
        <v>-1166.3430439054168</v>
      </c>
      <c r="AC81">
        <f t="shared" si="39"/>
        <v>909.10589997569707</v>
      </c>
      <c r="AD81">
        <f t="shared" si="47"/>
        <v>-620.39946421164404</v>
      </c>
      <c r="AE81">
        <f t="shared" si="48"/>
        <v>49.95512661594821</v>
      </c>
      <c r="AF81">
        <f t="shared" si="49"/>
        <v>1.086565488564444</v>
      </c>
      <c r="AG81" t="b">
        <f t="shared" si="57"/>
        <v>0</v>
      </c>
      <c r="AH81">
        <f t="shared" si="50"/>
        <v>25000</v>
      </c>
      <c r="AI81">
        <f t="shared" si="58"/>
        <v>2</v>
      </c>
      <c r="AJ81" cm="1">
        <f t="array" ref="AJ81:AO81">INDEX(surface!$A$2:$I$40,AI81+1,COLUMN(surface!$B$1:$G$1))</f>
        <v>-500</v>
      </c>
      <c r="AK81">
        <v>500</v>
      </c>
      <c r="AL81">
        <v>-500</v>
      </c>
      <c r="AM81">
        <v>1000</v>
      </c>
      <c r="AN81">
        <v>0</v>
      </c>
      <c r="AO81">
        <v>-500</v>
      </c>
      <c r="AP81">
        <f t="shared" si="59"/>
        <v>-666.34304390541683</v>
      </c>
      <c r="AQ81">
        <f t="shared" si="60"/>
        <v>509.10589997569707</v>
      </c>
      <c r="AR81">
        <f t="shared" si="61"/>
        <v>-399.24608716487427</v>
      </c>
      <c r="AS81">
        <f t="shared" si="51"/>
        <v>104.16072270529425</v>
      </c>
      <c r="AT81">
        <f t="shared" si="52"/>
        <v>0.13451649108441233</v>
      </c>
      <c r="AU81" t="b">
        <f t="shared" si="62"/>
        <v>1</v>
      </c>
      <c r="AV81">
        <f t="shared" si="53"/>
        <v>104.16072270529425</v>
      </c>
    </row>
    <row r="82" spans="1:48" x14ac:dyDescent="0.25">
      <c r="A82">
        <f t="shared" si="32"/>
        <v>7.9999999999999876</v>
      </c>
      <c r="B82">
        <f t="shared" si="54"/>
        <v>0.1</v>
      </c>
      <c r="C82">
        <f>sim!C81+(sim!$G81*$B82*COS($E82))</f>
        <v>-593.30947003390634</v>
      </c>
      <c r="D82">
        <f>sim!D81+(sim!$G81*$B82*SIN($E82))</f>
        <v>508.29837184960371</v>
      </c>
      <c r="E82">
        <f t="shared" si="33"/>
        <v>1.7877980478561817</v>
      </c>
      <c r="F82">
        <f t="shared" si="40"/>
        <v>103.81710671567316</v>
      </c>
      <c r="G82">
        <v>100</v>
      </c>
      <c r="H82">
        <f t="shared" si="34"/>
        <v>-0.3331054004424186</v>
      </c>
      <c r="I82">
        <f t="shared" si="41"/>
        <v>-19.085533578365812</v>
      </c>
      <c r="J82">
        <f t="shared" si="55"/>
        <v>0</v>
      </c>
      <c r="K82">
        <f t="shared" si="56"/>
        <v>0</v>
      </c>
      <c r="L82">
        <f t="shared" si="42"/>
        <v>0</v>
      </c>
      <c r="M82">
        <f t="shared" si="35"/>
        <v>-19.085533578365812</v>
      </c>
      <c r="N82">
        <f t="shared" si="43"/>
        <v>-585.11127621871799</v>
      </c>
      <c r="O82">
        <f t="shared" si="44"/>
        <v>514.02459382998552</v>
      </c>
      <c r="P82">
        <f t="shared" si="36"/>
        <v>-503.12933806683452</v>
      </c>
      <c r="Q82">
        <f t="shared" si="37"/>
        <v>571.28681363380349</v>
      </c>
      <c r="R82">
        <f t="shared" si="45"/>
        <v>0.57262219803817938</v>
      </c>
      <c r="S82">
        <f t="shared" si="46"/>
        <v>0.81981938151883438</v>
      </c>
      <c r="U82">
        <f t="shared" si="63"/>
        <v>1</v>
      </c>
      <c r="V82" cm="1">
        <f t="array" ref="V82:AA82">INDEX(surface!$A$2:$I$40,U82+1,COLUMN(surface!$B$1:$G$1))</f>
        <v>0</v>
      </c>
      <c r="W82">
        <v>100</v>
      </c>
      <c r="X82">
        <v>-500</v>
      </c>
      <c r="Y82">
        <v>500</v>
      </c>
      <c r="Z82">
        <v>500</v>
      </c>
      <c r="AA82">
        <v>-400</v>
      </c>
      <c r="AB82">
        <f t="shared" si="38"/>
        <v>-1170.222552437436</v>
      </c>
      <c r="AC82">
        <f t="shared" si="39"/>
        <v>928.04918765997104</v>
      </c>
      <c r="AD82">
        <f t="shared" si="47"/>
        <v>-614.2388516266235</v>
      </c>
      <c r="AE82">
        <f t="shared" si="48"/>
        <v>44.009286454134063</v>
      </c>
      <c r="AF82">
        <f t="shared" si="49"/>
        <v>1.0980632204336092</v>
      </c>
      <c r="AG82" t="b">
        <f t="shared" si="57"/>
        <v>0</v>
      </c>
      <c r="AH82">
        <f t="shared" si="50"/>
        <v>25000</v>
      </c>
      <c r="AI82">
        <f t="shared" si="58"/>
        <v>2</v>
      </c>
      <c r="AJ82" cm="1">
        <f t="array" ref="AJ82:AO82">INDEX(surface!$A$2:$I$40,AI82+1,COLUMN(surface!$B$1:$G$1))</f>
        <v>-500</v>
      </c>
      <c r="AK82">
        <v>500</v>
      </c>
      <c r="AL82">
        <v>-500</v>
      </c>
      <c r="AM82">
        <v>1000</v>
      </c>
      <c r="AN82">
        <v>0</v>
      </c>
      <c r="AO82">
        <v>-500</v>
      </c>
      <c r="AP82">
        <f t="shared" si="59"/>
        <v>-670.22255243743598</v>
      </c>
      <c r="AQ82">
        <f t="shared" si="60"/>
        <v>528.04918765997104</v>
      </c>
      <c r="AR82">
        <f t="shared" si="61"/>
        <v>-409.90969075941717</v>
      </c>
      <c r="AS82">
        <f t="shared" si="51"/>
        <v>103.81710671567316</v>
      </c>
      <c r="AT82">
        <f t="shared" si="52"/>
        <v>0.14694514734295705</v>
      </c>
      <c r="AU82" t="b">
        <f t="shared" si="62"/>
        <v>1</v>
      </c>
      <c r="AV82">
        <f t="shared" si="53"/>
        <v>103.81710671567316</v>
      </c>
    </row>
    <row r="83" spans="1:48" x14ac:dyDescent="0.25">
      <c r="A83">
        <f t="shared" si="32"/>
        <v>8.0999999999999872</v>
      </c>
      <c r="B83">
        <f t="shared" si="54"/>
        <v>0.1</v>
      </c>
      <c r="C83">
        <f>sim!C82+(sim!$G82*$B83*COS($E83))</f>
        <v>-595.13606894111263</v>
      </c>
      <c r="D83">
        <f>sim!D82+(sim!$G82*$B83*SIN($E83))</f>
        <v>518.13013346348521</v>
      </c>
      <c r="E83">
        <f t="shared" si="33"/>
        <v>1.7544875078119397</v>
      </c>
      <c r="F83">
        <f t="shared" si="40"/>
        <v>103.46857116322622</v>
      </c>
      <c r="G83">
        <v>100</v>
      </c>
      <c r="H83">
        <f t="shared" si="34"/>
        <v>-0.30268993569013564</v>
      </c>
      <c r="I83">
        <f t="shared" si="41"/>
        <v>-17.342855816131078</v>
      </c>
      <c r="J83">
        <f t="shared" si="55"/>
        <v>0</v>
      </c>
      <c r="K83">
        <f t="shared" si="56"/>
        <v>0</v>
      </c>
      <c r="L83">
        <f t="shared" si="42"/>
        <v>0</v>
      </c>
      <c r="M83">
        <f t="shared" si="35"/>
        <v>-17.342855816131078</v>
      </c>
      <c r="N83">
        <f t="shared" si="43"/>
        <v>-586.75171475688148</v>
      </c>
      <c r="O83">
        <f t="shared" si="44"/>
        <v>523.58014308855616</v>
      </c>
      <c r="P83">
        <f t="shared" si="36"/>
        <v>-502.90817291456995</v>
      </c>
      <c r="Q83">
        <f t="shared" si="37"/>
        <v>578.08023933926518</v>
      </c>
      <c r="R83">
        <f t="shared" si="45"/>
        <v>0.5450009625070904</v>
      </c>
      <c r="S83">
        <f t="shared" si="46"/>
        <v>0.83843541842311564</v>
      </c>
      <c r="U83">
        <f t="shared" si="63"/>
        <v>1</v>
      </c>
      <c r="V83" cm="1">
        <f t="array" ref="V83:AA83">INDEX(surface!$A$2:$I$40,U83+1,COLUMN(surface!$B$1:$G$1))</f>
        <v>0</v>
      </c>
      <c r="W83">
        <v>100</v>
      </c>
      <c r="X83">
        <v>-500</v>
      </c>
      <c r="Y83">
        <v>500</v>
      </c>
      <c r="Z83">
        <v>500</v>
      </c>
      <c r="AA83">
        <v>-400</v>
      </c>
      <c r="AB83">
        <f t="shared" si="38"/>
        <v>-1173.503429513763</v>
      </c>
      <c r="AC83">
        <f t="shared" si="39"/>
        <v>947.16028617711231</v>
      </c>
      <c r="AD83">
        <f t="shared" si="47"/>
        <v>-607.87464862279148</v>
      </c>
      <c r="AE83">
        <f t="shared" si="48"/>
        <v>37.689701997576485</v>
      </c>
      <c r="AF83">
        <f t="shared" si="49"/>
        <v>1.1103026673846017</v>
      </c>
      <c r="AG83" t="b">
        <f t="shared" si="57"/>
        <v>0</v>
      </c>
      <c r="AH83">
        <f t="shared" si="50"/>
        <v>25000</v>
      </c>
      <c r="AI83">
        <f t="shared" si="58"/>
        <v>2</v>
      </c>
      <c r="AJ83" cm="1">
        <f t="array" ref="AJ83:AO83">INDEX(surface!$A$2:$I$40,AI83+1,COLUMN(surface!$B$1:$G$1))</f>
        <v>-500</v>
      </c>
      <c r="AK83">
        <v>500</v>
      </c>
      <c r="AL83">
        <v>-500</v>
      </c>
      <c r="AM83">
        <v>1000</v>
      </c>
      <c r="AN83">
        <v>0</v>
      </c>
      <c r="AO83">
        <v>-500</v>
      </c>
      <c r="AP83">
        <f t="shared" si="59"/>
        <v>-673.50342951376297</v>
      </c>
      <c r="AQ83">
        <f t="shared" si="60"/>
        <v>547.16028617711231</v>
      </c>
      <c r="AR83">
        <f t="shared" si="61"/>
        <v>-419.2177092115578</v>
      </c>
      <c r="AS83">
        <f t="shared" si="51"/>
        <v>103.46857116322622</v>
      </c>
      <c r="AT83">
        <f t="shared" si="52"/>
        <v>0.15994122792349563</v>
      </c>
      <c r="AU83" t="b">
        <f t="shared" si="62"/>
        <v>1</v>
      </c>
      <c r="AV83">
        <f t="shared" si="53"/>
        <v>103.46857116322622</v>
      </c>
    </row>
    <row r="84" spans="1:48" x14ac:dyDescent="0.25">
      <c r="A84">
        <f t="shared" si="32"/>
        <v>8.1999999999999869</v>
      </c>
      <c r="B84">
        <f t="shared" si="54"/>
        <v>0.1</v>
      </c>
      <c r="C84">
        <f>sim!C83+(sim!$G83*$B84*COS($E84))</f>
        <v>-596.66427904890463</v>
      </c>
      <c r="D84">
        <f>sim!D83+(sim!$G83*$B84*SIN($E84))</f>
        <v>528.0126723005676</v>
      </c>
      <c r="E84">
        <f t="shared" si="33"/>
        <v>1.7242185142429263</v>
      </c>
      <c r="F84">
        <f t="shared" si="40"/>
        <v>103.11777168789176</v>
      </c>
      <c r="G84">
        <v>100</v>
      </c>
      <c r="H84">
        <f t="shared" si="34"/>
        <v>-0.27207690639586124</v>
      </c>
      <c r="I84">
        <f t="shared" si="41"/>
        <v>-15.588858439458804</v>
      </c>
      <c r="J84">
        <f t="shared" si="55"/>
        <v>0</v>
      </c>
      <c r="K84">
        <f t="shared" si="56"/>
        <v>0</v>
      </c>
      <c r="L84">
        <f t="shared" si="42"/>
        <v>0</v>
      </c>
      <c r="M84">
        <f t="shared" si="35"/>
        <v>-15.588858439458804</v>
      </c>
      <c r="N84">
        <f t="shared" si="43"/>
        <v>-588.11882437750114</v>
      </c>
      <c r="O84">
        <f t="shared" si="44"/>
        <v>533.20643822318948</v>
      </c>
      <c r="P84">
        <f t="shared" si="36"/>
        <v>-502.66427766346641</v>
      </c>
      <c r="Q84">
        <f t="shared" si="37"/>
        <v>585.14409744940849</v>
      </c>
      <c r="R84">
        <f t="shared" si="45"/>
        <v>0.51937659226219068</v>
      </c>
      <c r="S84">
        <f t="shared" si="46"/>
        <v>0.85454546714034718</v>
      </c>
      <c r="U84">
        <f t="shared" si="63"/>
        <v>1</v>
      </c>
      <c r="V84" cm="1">
        <f t="array" ref="V84:AA84">INDEX(surface!$A$2:$I$40,U84+1,COLUMN(surface!$B$1:$G$1))</f>
        <v>0</v>
      </c>
      <c r="W84">
        <v>100</v>
      </c>
      <c r="X84">
        <v>-500</v>
      </c>
      <c r="Y84">
        <v>500</v>
      </c>
      <c r="Z84">
        <v>500</v>
      </c>
      <c r="AA84">
        <v>-400</v>
      </c>
      <c r="AB84">
        <f t="shared" si="38"/>
        <v>-1176.2376487550023</v>
      </c>
      <c r="AC84">
        <f t="shared" si="39"/>
        <v>966.41287644637896</v>
      </c>
      <c r="AD84">
        <f t="shared" si="47"/>
        <v>-601.50648298723422</v>
      </c>
      <c r="AE84">
        <f t="shared" si="48"/>
        <v>30.996026089051146</v>
      </c>
      <c r="AF84">
        <f t="shared" si="49"/>
        <v>1.123262621567477</v>
      </c>
      <c r="AG84" t="b">
        <f t="shared" si="57"/>
        <v>0</v>
      </c>
      <c r="AH84">
        <f t="shared" si="50"/>
        <v>25000</v>
      </c>
      <c r="AI84">
        <f t="shared" si="58"/>
        <v>2</v>
      </c>
      <c r="AJ84" cm="1">
        <f t="array" ref="AJ84:AO84">INDEX(surface!$A$2:$I$40,AI84+1,COLUMN(surface!$B$1:$G$1))</f>
        <v>-500</v>
      </c>
      <c r="AK84">
        <v>500</v>
      </c>
      <c r="AL84">
        <v>-500</v>
      </c>
      <c r="AM84">
        <v>1000</v>
      </c>
      <c r="AN84">
        <v>0</v>
      </c>
      <c r="AO84">
        <v>-500</v>
      </c>
      <c r="AP84">
        <f t="shared" si="59"/>
        <v>-676.23764875500228</v>
      </c>
      <c r="AQ84">
        <f t="shared" si="60"/>
        <v>566.41287644637896</v>
      </c>
      <c r="AR84">
        <f t="shared" si="61"/>
        <v>-427.27273357017361</v>
      </c>
      <c r="AS84">
        <f t="shared" si="51"/>
        <v>103.11777168789176</v>
      </c>
      <c r="AT84">
        <f t="shared" si="52"/>
        <v>0.17352679016823461</v>
      </c>
      <c r="AU84" t="b">
        <f t="shared" si="62"/>
        <v>1</v>
      </c>
      <c r="AV84">
        <f t="shared" si="53"/>
        <v>103.11777168789176</v>
      </c>
    </row>
    <row r="85" spans="1:48" x14ac:dyDescent="0.25">
      <c r="A85">
        <f t="shared" si="32"/>
        <v>8.2999999999999865</v>
      </c>
      <c r="B85">
        <f t="shared" si="54"/>
        <v>0.1</v>
      </c>
      <c r="C85">
        <f>sim!C84+(sim!$G84*$B85*COS($E85))</f>
        <v>-597.92307566931891</v>
      </c>
      <c r="D85">
        <f>sim!D84+(sim!$G84*$B85*SIN($E85))</f>
        <v>537.93312748510596</v>
      </c>
      <c r="E85">
        <f t="shared" si="33"/>
        <v>1.6970108236033401</v>
      </c>
      <c r="F85">
        <f t="shared" si="40"/>
        <v>102.76802950094178</v>
      </c>
      <c r="G85">
        <v>100</v>
      </c>
      <c r="H85">
        <f t="shared" si="34"/>
        <v>-0.24155614291884764</v>
      </c>
      <c r="I85">
        <f t="shared" si="41"/>
        <v>-13.840147504708895</v>
      </c>
      <c r="J85">
        <f t="shared" si="55"/>
        <v>0</v>
      </c>
      <c r="K85">
        <f t="shared" si="56"/>
        <v>0</v>
      </c>
      <c r="L85">
        <f t="shared" si="42"/>
        <v>0</v>
      </c>
      <c r="M85">
        <f t="shared" si="35"/>
        <v>-13.840147504708895</v>
      </c>
      <c r="N85">
        <f t="shared" si="43"/>
        <v>-589.23949078247813</v>
      </c>
      <c r="O85">
        <f t="shared" si="44"/>
        <v>542.89249775894427</v>
      </c>
      <c r="P85">
        <f t="shared" si="36"/>
        <v>-502.4036419140707</v>
      </c>
      <c r="Q85">
        <f t="shared" si="37"/>
        <v>592.48620049732745</v>
      </c>
      <c r="R85">
        <f t="shared" si="45"/>
        <v>0.49593702738383116</v>
      </c>
      <c r="S85">
        <f t="shared" si="46"/>
        <v>0.86835848868407395</v>
      </c>
      <c r="U85">
        <f t="shared" si="63"/>
        <v>1</v>
      </c>
      <c r="V85" cm="1">
        <f t="array" ref="V85:AA85">INDEX(surface!$A$2:$I$40,U85+1,COLUMN(surface!$B$1:$G$1))</f>
        <v>0</v>
      </c>
      <c r="W85">
        <v>100</v>
      </c>
      <c r="X85">
        <v>-500</v>
      </c>
      <c r="Y85">
        <v>500</v>
      </c>
      <c r="Z85">
        <v>500</v>
      </c>
      <c r="AA85">
        <v>-400</v>
      </c>
      <c r="AB85">
        <f t="shared" si="38"/>
        <v>-1178.4789815649563</v>
      </c>
      <c r="AC85">
        <f t="shared" si="39"/>
        <v>985.78499551788855</v>
      </c>
      <c r="AD85">
        <f t="shared" si="47"/>
        <v>-595.3119091655451</v>
      </c>
      <c r="AE85">
        <f t="shared" si="48"/>
        <v>23.93627141357349</v>
      </c>
      <c r="AF85">
        <f t="shared" si="49"/>
        <v>1.1369084526261113</v>
      </c>
      <c r="AG85" t="b">
        <f t="shared" si="57"/>
        <v>0</v>
      </c>
      <c r="AH85">
        <f t="shared" si="50"/>
        <v>25000</v>
      </c>
      <c r="AI85">
        <f t="shared" si="58"/>
        <v>2</v>
      </c>
      <c r="AJ85" cm="1">
        <f t="array" ref="AJ85:AO85">INDEX(surface!$A$2:$I$40,AI85+1,COLUMN(surface!$B$1:$G$1))</f>
        <v>-500</v>
      </c>
      <c r="AK85">
        <v>500</v>
      </c>
      <c r="AL85">
        <v>-500</v>
      </c>
      <c r="AM85">
        <v>1000</v>
      </c>
      <c r="AN85">
        <v>0</v>
      </c>
      <c r="AO85">
        <v>-500</v>
      </c>
      <c r="AP85">
        <f t="shared" si="59"/>
        <v>-678.47898156495626</v>
      </c>
      <c r="AQ85">
        <f t="shared" si="60"/>
        <v>585.78499551788855</v>
      </c>
      <c r="AR85">
        <f t="shared" si="61"/>
        <v>-434.17924434203695</v>
      </c>
      <c r="AS85">
        <f t="shared" si="51"/>
        <v>102.76802950094178</v>
      </c>
      <c r="AT85">
        <f t="shared" si="52"/>
        <v>0.18771793763947042</v>
      </c>
      <c r="AU85" t="b">
        <f t="shared" si="62"/>
        <v>1</v>
      </c>
      <c r="AV85">
        <f t="shared" si="53"/>
        <v>102.76802950094178</v>
      </c>
    </row>
    <row r="86" spans="1:48" x14ac:dyDescent="0.25">
      <c r="A86">
        <f t="shared" si="32"/>
        <v>8.3999999999999861</v>
      </c>
      <c r="B86">
        <f t="shared" si="54"/>
        <v>0.1</v>
      </c>
      <c r="C86">
        <f>sim!C85+(sim!$G85*$B86*COS($E86))</f>
        <v>-598.94189367214472</v>
      </c>
      <c r="D86">
        <f>sim!D85+(sim!$G85*$B86*SIN($E86))</f>
        <v>547.88109259748535</v>
      </c>
      <c r="E86">
        <f t="shared" si="33"/>
        <v>1.6728552093114553</v>
      </c>
      <c r="F86">
        <f t="shared" si="40"/>
        <v>102.42328236862497</v>
      </c>
      <c r="G86">
        <v>100</v>
      </c>
      <c r="H86">
        <f t="shared" si="34"/>
        <v>-0.21147128019016306</v>
      </c>
      <c r="I86">
        <f t="shared" si="41"/>
        <v>-12.116411843124837</v>
      </c>
      <c r="J86">
        <f t="shared" si="55"/>
        <v>0</v>
      </c>
      <c r="K86">
        <f t="shared" si="56"/>
        <v>0</v>
      </c>
      <c r="L86">
        <f t="shared" si="42"/>
        <v>0</v>
      </c>
      <c r="M86">
        <f t="shared" si="35"/>
        <v>-12.116411843124837</v>
      </c>
      <c r="N86">
        <f t="shared" si="43"/>
        <v>-590.14105708495777</v>
      </c>
      <c r="O86">
        <f t="shared" si="44"/>
        <v>552.62927913190367</v>
      </c>
      <c r="P86">
        <f t="shared" si="36"/>
        <v>-502.13269121308798</v>
      </c>
      <c r="Q86">
        <f t="shared" si="37"/>
        <v>600.11114447608645</v>
      </c>
      <c r="R86">
        <f t="shared" si="45"/>
        <v>0.47481865344182778</v>
      </c>
      <c r="S86">
        <f t="shared" si="46"/>
        <v>0.88008365871869787</v>
      </c>
      <c r="U86">
        <f t="shared" si="63"/>
        <v>1</v>
      </c>
      <c r="V86" cm="1">
        <f t="array" ref="V86:AA86">INDEX(surface!$A$2:$I$40,U86+1,COLUMN(surface!$B$1:$G$1))</f>
        <v>0</v>
      </c>
      <c r="W86">
        <v>100</v>
      </c>
      <c r="X86">
        <v>-500</v>
      </c>
      <c r="Y86">
        <v>500</v>
      </c>
      <c r="Z86">
        <v>500</v>
      </c>
      <c r="AA86">
        <v>-400</v>
      </c>
      <c r="AB86">
        <f t="shared" si="38"/>
        <v>-1180.2821141699155</v>
      </c>
      <c r="AC86">
        <f t="shared" si="39"/>
        <v>1005.2585582638073</v>
      </c>
      <c r="AD86">
        <f t="shared" si="47"/>
        <v>-589.44279020839303</v>
      </c>
      <c r="AE86">
        <f t="shared" si="48"/>
        <v>16.527105649366163</v>
      </c>
      <c r="AF86">
        <f t="shared" si="49"/>
        <v>1.1511916429540663</v>
      </c>
      <c r="AG86" t="b">
        <f t="shared" si="57"/>
        <v>0</v>
      </c>
      <c r="AH86">
        <f t="shared" si="50"/>
        <v>25000</v>
      </c>
      <c r="AI86">
        <f t="shared" si="58"/>
        <v>2</v>
      </c>
      <c r="AJ86" cm="1">
        <f t="array" ref="AJ86:AO86">INDEX(surface!$A$2:$I$40,AI86+1,COLUMN(surface!$B$1:$G$1))</f>
        <v>-500</v>
      </c>
      <c r="AK86">
        <v>500</v>
      </c>
      <c r="AL86">
        <v>-500</v>
      </c>
      <c r="AM86">
        <v>1000</v>
      </c>
      <c r="AN86">
        <v>0</v>
      </c>
      <c r="AO86">
        <v>-500</v>
      </c>
      <c r="AP86">
        <f t="shared" si="59"/>
        <v>-680.28211416991553</v>
      </c>
      <c r="AQ86">
        <f t="shared" si="60"/>
        <v>605.25855826380734</v>
      </c>
      <c r="AR86">
        <f t="shared" si="61"/>
        <v>-440.04182935934892</v>
      </c>
      <c r="AS86">
        <f t="shared" si="51"/>
        <v>102.42328236862497</v>
      </c>
      <c r="AT86">
        <f t="shared" si="52"/>
        <v>0.20252352829453257</v>
      </c>
      <c r="AU86" t="b">
        <f t="shared" si="62"/>
        <v>1</v>
      </c>
      <c r="AV86">
        <f t="shared" si="53"/>
        <v>102.42328236862497</v>
      </c>
    </row>
    <row r="87" spans="1:48" x14ac:dyDescent="0.25">
      <c r="A87">
        <f t="shared" si="32"/>
        <v>8.4999999999999858</v>
      </c>
      <c r="B87">
        <f t="shared" si="54"/>
        <v>0.1</v>
      </c>
      <c r="C87">
        <f>sim!C86+(sim!$G86*$B87*COS($E87))</f>
        <v>-599.75012866280213</v>
      </c>
      <c r="D87">
        <f>sim!D86+(sim!$G86*$B87*SIN($E87))</f>
        <v>557.84837689160861</v>
      </c>
      <c r="E87">
        <f t="shared" si="33"/>
        <v>1.651708081292439</v>
      </c>
      <c r="F87">
        <f t="shared" si="40"/>
        <v>102.08796714071899</v>
      </c>
      <c r="G87">
        <v>100</v>
      </c>
      <c r="H87">
        <f t="shared" si="34"/>
        <v>-0.18220950639499048</v>
      </c>
      <c r="I87">
        <f t="shared" si="41"/>
        <v>-10.439835703594937</v>
      </c>
      <c r="J87">
        <f t="shared" si="55"/>
        <v>0</v>
      </c>
      <c r="K87">
        <f t="shared" si="56"/>
        <v>0</v>
      </c>
      <c r="L87">
        <f t="shared" si="42"/>
        <v>0</v>
      </c>
      <c r="M87">
        <f t="shared" si="35"/>
        <v>-10.439835703594937</v>
      </c>
      <c r="N87">
        <f t="shared" si="43"/>
        <v>-590.85085684912269</v>
      </c>
      <c r="O87">
        <f t="shared" si="44"/>
        <v>562.40940322197025</v>
      </c>
      <c r="P87">
        <f t="shared" si="36"/>
        <v>-501.85813871232892</v>
      </c>
      <c r="Q87">
        <f t="shared" si="37"/>
        <v>608.01966652558622</v>
      </c>
      <c r="R87">
        <f t="shared" si="45"/>
        <v>0.45610263303615972</v>
      </c>
      <c r="S87">
        <f t="shared" si="46"/>
        <v>0.88992718136793769</v>
      </c>
      <c r="U87">
        <f t="shared" si="63"/>
        <v>1</v>
      </c>
      <c r="V87" cm="1">
        <f t="array" ref="V87:AA87">INDEX(surface!$A$2:$I$40,U87+1,COLUMN(surface!$B$1:$G$1))</f>
        <v>0</v>
      </c>
      <c r="W87">
        <v>100</v>
      </c>
      <c r="X87">
        <v>-500</v>
      </c>
      <c r="Y87">
        <v>500</v>
      </c>
      <c r="Z87">
        <v>500</v>
      </c>
      <c r="AA87">
        <v>-400</v>
      </c>
      <c r="AB87">
        <f t="shared" si="38"/>
        <v>-1181.7017136982454</v>
      </c>
      <c r="AC87">
        <f t="shared" si="39"/>
        <v>1024.8188064439405</v>
      </c>
      <c r="AD87">
        <f t="shared" si="47"/>
        <v>-584.02218906525491</v>
      </c>
      <c r="AE87">
        <f t="shared" si="48"/>
        <v>8.7935719306893319</v>
      </c>
      <c r="AF87">
        <f t="shared" si="49"/>
        <v>1.1660504363333764</v>
      </c>
      <c r="AG87" t="b">
        <f t="shared" si="57"/>
        <v>0</v>
      </c>
      <c r="AH87">
        <f t="shared" si="50"/>
        <v>25000</v>
      </c>
      <c r="AI87">
        <f t="shared" si="58"/>
        <v>2</v>
      </c>
      <c r="AJ87" cm="1">
        <f t="array" ref="AJ87:AO87">INDEX(surface!$A$2:$I$40,AI87+1,COLUMN(surface!$B$1:$G$1))</f>
        <v>-500</v>
      </c>
      <c r="AK87">
        <v>500</v>
      </c>
      <c r="AL87">
        <v>-500</v>
      </c>
      <c r="AM87">
        <v>1000</v>
      </c>
      <c r="AN87">
        <v>0</v>
      </c>
      <c r="AO87">
        <v>-500</v>
      </c>
      <c r="AP87">
        <f t="shared" si="59"/>
        <v>-681.70171369824538</v>
      </c>
      <c r="AQ87">
        <f t="shared" si="60"/>
        <v>624.8188064439405</v>
      </c>
      <c r="AR87">
        <f t="shared" si="61"/>
        <v>-444.96359068396885</v>
      </c>
      <c r="AS87">
        <f t="shared" si="51"/>
        <v>102.08796714071899</v>
      </c>
      <c r="AT87">
        <f t="shared" si="52"/>
        <v>0.21794398767232226</v>
      </c>
      <c r="AU87" t="b">
        <f t="shared" si="62"/>
        <v>1</v>
      </c>
      <c r="AV87">
        <f t="shared" si="53"/>
        <v>102.08796714071899</v>
      </c>
    </row>
    <row r="88" spans="1:48" x14ac:dyDescent="0.25">
      <c r="A88">
        <f t="shared" si="32"/>
        <v>8.5999999999999854</v>
      </c>
      <c r="B88">
        <f t="shared" si="54"/>
        <v>0.1</v>
      </c>
      <c r="C88">
        <f>sim!C87+(sim!$G87*$B88*COS($E88))</f>
        <v>-600.37662614300041</v>
      </c>
      <c r="D88">
        <f>sim!D87+(sim!$G87*$B88*SIN($E88))</f>
        <v>567.82873264214697</v>
      </c>
      <c r="E88">
        <f t="shared" si="33"/>
        <v>1.6334871306529399</v>
      </c>
      <c r="F88">
        <f t="shared" si="40"/>
        <v>101.76682584754427</v>
      </c>
      <c r="G88">
        <v>100</v>
      </c>
      <c r="H88">
        <f t="shared" si="34"/>
        <v>-0.15418464174493426</v>
      </c>
      <c r="I88">
        <f t="shared" si="41"/>
        <v>-8.8341292377213421</v>
      </c>
      <c r="J88">
        <f t="shared" si="55"/>
        <v>0</v>
      </c>
      <c r="K88">
        <f t="shared" si="56"/>
        <v>0</v>
      </c>
      <c r="L88">
        <f t="shared" si="42"/>
        <v>0</v>
      </c>
      <c r="M88">
        <f t="shared" si="35"/>
        <v>-8.8341292377213421</v>
      </c>
      <c r="N88">
        <f t="shared" si="43"/>
        <v>-591.39572994398702</v>
      </c>
      <c r="O88">
        <f t="shared" si="44"/>
        <v>572.22685763611275</v>
      </c>
      <c r="P88">
        <f t="shared" si="36"/>
        <v>-501.58676795385293</v>
      </c>
      <c r="Q88">
        <f t="shared" si="37"/>
        <v>616.20810757577055</v>
      </c>
      <c r="R88">
        <f t="shared" si="45"/>
        <v>0.43981249939657741</v>
      </c>
      <c r="S88">
        <f t="shared" si="46"/>
        <v>0.89808961990134129</v>
      </c>
      <c r="U88">
        <f t="shared" si="63"/>
        <v>1</v>
      </c>
      <c r="V88" cm="1">
        <f t="array" ref="V88:AA88">INDEX(surface!$A$2:$I$40,U88+1,COLUMN(surface!$B$1:$G$1))</f>
        <v>0</v>
      </c>
      <c r="W88">
        <v>100</v>
      </c>
      <c r="X88">
        <v>-500</v>
      </c>
      <c r="Y88">
        <v>500</v>
      </c>
      <c r="Z88">
        <v>500</v>
      </c>
      <c r="AA88">
        <v>-400</v>
      </c>
      <c r="AB88">
        <f t="shared" si="38"/>
        <v>-1182.791459887974</v>
      </c>
      <c r="AC88">
        <f t="shared" si="39"/>
        <v>1044.4537152722255</v>
      </c>
      <c r="AD88">
        <f t="shared" si="47"/>
        <v>-579.14209765882515</v>
      </c>
      <c r="AE88">
        <f t="shared" si="48"/>
        <v>0.76814163801384017</v>
      </c>
      <c r="AF88">
        <f t="shared" si="49"/>
        <v>1.1814117398245458</v>
      </c>
      <c r="AG88" t="b">
        <f t="shared" si="57"/>
        <v>0</v>
      </c>
      <c r="AH88">
        <f t="shared" si="50"/>
        <v>25000</v>
      </c>
      <c r="AI88">
        <f t="shared" si="58"/>
        <v>2</v>
      </c>
      <c r="AJ88" cm="1">
        <f t="array" ref="AJ88:AO88">INDEX(surface!$A$2:$I$40,AI88+1,COLUMN(surface!$B$1:$G$1))</f>
        <v>-500</v>
      </c>
      <c r="AK88">
        <v>500</v>
      </c>
      <c r="AL88">
        <v>-500</v>
      </c>
      <c r="AM88">
        <v>1000</v>
      </c>
      <c r="AN88">
        <v>0</v>
      </c>
      <c r="AO88">
        <v>-500</v>
      </c>
      <c r="AP88">
        <f t="shared" si="59"/>
        <v>-682.79145988797404</v>
      </c>
      <c r="AQ88">
        <f t="shared" si="60"/>
        <v>644.45371527222551</v>
      </c>
      <c r="AR88">
        <f t="shared" si="61"/>
        <v>-449.04480995067064</v>
      </c>
      <c r="AS88">
        <f t="shared" si="51"/>
        <v>101.76682584754427</v>
      </c>
      <c r="AT88">
        <f t="shared" si="52"/>
        <v>0.23397035933555482</v>
      </c>
      <c r="AU88" t="b">
        <f t="shared" si="62"/>
        <v>1</v>
      </c>
      <c r="AV88">
        <f t="shared" si="53"/>
        <v>101.76682584754427</v>
      </c>
    </row>
    <row r="89" spans="1:48" x14ac:dyDescent="0.25">
      <c r="A89">
        <f t="shared" si="32"/>
        <v>8.6999999999999851</v>
      </c>
      <c r="B89">
        <f t="shared" si="54"/>
        <v>0.1</v>
      </c>
      <c r="C89">
        <f>sim!C88+(sim!$G88*$B89*COS($E89))</f>
        <v>-600.84917349571867</v>
      </c>
      <c r="D89">
        <f>sim!D88+(sim!$G88*$B89*SIN($E89))</f>
        <v>577.81756135223304</v>
      </c>
      <c r="E89">
        <f t="shared" si="33"/>
        <v>1.6180686664784465</v>
      </c>
      <c r="F89">
        <f t="shared" si="40"/>
        <v>101.46463809259446</v>
      </c>
      <c r="G89">
        <v>100</v>
      </c>
      <c r="H89">
        <f t="shared" si="34"/>
        <v>-0.12781378532951412</v>
      </c>
      <c r="I89">
        <f t="shared" si="41"/>
        <v>-7.3231904629722777</v>
      </c>
      <c r="J89">
        <f t="shared" si="55"/>
        <v>0</v>
      </c>
      <c r="K89">
        <f t="shared" si="56"/>
        <v>0</v>
      </c>
      <c r="L89">
        <f t="shared" si="42"/>
        <v>0</v>
      </c>
      <c r="M89">
        <f t="shared" si="35"/>
        <v>-7.3231904629722777</v>
      </c>
      <c r="N89">
        <f t="shared" si="43"/>
        <v>-591.80153513960227</v>
      </c>
      <c r="O89">
        <f t="shared" si="44"/>
        <v>582.07669743563451</v>
      </c>
      <c r="P89">
        <f t="shared" si="36"/>
        <v>-501.32515157843864</v>
      </c>
      <c r="Q89">
        <f t="shared" si="37"/>
        <v>624.66805826964878</v>
      </c>
      <c r="R89">
        <f t="shared" si="45"/>
        <v>0.42591360834014275</v>
      </c>
      <c r="S89">
        <f t="shared" si="46"/>
        <v>0.90476383561163598</v>
      </c>
      <c r="U89">
        <f t="shared" si="63"/>
        <v>1</v>
      </c>
      <c r="V89" cm="1">
        <f t="array" ref="V89:AA89">INDEX(surface!$A$2:$I$40,U89+1,COLUMN(surface!$B$1:$G$1))</f>
        <v>0</v>
      </c>
      <c r="W89">
        <v>100</v>
      </c>
      <c r="X89">
        <v>-500</v>
      </c>
      <c r="Y89">
        <v>500</v>
      </c>
      <c r="Z89">
        <v>500</v>
      </c>
      <c r="AA89">
        <v>-400</v>
      </c>
      <c r="AB89">
        <f t="shared" si="38"/>
        <v>-1183.6030702792045</v>
      </c>
      <c r="AC89">
        <f t="shared" si="39"/>
        <v>1064.153394871269</v>
      </c>
      <c r="AD89">
        <f t="shared" si="47"/>
        <v>-574.86233841472574</v>
      </c>
      <c r="AE89">
        <f t="shared" si="48"/>
        <v>-7.510901955906836</v>
      </c>
      <c r="AF89">
        <f t="shared" si="49"/>
        <v>1.1971942552042629</v>
      </c>
      <c r="AG89" t="b">
        <f t="shared" si="57"/>
        <v>0</v>
      </c>
      <c r="AH89">
        <f t="shared" si="50"/>
        <v>25000</v>
      </c>
      <c r="AI89">
        <f t="shared" si="58"/>
        <v>2</v>
      </c>
      <c r="AJ89" cm="1">
        <f t="array" ref="AJ89:AO89">INDEX(surface!$A$2:$I$40,AI89+1,COLUMN(surface!$B$1:$G$1))</f>
        <v>-500</v>
      </c>
      <c r="AK89">
        <v>500</v>
      </c>
      <c r="AL89">
        <v>-500</v>
      </c>
      <c r="AM89">
        <v>1000</v>
      </c>
      <c r="AN89">
        <v>0</v>
      </c>
      <c r="AO89">
        <v>-500</v>
      </c>
      <c r="AP89">
        <f t="shared" si="59"/>
        <v>-683.60307027920453</v>
      </c>
      <c r="AQ89">
        <f t="shared" si="60"/>
        <v>664.15339487126903</v>
      </c>
      <c r="AR89">
        <f t="shared" si="61"/>
        <v>-452.38191780581798</v>
      </c>
      <c r="AS89">
        <f t="shared" si="51"/>
        <v>101.46463809259446</v>
      </c>
      <c r="AT89">
        <f t="shared" si="52"/>
        <v>0.25058373512915627</v>
      </c>
      <c r="AU89" t="b">
        <f t="shared" si="62"/>
        <v>1</v>
      </c>
      <c r="AV89">
        <f t="shared" si="53"/>
        <v>101.46463809259446</v>
      </c>
    </row>
    <row r="90" spans="1:48" x14ac:dyDescent="0.25">
      <c r="A90">
        <f t="shared" si="32"/>
        <v>8.7999999999999847</v>
      </c>
      <c r="B90">
        <f t="shared" si="54"/>
        <v>0.1</v>
      </c>
      <c r="C90">
        <f>sim!C89+(sim!$G89*$B90*COS($E90))</f>
        <v>-601.19401472569552</v>
      </c>
      <c r="D90">
        <f>sim!D89+(sim!$G89*$B90*SIN($E90))</f>
        <v>587.81161380987544</v>
      </c>
      <c r="E90">
        <f t="shared" si="33"/>
        <v>1.6052872879454951</v>
      </c>
      <c r="F90">
        <f t="shared" si="40"/>
        <v>101.18589669700434</v>
      </c>
      <c r="G90">
        <v>100</v>
      </c>
      <c r="H90">
        <f t="shared" si="34"/>
        <v>-0.1034890097562564</v>
      </c>
      <c r="I90">
        <f t="shared" si="41"/>
        <v>-5.9294834850216915</v>
      </c>
      <c r="J90">
        <f t="shared" si="55"/>
        <v>0</v>
      </c>
      <c r="K90">
        <f t="shared" si="56"/>
        <v>0</v>
      </c>
      <c r="L90">
        <f t="shared" si="42"/>
        <v>0</v>
      </c>
      <c r="M90">
        <f t="shared" si="35"/>
        <v>-5.9294834850216915</v>
      </c>
      <c r="N90">
        <f t="shared" si="43"/>
        <v>-592.09267923874415</v>
      </c>
      <c r="O90">
        <f t="shared" si="44"/>
        <v>591.95476386194446</v>
      </c>
      <c r="P90">
        <f t="shared" si="36"/>
        <v>-501.07932436923039</v>
      </c>
      <c r="Q90">
        <f t="shared" si="37"/>
        <v>633.38626438263475</v>
      </c>
      <c r="R90">
        <f t="shared" si="45"/>
        <v>0.41431500520690251</v>
      </c>
      <c r="S90">
        <f t="shared" si="46"/>
        <v>0.91013354869513752</v>
      </c>
      <c r="U90">
        <f t="shared" si="63"/>
        <v>1</v>
      </c>
      <c r="V90" cm="1">
        <f t="array" ref="V90:AA90">INDEX(surface!$A$2:$I$40,U90+1,COLUMN(surface!$B$1:$G$1))</f>
        <v>0</v>
      </c>
      <c r="W90">
        <v>100</v>
      </c>
      <c r="X90">
        <v>-500</v>
      </c>
      <c r="Y90">
        <v>500</v>
      </c>
      <c r="Z90">
        <v>500</v>
      </c>
      <c r="AA90">
        <v>-400</v>
      </c>
      <c r="AB90">
        <f t="shared" si="38"/>
        <v>-1184.1853584774883</v>
      </c>
      <c r="AC90">
        <f t="shared" si="39"/>
        <v>1083.9095277238889</v>
      </c>
      <c r="AD90">
        <f t="shared" si="47"/>
        <v>-571.21092208150628</v>
      </c>
      <c r="AE90">
        <f t="shared" si="48"/>
        <v>-16.001637717582572</v>
      </c>
      <c r="AF90">
        <f t="shared" si="49"/>
        <v>1.2133126131191632</v>
      </c>
      <c r="AG90" t="b">
        <f t="shared" si="57"/>
        <v>0</v>
      </c>
      <c r="AH90">
        <f t="shared" si="50"/>
        <v>25000</v>
      </c>
      <c r="AI90">
        <f t="shared" si="58"/>
        <v>2</v>
      </c>
      <c r="AJ90" cm="1">
        <f t="array" ref="AJ90:AO90">INDEX(surface!$A$2:$I$40,AI90+1,COLUMN(surface!$B$1:$G$1))</f>
        <v>-500</v>
      </c>
      <c r="AK90">
        <v>500</v>
      </c>
      <c r="AL90">
        <v>-500</v>
      </c>
      <c r="AM90">
        <v>1000</v>
      </c>
      <c r="AN90">
        <v>0</v>
      </c>
      <c r="AO90">
        <v>-500</v>
      </c>
      <c r="AP90">
        <f t="shared" si="59"/>
        <v>-684.18535847748831</v>
      </c>
      <c r="AQ90">
        <f t="shared" si="60"/>
        <v>683.90952772388891</v>
      </c>
      <c r="AR90">
        <f t="shared" si="61"/>
        <v>-455.06677434756875</v>
      </c>
      <c r="AS90">
        <f t="shared" si="51"/>
        <v>101.18589669700434</v>
      </c>
      <c r="AT90">
        <f t="shared" si="52"/>
        <v>0.26775519835765782</v>
      </c>
      <c r="AU90" t="b">
        <f t="shared" si="62"/>
        <v>1</v>
      </c>
      <c r="AV90">
        <f t="shared" si="53"/>
        <v>101.18589669700434</v>
      </c>
    </row>
    <row r="91" spans="1:48" x14ac:dyDescent="0.25">
      <c r="A91">
        <f t="shared" si="32"/>
        <v>8.8999999999999844</v>
      </c>
      <c r="B91">
        <f t="shared" si="54"/>
        <v>0.1</v>
      </c>
      <c r="C91">
        <f>sim!C90+(sim!$G90*$B91*COS($E91))</f>
        <v>-601.43541187656888</v>
      </c>
      <c r="D91">
        <f>sim!D90+(sim!$G90*$B91*SIN($E91))</f>
        <v>597.80869975606743</v>
      </c>
      <c r="E91">
        <f t="shared" si="33"/>
        <v>1.5949383869698694</v>
      </c>
      <c r="F91">
        <f t="shared" si="40"/>
        <v>100.93445891100031</v>
      </c>
      <c r="G91">
        <v>100</v>
      </c>
      <c r="H91">
        <f t="shared" si="34"/>
        <v>-8.1546923607779959E-2</v>
      </c>
      <c r="I91">
        <f t="shared" si="41"/>
        <v>-4.6722945550015282</v>
      </c>
      <c r="J91">
        <f t="shared" si="55"/>
        <v>0</v>
      </c>
      <c r="K91">
        <f t="shared" si="56"/>
        <v>0</v>
      </c>
      <c r="L91">
        <f t="shared" si="42"/>
        <v>0</v>
      </c>
      <c r="M91">
        <f t="shared" si="35"/>
        <v>-4.6722945550015282</v>
      </c>
      <c r="N91">
        <f t="shared" si="43"/>
        <v>-592.29168747638516</v>
      </c>
      <c r="O91">
        <f t="shared" si="44"/>
        <v>601.8574408065034</v>
      </c>
      <c r="P91">
        <f t="shared" si="36"/>
        <v>-500.85444347454825</v>
      </c>
      <c r="Q91">
        <f t="shared" si="37"/>
        <v>642.34485131086319</v>
      </c>
      <c r="R91">
        <f t="shared" si="45"/>
        <v>0.40487410504359767</v>
      </c>
      <c r="S91">
        <f t="shared" si="46"/>
        <v>0.91437244001836904</v>
      </c>
      <c r="U91">
        <f t="shared" si="63"/>
        <v>1</v>
      </c>
      <c r="V91" cm="1">
        <f t="array" ref="V91:AA91">INDEX(surface!$A$2:$I$40,U91+1,COLUMN(surface!$B$1:$G$1))</f>
        <v>0</v>
      </c>
      <c r="W91">
        <v>100</v>
      </c>
      <c r="X91">
        <v>-500</v>
      </c>
      <c r="Y91">
        <v>500</v>
      </c>
      <c r="Z91">
        <v>500</v>
      </c>
      <c r="AA91">
        <v>-400</v>
      </c>
      <c r="AB91">
        <f t="shared" si="38"/>
        <v>-1184.5833749527703</v>
      </c>
      <c r="AC91">
        <f t="shared" si="39"/>
        <v>1103.7148816130068</v>
      </c>
      <c r="AD91">
        <f t="shared" si="47"/>
        <v>-568.18602852914637</v>
      </c>
      <c r="AE91">
        <f t="shared" si="48"/>
        <v>-24.661017182999682</v>
      </c>
      <c r="AF91">
        <f t="shared" si="49"/>
        <v>1.2296820838626792</v>
      </c>
      <c r="AG91" t="b">
        <f t="shared" si="57"/>
        <v>0</v>
      </c>
      <c r="AH91">
        <f t="shared" si="50"/>
        <v>25000</v>
      </c>
      <c r="AI91">
        <f t="shared" si="58"/>
        <v>2</v>
      </c>
      <c r="AJ91" cm="1">
        <f t="array" ref="AJ91:AO91">INDEX(surface!$A$2:$I$40,AI91+1,COLUMN(surface!$B$1:$G$1))</f>
        <v>-500</v>
      </c>
      <c r="AK91">
        <v>500</v>
      </c>
      <c r="AL91">
        <v>-500</v>
      </c>
      <c r="AM91">
        <v>1000</v>
      </c>
      <c r="AN91">
        <v>0</v>
      </c>
      <c r="AO91">
        <v>-500</v>
      </c>
      <c r="AP91">
        <f t="shared" si="59"/>
        <v>-684.58337495277033</v>
      </c>
      <c r="AQ91">
        <f t="shared" si="60"/>
        <v>703.71488161300681</v>
      </c>
      <c r="AR91">
        <f t="shared" si="61"/>
        <v>-457.18622000918452</v>
      </c>
      <c r="AS91">
        <f t="shared" si="51"/>
        <v>100.93445891100031</v>
      </c>
      <c r="AT91">
        <f t="shared" si="52"/>
        <v>0.28544637905230885</v>
      </c>
      <c r="AU91" t="b">
        <f t="shared" si="62"/>
        <v>1</v>
      </c>
      <c r="AV91">
        <f t="shared" si="53"/>
        <v>100.93445891100031</v>
      </c>
    </row>
    <row r="92" spans="1:48" x14ac:dyDescent="0.25">
      <c r="A92">
        <f t="shared" si="32"/>
        <v>8.999999999999984</v>
      </c>
      <c r="B92">
        <f t="shared" si="54"/>
        <v>0.1</v>
      </c>
      <c r="C92">
        <f>sim!C91+(sim!$G91*$B92*COS($E92))</f>
        <v>-601.59527874428761</v>
      </c>
      <c r="D92">
        <f>sim!D91+(sim!$G91*$B92*SIN($E92))</f>
        <v>607.80742180363961</v>
      </c>
      <c r="E92">
        <f t="shared" si="33"/>
        <v>1.5867836946090914</v>
      </c>
      <c r="F92">
        <f t="shared" si="40"/>
        <v>100.71321805495015</v>
      </c>
      <c r="G92">
        <v>100</v>
      </c>
      <c r="H92">
        <f t="shared" si="34"/>
        <v>-6.2240016717749536E-2</v>
      </c>
      <c r="I92">
        <f t="shared" si="41"/>
        <v>-3.566090274750735</v>
      </c>
      <c r="J92">
        <f t="shared" si="55"/>
        <v>0</v>
      </c>
      <c r="K92">
        <f t="shared" si="56"/>
        <v>0</v>
      </c>
      <c r="L92">
        <f t="shared" si="42"/>
        <v>0</v>
      </c>
      <c r="M92">
        <f t="shared" si="35"/>
        <v>-3.566090274750735</v>
      </c>
      <c r="N92">
        <f t="shared" si="43"/>
        <v>-592.41884249492637</v>
      </c>
      <c r="O92">
        <f t="shared" si="44"/>
        <v>611.78146480308112</v>
      </c>
      <c r="P92">
        <f t="shared" si="36"/>
        <v>-500.65448000131437</v>
      </c>
      <c r="Q92">
        <f t="shared" si="37"/>
        <v>651.52189479749575</v>
      </c>
      <c r="R92">
        <f t="shared" si="45"/>
        <v>0.39740429994414617</v>
      </c>
      <c r="S92">
        <f t="shared" si="46"/>
        <v>0.91764362493612028</v>
      </c>
      <c r="U92">
        <f t="shared" si="63"/>
        <v>1</v>
      </c>
      <c r="V92" cm="1">
        <f t="array" ref="V92:AA92">INDEX(surface!$A$2:$I$40,U92+1,COLUMN(surface!$B$1:$G$1))</f>
        <v>0</v>
      </c>
      <c r="W92">
        <v>100</v>
      </c>
      <c r="X92">
        <v>-500</v>
      </c>
      <c r="Y92">
        <v>500</v>
      </c>
      <c r="Z92">
        <v>500</v>
      </c>
      <c r="AA92">
        <v>-400</v>
      </c>
      <c r="AB92">
        <f t="shared" si="38"/>
        <v>-1184.8376849898527</v>
      </c>
      <c r="AC92">
        <f t="shared" si="39"/>
        <v>1123.5629296061622</v>
      </c>
      <c r="AD92">
        <f t="shared" si="47"/>
        <v>-565.75959994652112</v>
      </c>
      <c r="AE92">
        <f t="shared" si="48"/>
        <v>-33.447413716636447</v>
      </c>
      <c r="AF92">
        <f t="shared" si="49"/>
        <v>1.2462232969251976</v>
      </c>
      <c r="AG92" t="b">
        <f t="shared" si="57"/>
        <v>0</v>
      </c>
      <c r="AH92">
        <f t="shared" si="50"/>
        <v>25000</v>
      </c>
      <c r="AI92">
        <f t="shared" si="58"/>
        <v>2</v>
      </c>
      <c r="AJ92" cm="1">
        <f t="array" ref="AJ92:AO92">INDEX(surface!$A$2:$I$40,AI92+1,COLUMN(surface!$B$1:$G$1))</f>
        <v>-500</v>
      </c>
      <c r="AK92">
        <v>500</v>
      </c>
      <c r="AL92">
        <v>-500</v>
      </c>
      <c r="AM92">
        <v>1000</v>
      </c>
      <c r="AN92">
        <v>0</v>
      </c>
      <c r="AO92">
        <v>-500</v>
      </c>
      <c r="AP92">
        <f t="shared" si="59"/>
        <v>-684.83768498985273</v>
      </c>
      <c r="AQ92">
        <f t="shared" si="60"/>
        <v>723.56292960616224</v>
      </c>
      <c r="AR92">
        <f t="shared" si="61"/>
        <v>-458.82181246806016</v>
      </c>
      <c r="AS92">
        <f t="shared" si="51"/>
        <v>100.71321805495015</v>
      </c>
      <c r="AT92">
        <f t="shared" si="52"/>
        <v>0.30361066143866139</v>
      </c>
      <c r="AU92" t="b">
        <f t="shared" si="62"/>
        <v>1</v>
      </c>
      <c r="AV92">
        <f t="shared" si="53"/>
        <v>100.71321805495015</v>
      </c>
    </row>
    <row r="93" spans="1:48" x14ac:dyDescent="0.25">
      <c r="A93">
        <f t="shared" si="32"/>
        <v>9.0999999999999837</v>
      </c>
      <c r="B93">
        <f t="shared" si="54"/>
        <v>0.1</v>
      </c>
      <c r="C93">
        <f>sim!C92+(sim!$G92*$B93*COS($E93))</f>
        <v>-601.69291085459179</v>
      </c>
      <c r="D93">
        <f>sim!D92+(sim!$G92*$B93*SIN($E93))</f>
        <v>617.80694519083352</v>
      </c>
      <c r="E93">
        <f t="shared" si="33"/>
        <v>1.5805596929373165</v>
      </c>
      <c r="F93">
        <f t="shared" si="40"/>
        <v>100.52384568885948</v>
      </c>
      <c r="G93">
        <v>100</v>
      </c>
      <c r="H93">
        <f t="shared" si="34"/>
        <v>-4.5714160214878626E-2</v>
      </c>
      <c r="I93">
        <f t="shared" si="41"/>
        <v>-2.6192284442974056</v>
      </c>
      <c r="J93">
        <f t="shared" si="55"/>
        <v>0</v>
      </c>
      <c r="K93">
        <f t="shared" si="56"/>
        <v>0</v>
      </c>
      <c r="L93">
        <f t="shared" si="42"/>
        <v>0</v>
      </c>
      <c r="M93">
        <f t="shared" si="35"/>
        <v>-2.6192284442974056</v>
      </c>
      <c r="N93">
        <f t="shared" si="43"/>
        <v>-592.49191805337568</v>
      </c>
      <c r="O93">
        <f t="shared" si="44"/>
        <v>621.72379743108581</v>
      </c>
      <c r="P93">
        <f t="shared" si="36"/>
        <v>-500.48199004121443</v>
      </c>
      <c r="Q93">
        <f t="shared" si="37"/>
        <v>660.89231983360821</v>
      </c>
      <c r="R93">
        <f t="shared" si="45"/>
        <v>0.39168522402522427</v>
      </c>
      <c r="S93">
        <f t="shared" si="46"/>
        <v>0.92009928012161268</v>
      </c>
      <c r="U93">
        <f t="shared" si="63"/>
        <v>1</v>
      </c>
      <c r="V93" cm="1">
        <f t="array" ref="V93:AA93">INDEX(surface!$A$2:$I$40,U93+1,COLUMN(surface!$B$1:$G$1))</f>
        <v>0</v>
      </c>
      <c r="W93">
        <v>100</v>
      </c>
      <c r="X93">
        <v>-500</v>
      </c>
      <c r="Y93">
        <v>500</v>
      </c>
      <c r="Z93">
        <v>500</v>
      </c>
      <c r="AA93">
        <v>-400</v>
      </c>
      <c r="AB93">
        <f t="shared" si="38"/>
        <v>-1184.9838361067514</v>
      </c>
      <c r="AC93">
        <f t="shared" si="39"/>
        <v>1143.4475948621716</v>
      </c>
      <c r="AD93">
        <f t="shared" si="47"/>
        <v>-563.88232406125724</v>
      </c>
      <c r="AE93">
        <f t="shared" si="48"/>
        <v>-42.322893404972305</v>
      </c>
      <c r="AF93">
        <f t="shared" si="49"/>
        <v>1.2628663636159088</v>
      </c>
      <c r="AG93" t="b">
        <f t="shared" si="57"/>
        <v>0</v>
      </c>
      <c r="AH93">
        <f t="shared" si="50"/>
        <v>25000</v>
      </c>
      <c r="AI93">
        <f t="shared" si="58"/>
        <v>2</v>
      </c>
      <c r="AJ93" cm="1">
        <f t="array" ref="AJ93:AO93">INDEX(surface!$A$2:$I$40,AI93+1,COLUMN(surface!$B$1:$G$1))</f>
        <v>-500</v>
      </c>
      <c r="AK93">
        <v>500</v>
      </c>
      <c r="AL93">
        <v>-500</v>
      </c>
      <c r="AM93">
        <v>1000</v>
      </c>
      <c r="AN93">
        <v>0</v>
      </c>
      <c r="AO93">
        <v>-500</v>
      </c>
      <c r="AP93">
        <f t="shared" si="59"/>
        <v>-684.98383610675137</v>
      </c>
      <c r="AQ93">
        <f t="shared" si="60"/>
        <v>743.44759486217163</v>
      </c>
      <c r="AR93">
        <f t="shared" si="61"/>
        <v>-460.04964006080633</v>
      </c>
      <c r="AS93">
        <f t="shared" si="51"/>
        <v>100.52384568885948</v>
      </c>
      <c r="AT93">
        <f t="shared" si="52"/>
        <v>0.3221950048992076</v>
      </c>
      <c r="AU93" t="b">
        <f t="shared" si="62"/>
        <v>1</v>
      </c>
      <c r="AV93">
        <f t="shared" si="53"/>
        <v>100.52384568885948</v>
      </c>
    </row>
    <row r="94" spans="1:48" x14ac:dyDescent="0.25">
      <c r="A94">
        <f t="shared" si="32"/>
        <v>9.1999999999999833</v>
      </c>
      <c r="B94">
        <f t="shared" si="54"/>
        <v>0.1</v>
      </c>
      <c r="C94">
        <f>sim!C93+(sim!$G93*$B94*COS($E94))</f>
        <v>-601.74483012254143</v>
      </c>
      <c r="D94">
        <f>sim!D93+(sim!$G93*$B94*SIN($E94))</f>
        <v>627.80681040940601</v>
      </c>
      <c r="E94">
        <f t="shared" si="33"/>
        <v>1.5759882769158287</v>
      </c>
      <c r="F94">
        <f t="shared" si="40"/>
        <v>100.36664889926541</v>
      </c>
      <c r="G94">
        <v>100</v>
      </c>
      <c r="H94">
        <f t="shared" si="34"/>
        <v>-3.1996152454972449E-2</v>
      </c>
      <c r="I94">
        <f t="shared" si="41"/>
        <v>-1.8332444963270689</v>
      </c>
      <c r="J94">
        <f t="shared" si="55"/>
        <v>0</v>
      </c>
      <c r="K94">
        <f t="shared" si="56"/>
        <v>0</v>
      </c>
      <c r="L94">
        <f t="shared" si="42"/>
        <v>0</v>
      </c>
      <c r="M94">
        <f t="shared" si="35"/>
        <v>-1.8332444963270689</v>
      </c>
      <c r="N94">
        <f t="shared" si="43"/>
        <v>-592.52602796289568</v>
      </c>
      <c r="O94">
        <f t="shared" si="44"/>
        <v>631.68156030343926</v>
      </c>
      <c r="P94">
        <f t="shared" si="36"/>
        <v>-500.33800636643798</v>
      </c>
      <c r="Q94">
        <f t="shared" si="37"/>
        <v>670.42905924377146</v>
      </c>
      <c r="R94">
        <f t="shared" si="45"/>
        <v>0.38747498940332248</v>
      </c>
      <c r="S94">
        <f t="shared" si="46"/>
        <v>0.92188021596457703</v>
      </c>
      <c r="U94">
        <f t="shared" si="63"/>
        <v>1</v>
      </c>
      <c r="V94" cm="1">
        <f t="array" ref="V94:AA94">INDEX(surface!$A$2:$I$40,U94+1,COLUMN(surface!$B$1:$G$1))</f>
        <v>0</v>
      </c>
      <c r="W94">
        <v>100</v>
      </c>
      <c r="X94">
        <v>-500</v>
      </c>
      <c r="Y94">
        <v>500</v>
      </c>
      <c r="Z94">
        <v>500</v>
      </c>
      <c r="AA94">
        <v>-400</v>
      </c>
      <c r="AB94">
        <f t="shared" si="38"/>
        <v>-1185.0520559257914</v>
      </c>
      <c r="AC94">
        <f t="shared" si="39"/>
        <v>1163.3631206068785</v>
      </c>
      <c r="AD94">
        <f t="shared" si="47"/>
        <v>-562.48958108749207</v>
      </c>
      <c r="AE94">
        <f t="shared" si="48"/>
        <v>-51.254938644058129</v>
      </c>
      <c r="AF94">
        <f t="shared" si="49"/>
        <v>1.2795538837386622</v>
      </c>
      <c r="AG94" t="b">
        <f t="shared" si="57"/>
        <v>0</v>
      </c>
      <c r="AH94">
        <f t="shared" si="50"/>
        <v>25000</v>
      </c>
      <c r="AI94">
        <f t="shared" si="58"/>
        <v>2</v>
      </c>
      <c r="AJ94" cm="1">
        <f t="array" ref="AJ94:AO94">INDEX(surface!$A$2:$I$40,AI94+1,COLUMN(surface!$B$1:$G$1))</f>
        <v>-500</v>
      </c>
      <c r="AK94">
        <v>500</v>
      </c>
      <c r="AL94">
        <v>-500</v>
      </c>
      <c r="AM94">
        <v>1000</v>
      </c>
      <c r="AN94">
        <v>0</v>
      </c>
      <c r="AO94">
        <v>-500</v>
      </c>
      <c r="AP94">
        <f t="shared" si="59"/>
        <v>-685.05205592579136</v>
      </c>
      <c r="AQ94">
        <f t="shared" si="60"/>
        <v>763.36312060687851</v>
      </c>
      <c r="AR94">
        <f t="shared" si="61"/>
        <v>-460.94010798228851</v>
      </c>
      <c r="AS94">
        <f t="shared" si="51"/>
        <v>100.36664889926541</v>
      </c>
      <c r="AT94">
        <f t="shared" si="52"/>
        <v>0.34114225304425821</v>
      </c>
      <c r="AU94" t="b">
        <f t="shared" si="62"/>
        <v>1</v>
      </c>
      <c r="AV94">
        <f t="shared" si="53"/>
        <v>100.36664889926541</v>
      </c>
    </row>
    <row r="95" spans="1:48" x14ac:dyDescent="0.25">
      <c r="A95">
        <f t="shared" si="32"/>
        <v>9.2999999999999829</v>
      </c>
      <c r="B95">
        <f t="shared" si="54"/>
        <v>0.1</v>
      </c>
      <c r="C95">
        <f>sim!C94+(sim!$G94*$B95*COS($E95))</f>
        <v>-601.76475345811514</v>
      </c>
      <c r="D95">
        <f>sim!D94+(sim!$G94*$B95*SIN($E95))</f>
        <v>637.80679056242127</v>
      </c>
      <c r="E95">
        <f t="shared" si="33"/>
        <v>1.5727886616703315</v>
      </c>
      <c r="F95">
        <f t="shared" si="40"/>
        <v>100.24057040696816</v>
      </c>
      <c r="G95">
        <v>100</v>
      </c>
      <c r="H95">
        <f t="shared" si="34"/>
        <v>-2.0993728422285547E-2</v>
      </c>
      <c r="I95">
        <f t="shared" si="41"/>
        <v>-1.2028520348408023</v>
      </c>
      <c r="J95">
        <f t="shared" si="55"/>
        <v>0</v>
      </c>
      <c r="K95">
        <f t="shared" si="56"/>
        <v>0</v>
      </c>
      <c r="L95">
        <f t="shared" si="42"/>
        <v>0</v>
      </c>
      <c r="M95">
        <f t="shared" si="35"/>
        <v>-1.2028520348408023</v>
      </c>
      <c r="N95">
        <f t="shared" si="43"/>
        <v>-592.53360079966671</v>
      </c>
      <c r="O95">
        <f t="shared" si="44"/>
        <v>641.65202405291586</v>
      </c>
      <c r="P95">
        <f t="shared" si="36"/>
        <v>-500.22207421518283</v>
      </c>
      <c r="Q95">
        <f t="shared" si="37"/>
        <v>680.10435895786179</v>
      </c>
      <c r="R95">
        <f t="shared" si="45"/>
        <v>0.38452334904945923</v>
      </c>
      <c r="S95">
        <f t="shared" si="46"/>
        <v>0.92311526584483894</v>
      </c>
      <c r="U95">
        <f t="shared" si="63"/>
        <v>1</v>
      </c>
      <c r="V95" cm="1">
        <f t="array" ref="V95:AA95">INDEX(surface!$A$2:$I$40,U95+1,COLUMN(surface!$B$1:$G$1))</f>
        <v>0</v>
      </c>
      <c r="W95">
        <v>100</v>
      </c>
      <c r="X95">
        <v>-500</v>
      </c>
      <c r="Y95">
        <v>500</v>
      </c>
      <c r="Z95">
        <v>500</v>
      </c>
      <c r="AA95">
        <v>-400</v>
      </c>
      <c r="AB95">
        <f t="shared" si="38"/>
        <v>-1185.0672015993334</v>
      </c>
      <c r="AC95">
        <f t="shared" si="39"/>
        <v>1183.3040481058317</v>
      </c>
      <c r="AD95">
        <f t="shared" si="47"/>
        <v>-561.50778086266519</v>
      </c>
      <c r="AE95">
        <f t="shared" si="48"/>
        <v>-60.217458883016235</v>
      </c>
      <c r="AF95">
        <f t="shared" si="49"/>
        <v>1.2962425127299257</v>
      </c>
      <c r="AG95" t="b">
        <f t="shared" si="57"/>
        <v>0</v>
      </c>
      <c r="AH95">
        <f t="shared" si="50"/>
        <v>25000</v>
      </c>
      <c r="AI95">
        <f t="shared" si="58"/>
        <v>2</v>
      </c>
      <c r="AJ95" cm="1">
        <f t="array" ref="AJ95:AO95">INDEX(surface!$A$2:$I$40,AI95+1,COLUMN(surface!$B$1:$G$1))</f>
        <v>-500</v>
      </c>
      <c r="AK95">
        <v>500</v>
      </c>
      <c r="AL95">
        <v>-500</v>
      </c>
      <c r="AM95">
        <v>1000</v>
      </c>
      <c r="AN95">
        <v>0</v>
      </c>
      <c r="AO95">
        <v>-500</v>
      </c>
      <c r="AP95">
        <f t="shared" si="59"/>
        <v>-685.06720159933343</v>
      </c>
      <c r="AQ95">
        <f t="shared" si="60"/>
        <v>783.30404810583173</v>
      </c>
      <c r="AR95">
        <f t="shared" si="61"/>
        <v>-461.55763292241949</v>
      </c>
      <c r="AS95">
        <f t="shared" si="51"/>
        <v>100.24057040696816</v>
      </c>
      <c r="AT95">
        <f t="shared" si="52"/>
        <v>0.36039372779286272</v>
      </c>
      <c r="AU95" t="b">
        <f t="shared" si="62"/>
        <v>1</v>
      </c>
      <c r="AV95">
        <f t="shared" si="53"/>
        <v>100.24057040696816</v>
      </c>
    </row>
    <row r="96" spans="1:48" x14ac:dyDescent="0.25">
      <c r="A96">
        <f t="shared" si="32"/>
        <v>9.3999999999999826</v>
      </c>
      <c r="B96">
        <f t="shared" si="54"/>
        <v>0.1</v>
      </c>
      <c r="C96">
        <f>sim!C95+(sim!$G95*$B96*COS($E96))</f>
        <v>-601.76368307844928</v>
      </c>
      <c r="D96">
        <f>sim!D95+(sim!$G95*$B96*SIN($E96))</f>
        <v>647.80679050513561</v>
      </c>
      <c r="E96">
        <f t="shared" si="33"/>
        <v>1.570689288828103</v>
      </c>
      <c r="F96">
        <f t="shared" si="40"/>
        <v>100.14333408964117</v>
      </c>
      <c r="G96">
        <v>100</v>
      </c>
      <c r="H96">
        <f t="shared" si="34"/>
        <v>-1.2508258972935756E-2</v>
      </c>
      <c r="I96">
        <f t="shared" si="41"/>
        <v>-0.71667044820586057</v>
      </c>
      <c r="J96">
        <f t="shared" si="55"/>
        <v>0</v>
      </c>
      <c r="K96">
        <f t="shared" si="56"/>
        <v>0</v>
      </c>
      <c r="L96">
        <f t="shared" si="42"/>
        <v>0</v>
      </c>
      <c r="M96">
        <f t="shared" si="35"/>
        <v>-0.71667044820586057</v>
      </c>
      <c r="N96">
        <f t="shared" si="43"/>
        <v>-592.52447818969699</v>
      </c>
      <c r="O96">
        <f t="shared" si="44"/>
        <v>651.63263590499889</v>
      </c>
      <c r="P96">
        <f t="shared" si="36"/>
        <v>-500.13242930217376</v>
      </c>
      <c r="Q96">
        <f t="shared" si="37"/>
        <v>689.89108990363195</v>
      </c>
      <c r="R96">
        <f t="shared" si="45"/>
        <v>0.38258453998633019</v>
      </c>
      <c r="S96">
        <f t="shared" si="46"/>
        <v>0.92392048887523226</v>
      </c>
      <c r="U96">
        <f t="shared" si="63"/>
        <v>1</v>
      </c>
      <c r="V96" cm="1">
        <f t="array" ref="V96:AA96">INDEX(surface!$A$2:$I$40,U96+1,COLUMN(surface!$B$1:$G$1))</f>
        <v>0</v>
      </c>
      <c r="W96">
        <v>100</v>
      </c>
      <c r="X96">
        <v>-500</v>
      </c>
      <c r="Y96">
        <v>500</v>
      </c>
      <c r="Z96">
        <v>500</v>
      </c>
      <c r="AA96">
        <v>-400</v>
      </c>
      <c r="AB96">
        <f t="shared" si="38"/>
        <v>-1185.048956379394</v>
      </c>
      <c r="AC96">
        <f t="shared" si="39"/>
        <v>1203.2652718099978</v>
      </c>
      <c r="AD96">
        <f t="shared" si="47"/>
        <v>-560.86046554325799</v>
      </c>
      <c r="AE96">
        <f t="shared" si="48"/>
        <v>-69.191053855136772</v>
      </c>
      <c r="AF96">
        <f t="shared" si="49"/>
        <v>1.312903020986655</v>
      </c>
      <c r="AG96" t="b">
        <f t="shared" si="57"/>
        <v>0</v>
      </c>
      <c r="AH96">
        <f t="shared" si="50"/>
        <v>25000</v>
      </c>
      <c r="AI96">
        <f t="shared" si="58"/>
        <v>2</v>
      </c>
      <c r="AJ96" cm="1">
        <f t="array" ref="AJ96:AO96">INDEX(surface!$A$2:$I$40,AI96+1,COLUMN(surface!$B$1:$G$1))</f>
        <v>-500</v>
      </c>
      <c r="AK96">
        <v>500</v>
      </c>
      <c r="AL96">
        <v>-500</v>
      </c>
      <c r="AM96">
        <v>1000</v>
      </c>
      <c r="AN96">
        <v>0</v>
      </c>
      <c r="AO96">
        <v>-500</v>
      </c>
      <c r="AP96">
        <f t="shared" si="59"/>
        <v>-685.04895637939399</v>
      </c>
      <c r="AQ96">
        <f t="shared" si="60"/>
        <v>803.26527180999778</v>
      </c>
      <c r="AR96">
        <f t="shared" si="61"/>
        <v>-461.96024443761615</v>
      </c>
      <c r="AS96">
        <f t="shared" si="51"/>
        <v>100.14333408964117</v>
      </c>
      <c r="AT96">
        <f t="shared" si="52"/>
        <v>0.3798918546207633</v>
      </c>
      <c r="AU96" t="b">
        <f t="shared" si="62"/>
        <v>1</v>
      </c>
      <c r="AV96">
        <f t="shared" si="53"/>
        <v>100.14333408964117</v>
      </c>
    </row>
    <row r="97" spans="1:48" x14ac:dyDescent="0.25">
      <c r="A97">
        <f t="shared" si="32"/>
        <v>9.4999999999999822</v>
      </c>
      <c r="B97">
        <f t="shared" si="54"/>
        <v>0.1</v>
      </c>
      <c r="C97">
        <f>sim!C96+(sim!$G96*$B97*COS($E97))</f>
        <v>-601.75010444398106</v>
      </c>
      <c r="D97">
        <f>sim!D96+(sim!$G96*$B97*SIN($E97))</f>
        <v>657.80678128616569</v>
      </c>
      <c r="E97">
        <f t="shared" si="33"/>
        <v>1.5694384629308094</v>
      </c>
      <c r="F97">
        <f t="shared" si="40"/>
        <v>100.07171156992759</v>
      </c>
      <c r="G97">
        <v>100</v>
      </c>
      <c r="H97">
        <f t="shared" si="34"/>
        <v>-6.2580150350526834E-3</v>
      </c>
      <c r="I97">
        <f t="shared" si="41"/>
        <v>-0.35855784963793269</v>
      </c>
      <c r="J97">
        <f t="shared" si="55"/>
        <v>0</v>
      </c>
      <c r="K97">
        <f t="shared" si="56"/>
        <v>0</v>
      </c>
      <c r="L97">
        <f t="shared" si="42"/>
        <v>0</v>
      </c>
      <c r="M97">
        <f t="shared" si="35"/>
        <v>-0.35855784963793269</v>
      </c>
      <c r="N97">
        <f t="shared" si="43"/>
        <v>-592.50612131764069</v>
      </c>
      <c r="O97">
        <f t="shared" si="44"/>
        <v>661.62106705940494</v>
      </c>
      <c r="P97">
        <f t="shared" si="36"/>
        <v>-500.06629005423741</v>
      </c>
      <c r="Q97">
        <f t="shared" si="37"/>
        <v>699.76392479179731</v>
      </c>
      <c r="R97">
        <f t="shared" si="45"/>
        <v>0.38142857732392399</v>
      </c>
      <c r="S97">
        <f t="shared" si="46"/>
        <v>0.92439831263403294</v>
      </c>
      <c r="U97">
        <f t="shared" si="63"/>
        <v>1</v>
      </c>
      <c r="V97" cm="1">
        <f t="array" ref="V97:AA97">INDEX(surface!$A$2:$I$40,U97+1,COLUMN(surface!$B$1:$G$1))</f>
        <v>0</v>
      </c>
      <c r="W97">
        <v>100</v>
      </c>
      <c r="X97">
        <v>-500</v>
      </c>
      <c r="Y97">
        <v>500</v>
      </c>
      <c r="Z97">
        <v>500</v>
      </c>
      <c r="AA97">
        <v>-400</v>
      </c>
      <c r="AB97">
        <f t="shared" si="38"/>
        <v>-1185.0122426352814</v>
      </c>
      <c r="AC97">
        <f t="shared" si="39"/>
        <v>1223.2421341188099</v>
      </c>
      <c r="AD97">
        <f t="shared" si="47"/>
        <v>-560.4736137155752</v>
      </c>
      <c r="AE97">
        <f t="shared" si="48"/>
        <v>-78.162618061940663</v>
      </c>
      <c r="AF97">
        <f t="shared" si="49"/>
        <v>1.3295190271303141</v>
      </c>
      <c r="AG97" t="b">
        <f t="shared" si="57"/>
        <v>0</v>
      </c>
      <c r="AH97">
        <f t="shared" si="50"/>
        <v>25000</v>
      </c>
      <c r="AI97">
        <f t="shared" si="58"/>
        <v>2</v>
      </c>
      <c r="AJ97" cm="1">
        <f t="array" ref="AJ97:AO97">INDEX(surface!$A$2:$I$40,AI97+1,COLUMN(surface!$B$1:$G$1))</f>
        <v>-500</v>
      </c>
      <c r="AK97">
        <v>500</v>
      </c>
      <c r="AL97">
        <v>-500</v>
      </c>
      <c r="AM97">
        <v>1000</v>
      </c>
      <c r="AN97">
        <v>0</v>
      </c>
      <c r="AO97">
        <v>-500</v>
      </c>
      <c r="AP97">
        <f t="shared" si="59"/>
        <v>-685.01224263528138</v>
      </c>
      <c r="AQ97">
        <f t="shared" si="60"/>
        <v>823.24213411880987</v>
      </c>
      <c r="AR97">
        <f t="shared" si="61"/>
        <v>-462.19915631701645</v>
      </c>
      <c r="AS97">
        <f t="shared" si="51"/>
        <v>100.07171156992759</v>
      </c>
      <c r="AT97">
        <f t="shared" si="52"/>
        <v>0.39958255526778502</v>
      </c>
      <c r="AU97" t="b">
        <f t="shared" si="62"/>
        <v>1</v>
      </c>
      <c r="AV97">
        <f t="shared" si="53"/>
        <v>100.07171156992759</v>
      </c>
    </row>
    <row r="98" spans="1:48" x14ac:dyDescent="0.25">
      <c r="A98">
        <f t="shared" si="32"/>
        <v>9.5999999999999819</v>
      </c>
      <c r="B98">
        <f t="shared" si="54"/>
        <v>0.1</v>
      </c>
      <c r="C98">
        <f>sim!C97+(sim!$G97*$B98*COS($E98))</f>
        <v>-601.7302678033144</v>
      </c>
      <c r="D98">
        <f>sim!D97+(sim!$G97*$B98*SIN($E98))</f>
        <v>667.80676161153065</v>
      </c>
      <c r="E98">
        <f t="shared" si="33"/>
        <v>1.5688126614273041</v>
      </c>
      <c r="F98">
        <f t="shared" si="40"/>
        <v>100.02186424142484</v>
      </c>
      <c r="G98">
        <v>100</v>
      </c>
      <c r="H98">
        <f t="shared" si="34"/>
        <v>-1.9080150065716617E-3</v>
      </c>
      <c r="I98">
        <f t="shared" si="41"/>
        <v>-0.10932120712418225</v>
      </c>
      <c r="J98">
        <f t="shared" si="55"/>
        <v>0</v>
      </c>
      <c r="K98">
        <f t="shared" si="56"/>
        <v>0</v>
      </c>
      <c r="L98">
        <f t="shared" si="42"/>
        <v>0</v>
      </c>
      <c r="M98">
        <f t="shared" si="35"/>
        <v>-0.10932120712418225</v>
      </c>
      <c r="N98">
        <f t="shared" si="43"/>
        <v>-592.48389950145724</v>
      </c>
      <c r="O98">
        <f t="shared" si="44"/>
        <v>671.61526173971902</v>
      </c>
      <c r="P98">
        <f t="shared" si="36"/>
        <v>-500.02021648288547</v>
      </c>
      <c r="Q98">
        <f t="shared" si="37"/>
        <v>709.70026302160272</v>
      </c>
      <c r="R98">
        <f t="shared" si="45"/>
        <v>0.38085001281883685</v>
      </c>
      <c r="S98">
        <f t="shared" si="46"/>
        <v>0.92463683018571774</v>
      </c>
      <c r="U98">
        <f t="shared" si="63"/>
        <v>1</v>
      </c>
      <c r="V98" cm="1">
        <f t="array" ref="V98:AA98">INDEX(surface!$A$2:$I$40,U98+1,COLUMN(surface!$B$1:$G$1))</f>
        <v>0</v>
      </c>
      <c r="W98">
        <v>100</v>
      </c>
      <c r="X98">
        <v>-500</v>
      </c>
      <c r="Y98">
        <v>500</v>
      </c>
      <c r="Z98">
        <v>500</v>
      </c>
      <c r="AA98">
        <v>-400</v>
      </c>
      <c r="AB98">
        <f t="shared" si="38"/>
        <v>-1184.9677990029145</v>
      </c>
      <c r="AC98">
        <f t="shared" si="39"/>
        <v>1243.230523479438</v>
      </c>
      <c r="AD98">
        <f t="shared" si="47"/>
        <v>-560.2797384837055</v>
      </c>
      <c r="AE98">
        <f t="shared" si="48"/>
        <v>-87.124462507573298</v>
      </c>
      <c r="AF98">
        <f t="shared" si="49"/>
        <v>1.3460847726921885</v>
      </c>
      <c r="AG98" t="b">
        <f t="shared" si="57"/>
        <v>0</v>
      </c>
      <c r="AH98">
        <f t="shared" si="50"/>
        <v>25000</v>
      </c>
      <c r="AI98">
        <f t="shared" si="58"/>
        <v>2</v>
      </c>
      <c r="AJ98" cm="1">
        <f t="array" ref="AJ98:AO98">INDEX(surface!$A$2:$I$40,AI98+1,COLUMN(surface!$B$1:$G$1))</f>
        <v>-500</v>
      </c>
      <c r="AK98">
        <v>500</v>
      </c>
      <c r="AL98">
        <v>-500</v>
      </c>
      <c r="AM98">
        <v>1000</v>
      </c>
      <c r="AN98">
        <v>0</v>
      </c>
      <c r="AO98">
        <v>-500</v>
      </c>
      <c r="AP98">
        <f t="shared" si="59"/>
        <v>-684.96779900291449</v>
      </c>
      <c r="AQ98">
        <f t="shared" si="60"/>
        <v>843.23052347943803</v>
      </c>
      <c r="AR98">
        <f t="shared" si="61"/>
        <v>-462.31841509285886</v>
      </c>
      <c r="AS98">
        <f t="shared" si="51"/>
        <v>100.02186424142484</v>
      </c>
      <c r="AT98">
        <f t="shared" si="52"/>
        <v>0.41941718003645928</v>
      </c>
      <c r="AU98" t="b">
        <f t="shared" si="62"/>
        <v>1</v>
      </c>
      <c r="AV98">
        <f t="shared" si="53"/>
        <v>100.02186424142484</v>
      </c>
    </row>
    <row r="99" spans="1:48" x14ac:dyDescent="0.25">
      <c r="A99">
        <f t="shared" si="32"/>
        <v>9.6999999999999815</v>
      </c>
      <c r="B99">
        <f t="shared" si="54"/>
        <v>0.1</v>
      </c>
      <c r="C99">
        <f>sim!C98+(sim!$G98*$B99*COS($E99))</f>
        <v>-601.70852315176785</v>
      </c>
      <c r="D99">
        <f>sim!D98+(sim!$G98*$B99*SIN($E99))</f>
        <v>677.80673797000918</v>
      </c>
      <c r="E99">
        <f t="shared" si="33"/>
        <v>1.568621859926647</v>
      </c>
      <c r="F99">
        <f t="shared" si="40"/>
        <v>99.989705242169364</v>
      </c>
      <c r="G99">
        <v>100</v>
      </c>
      <c r="H99">
        <f t="shared" si="34"/>
        <v>8.9838709920030027E-4</v>
      </c>
      <c r="I99">
        <f t="shared" si="41"/>
        <v>5.1473789153178018E-2</v>
      </c>
      <c r="J99">
        <f t="shared" si="55"/>
        <v>0</v>
      </c>
      <c r="K99">
        <f t="shared" si="56"/>
        <v>0</v>
      </c>
      <c r="L99">
        <f t="shared" si="42"/>
        <v>0</v>
      </c>
      <c r="M99">
        <f t="shared" si="35"/>
        <v>5.1473789153178018E-2</v>
      </c>
      <c r="N99">
        <f t="shared" si="43"/>
        <v>-592.46142835068338</v>
      </c>
      <c r="O99">
        <f t="shared" si="44"/>
        <v>681.61347380793597</v>
      </c>
      <c r="P99">
        <f t="shared" si="36"/>
        <v>-499.9904803398386</v>
      </c>
      <c r="Q99">
        <f t="shared" si="37"/>
        <v>719.68083218720415</v>
      </c>
      <c r="R99">
        <f t="shared" si="45"/>
        <v>0.38067358379268224</v>
      </c>
      <c r="S99">
        <f t="shared" si="46"/>
        <v>0.92470948010844778</v>
      </c>
      <c r="U99">
        <f t="shared" si="63"/>
        <v>1</v>
      </c>
      <c r="V99" cm="1">
        <f t="array" ref="V99:AA99">INDEX(surface!$A$2:$I$40,U99+1,COLUMN(surface!$B$1:$G$1))</f>
        <v>0</v>
      </c>
      <c r="W99">
        <v>100</v>
      </c>
      <c r="X99">
        <v>-500</v>
      </c>
      <c r="Y99">
        <v>500</v>
      </c>
      <c r="Z99">
        <v>500</v>
      </c>
      <c r="AA99">
        <v>-400</v>
      </c>
      <c r="AB99">
        <f t="shared" si="38"/>
        <v>-1184.9228567013668</v>
      </c>
      <c r="AC99">
        <f t="shared" si="39"/>
        <v>1263.2269476158719</v>
      </c>
      <c r="AD99">
        <f t="shared" si="47"/>
        <v>-560.2205839397202</v>
      </c>
      <c r="AE99">
        <f t="shared" si="48"/>
        <v>-96.073166725137526</v>
      </c>
      <c r="AF99">
        <f t="shared" si="49"/>
        <v>1.3626023928109152</v>
      </c>
      <c r="AG99" t="b">
        <f t="shared" si="57"/>
        <v>0</v>
      </c>
      <c r="AH99">
        <f t="shared" si="50"/>
        <v>25000</v>
      </c>
      <c r="AI99">
        <f t="shared" si="58"/>
        <v>2</v>
      </c>
      <c r="AJ99" cm="1">
        <f t="array" ref="AJ99:AO99">INDEX(surface!$A$2:$I$40,AI99+1,COLUMN(surface!$B$1:$G$1))</f>
        <v>-500</v>
      </c>
      <c r="AK99">
        <v>500</v>
      </c>
      <c r="AL99">
        <v>-500</v>
      </c>
      <c r="AM99">
        <v>1000</v>
      </c>
      <c r="AN99">
        <v>0</v>
      </c>
      <c r="AO99">
        <v>-500</v>
      </c>
      <c r="AP99">
        <f t="shared" si="59"/>
        <v>-684.92285670136675</v>
      </c>
      <c r="AQ99">
        <f t="shared" si="60"/>
        <v>863.22694761587195</v>
      </c>
      <c r="AR99">
        <f t="shared" si="61"/>
        <v>-462.3547400542239</v>
      </c>
      <c r="AS99">
        <f t="shared" si="51"/>
        <v>99.989705242169364</v>
      </c>
      <c r="AT99">
        <f t="shared" si="52"/>
        <v>0.43935382648969307</v>
      </c>
      <c r="AU99" t="b">
        <f t="shared" si="62"/>
        <v>1</v>
      </c>
      <c r="AV99">
        <f t="shared" si="53"/>
        <v>99.989705242169364</v>
      </c>
    </row>
    <row r="100" spans="1:48" x14ac:dyDescent="0.25">
      <c r="A100">
        <f t="shared" si="32"/>
        <v>9.7999999999999812</v>
      </c>
      <c r="B100">
        <f t="shared" si="54"/>
        <v>0.1</v>
      </c>
      <c r="C100">
        <f>sim!C99+(sim!$G99*$B100*COS($E100))</f>
        <v>-601.68767688528305</v>
      </c>
      <c r="D100">
        <f>sim!D99+(sim!$G99*$B100*SIN($E100))</f>
        <v>687.80671624164427</v>
      </c>
      <c r="E100">
        <f t="shared" si="33"/>
        <v>1.568711698636567</v>
      </c>
      <c r="F100">
        <f t="shared" si="40"/>
        <v>99.971229249637986</v>
      </c>
      <c r="G100">
        <v>100</v>
      </c>
      <c r="H100">
        <f t="shared" si="34"/>
        <v>2.5107216104324776E-3</v>
      </c>
      <c r="I100">
        <f t="shared" si="41"/>
        <v>0.14385375181007021</v>
      </c>
      <c r="J100">
        <f t="shared" si="55"/>
        <v>0</v>
      </c>
      <c r="K100">
        <f t="shared" si="56"/>
        <v>0</v>
      </c>
      <c r="L100">
        <f t="shared" si="42"/>
        <v>0</v>
      </c>
      <c r="M100">
        <f t="shared" si="35"/>
        <v>0.14385375181007021</v>
      </c>
      <c r="N100">
        <f t="shared" si="43"/>
        <v>-592.44092411375141</v>
      </c>
      <c r="O100">
        <f t="shared" si="44"/>
        <v>691.6142828112753</v>
      </c>
      <c r="P100">
        <f t="shared" si="36"/>
        <v>-499.97339639843511</v>
      </c>
      <c r="Q100">
        <f t="shared" si="37"/>
        <v>729.689948507586</v>
      </c>
      <c r="R100">
        <f t="shared" si="45"/>
        <v>0.38075665696310712</v>
      </c>
      <c r="S100">
        <f t="shared" si="46"/>
        <v>0.924675277153163</v>
      </c>
      <c r="U100">
        <f t="shared" si="63"/>
        <v>1</v>
      </c>
      <c r="V100" cm="1">
        <f t="array" ref="V100:AA100">INDEX(surface!$A$2:$I$40,U100+1,COLUMN(surface!$B$1:$G$1))</f>
        <v>0</v>
      </c>
      <c r="W100">
        <v>100</v>
      </c>
      <c r="X100">
        <v>-500</v>
      </c>
      <c r="Y100">
        <v>500</v>
      </c>
      <c r="Z100">
        <v>500</v>
      </c>
      <c r="AA100">
        <v>-400</v>
      </c>
      <c r="AB100">
        <f t="shared" si="38"/>
        <v>-1184.8818482275028</v>
      </c>
      <c r="AC100">
        <f t="shared" si="39"/>
        <v>1283.2285656225506</v>
      </c>
      <c r="AD100">
        <f t="shared" si="47"/>
        <v>-560.24843934281876</v>
      </c>
      <c r="AE100">
        <f t="shared" si="48"/>
        <v>-105.00836348450456</v>
      </c>
      <c r="AF100">
        <f t="shared" si="49"/>
        <v>1.3790791234443713</v>
      </c>
      <c r="AG100" t="b">
        <f t="shared" si="57"/>
        <v>0</v>
      </c>
      <c r="AH100">
        <f t="shared" si="50"/>
        <v>25000</v>
      </c>
      <c r="AI100">
        <f t="shared" si="58"/>
        <v>2</v>
      </c>
      <c r="AJ100" cm="1">
        <f t="array" ref="AJ100:AO100">INDEX(surface!$A$2:$I$40,AI100+1,COLUMN(surface!$B$1:$G$1))</f>
        <v>-500</v>
      </c>
      <c r="AK100">
        <v>500</v>
      </c>
      <c r="AL100">
        <v>-500</v>
      </c>
      <c r="AM100">
        <v>1000</v>
      </c>
      <c r="AN100">
        <v>0</v>
      </c>
      <c r="AO100">
        <v>-500</v>
      </c>
      <c r="AP100">
        <f t="shared" si="59"/>
        <v>-684.88184822750281</v>
      </c>
      <c r="AQ100">
        <f t="shared" si="60"/>
        <v>883.2285656225506</v>
      </c>
      <c r="AR100">
        <f t="shared" si="61"/>
        <v>-462.33763857658153</v>
      </c>
      <c r="AS100">
        <f t="shared" si="51"/>
        <v>99.971229249637986</v>
      </c>
      <c r="AT100">
        <f t="shared" si="52"/>
        <v>0.45935798770571973</v>
      </c>
      <c r="AU100" t="b">
        <f t="shared" si="62"/>
        <v>1</v>
      </c>
      <c r="AV100">
        <f t="shared" si="53"/>
        <v>99.971229249637986</v>
      </c>
    </row>
    <row r="101" spans="1:48" x14ac:dyDescent="0.25">
      <c r="A101">
        <f t="shared" si="32"/>
        <v>9.8999999999999808</v>
      </c>
      <c r="B101">
        <f t="shared" si="54"/>
        <v>0.1</v>
      </c>
      <c r="C101">
        <f>sim!C100+(sim!$G100*$B101*COS($E101))</f>
        <v>-601.66934133558402</v>
      </c>
      <c r="D101">
        <f>sim!D100+(sim!$G100*$B101*SIN($E101))</f>
        <v>697.80669943201099</v>
      </c>
      <c r="E101">
        <f t="shared" si="33"/>
        <v>1.5689627707976102</v>
      </c>
      <c r="F101">
        <f t="shared" si="40"/>
        <v>99.962772020969922</v>
      </c>
      <c r="G101">
        <v>100</v>
      </c>
      <c r="H101">
        <f t="shared" si="34"/>
        <v>3.2487540396913327E-3</v>
      </c>
      <c r="I101">
        <f t="shared" si="41"/>
        <v>0.18613989515039009</v>
      </c>
      <c r="J101">
        <f t="shared" si="55"/>
        <v>0</v>
      </c>
      <c r="K101">
        <f t="shared" si="56"/>
        <v>0</v>
      </c>
      <c r="L101">
        <f t="shared" si="42"/>
        <v>0</v>
      </c>
      <c r="M101">
        <f t="shared" si="35"/>
        <v>0.18613989515039009</v>
      </c>
      <c r="N101">
        <f t="shared" si="43"/>
        <v>-592.42354482945416</v>
      </c>
      <c r="O101">
        <f t="shared" si="44"/>
        <v>701.61658748380944</v>
      </c>
      <c r="P101">
        <f t="shared" si="36"/>
        <v>-499.96557976815535</v>
      </c>
      <c r="Q101">
        <f t="shared" si="37"/>
        <v>739.71546800179385</v>
      </c>
      <c r="R101">
        <f t="shared" si="45"/>
        <v>0.38098880517984357</v>
      </c>
      <c r="S101">
        <f t="shared" si="46"/>
        <v>0.92457965061298808</v>
      </c>
      <c r="U101">
        <f t="shared" si="63"/>
        <v>1</v>
      </c>
      <c r="V101" cm="1">
        <f t="array" ref="V101:AA101">INDEX(surface!$A$2:$I$40,U101+1,COLUMN(surface!$B$1:$G$1))</f>
        <v>0</v>
      </c>
      <c r="W101">
        <v>100</v>
      </c>
      <c r="X101">
        <v>-500</v>
      </c>
      <c r="Y101">
        <v>500</v>
      </c>
      <c r="Z101">
        <v>500</v>
      </c>
      <c r="AA101">
        <v>-400</v>
      </c>
      <c r="AB101">
        <f t="shared" si="38"/>
        <v>-1184.8470896589083</v>
      </c>
      <c r="AC101">
        <f t="shared" si="39"/>
        <v>1303.2331749676189</v>
      </c>
      <c r="AD101">
        <f t="shared" si="47"/>
        <v>-560.32626283511695</v>
      </c>
      <c r="AE101">
        <f t="shared" si="48"/>
        <v>-113.93161456882923</v>
      </c>
      <c r="AF101">
        <f t="shared" si="49"/>
        <v>1.395524794442552</v>
      </c>
      <c r="AG101" t="b">
        <f t="shared" si="57"/>
        <v>0</v>
      </c>
      <c r="AH101">
        <f t="shared" si="50"/>
        <v>25000</v>
      </c>
      <c r="AI101">
        <f t="shared" si="58"/>
        <v>2</v>
      </c>
      <c r="AJ101" cm="1">
        <f t="array" ref="AJ101:AO101">INDEX(surface!$A$2:$I$40,AI101+1,COLUMN(surface!$B$1:$G$1))</f>
        <v>-500</v>
      </c>
      <c r="AK101">
        <v>500</v>
      </c>
      <c r="AL101">
        <v>-500</v>
      </c>
      <c r="AM101">
        <v>1000</v>
      </c>
      <c r="AN101">
        <v>0</v>
      </c>
      <c r="AO101">
        <v>-500</v>
      </c>
      <c r="AP101">
        <f t="shared" si="59"/>
        <v>-684.84708965890832</v>
      </c>
      <c r="AQ101">
        <f t="shared" si="60"/>
        <v>903.23317496761888</v>
      </c>
      <c r="AR101">
        <f t="shared" si="61"/>
        <v>-462.28982530649404</v>
      </c>
      <c r="AS101">
        <f t="shared" si="51"/>
        <v>99.962772020969922</v>
      </c>
      <c r="AT101">
        <f t="shared" si="52"/>
        <v>0.47940256911708773</v>
      </c>
      <c r="AU101" t="b">
        <f t="shared" si="62"/>
        <v>1</v>
      </c>
      <c r="AV101">
        <f t="shared" si="53"/>
        <v>99.962772020969922</v>
      </c>
    </row>
    <row r="102" spans="1:48" x14ac:dyDescent="0.25">
      <c r="A102">
        <f t="shared" si="32"/>
        <v>9.9999999999999805</v>
      </c>
      <c r="B102">
        <f t="shared" si="54"/>
        <v>0.1</v>
      </c>
      <c r="C102">
        <f>sim!C101+(sim!$G101*$B102*COS($E102))</f>
        <v>-601.65425453537409</v>
      </c>
      <c r="D102">
        <f>sim!D101+(sim!$G101*$B102*SIN($E102))</f>
        <v>707.8066880514275</v>
      </c>
      <c r="E102">
        <f t="shared" si="33"/>
        <v>1.5692876462015792</v>
      </c>
      <c r="F102">
        <f t="shared" si="40"/>
        <v>99.961180906671203</v>
      </c>
      <c r="G102">
        <v>100</v>
      </c>
      <c r="H102">
        <f t="shared" si="34"/>
        <v>3.3876049561323927E-3</v>
      </c>
      <c r="I102">
        <f t="shared" si="41"/>
        <v>0.19409546664398647</v>
      </c>
      <c r="J102">
        <f t="shared" si="55"/>
        <v>0</v>
      </c>
      <c r="K102">
        <f t="shared" si="56"/>
        <v>0</v>
      </c>
      <c r="L102">
        <f t="shared" si="42"/>
        <v>0</v>
      </c>
      <c r="M102">
        <f t="shared" si="35"/>
        <v>0.19409546664398647</v>
      </c>
      <c r="N102">
        <f t="shared" si="43"/>
        <v>-592.40969625606169</v>
      </c>
      <c r="O102">
        <f t="shared" si="44"/>
        <v>711.61957963399254</v>
      </c>
      <c r="P102">
        <f t="shared" si="36"/>
        <v>-499.96411346293718</v>
      </c>
      <c r="Q102">
        <f t="shared" si="37"/>
        <v>749.74849545964332</v>
      </c>
      <c r="R102">
        <f t="shared" si="45"/>
        <v>0.38128915825650789</v>
      </c>
      <c r="S102">
        <f t="shared" si="46"/>
        <v>0.92445582793124503</v>
      </c>
      <c r="U102">
        <f t="shared" si="63"/>
        <v>1</v>
      </c>
      <c r="V102" cm="1">
        <f t="array" ref="V102:AA102">INDEX(surface!$A$2:$I$40,U102+1,COLUMN(surface!$B$1:$G$1))</f>
        <v>0</v>
      </c>
      <c r="W102">
        <v>100</v>
      </c>
      <c r="X102">
        <v>-500</v>
      </c>
      <c r="Y102">
        <v>500</v>
      </c>
      <c r="Z102">
        <v>500</v>
      </c>
      <c r="AA102">
        <v>-400</v>
      </c>
      <c r="AB102">
        <f t="shared" si="38"/>
        <v>-1184.8193925121234</v>
      </c>
      <c r="AC102">
        <f t="shared" si="39"/>
        <v>1323.2391592679851</v>
      </c>
      <c r="AD102">
        <f t="shared" si="47"/>
        <v>-560.42691030075196</v>
      </c>
      <c r="AE102">
        <f t="shared" si="48"/>
        <v>-122.84547734801947</v>
      </c>
      <c r="AF102">
        <f t="shared" si="49"/>
        <v>1.4119498274508682</v>
      </c>
      <c r="AG102" t="b">
        <f t="shared" si="57"/>
        <v>0</v>
      </c>
      <c r="AH102">
        <f t="shared" si="50"/>
        <v>25000</v>
      </c>
      <c r="AI102">
        <f t="shared" si="58"/>
        <v>2</v>
      </c>
      <c r="AJ102" cm="1">
        <f t="array" ref="AJ102:AO102">INDEX(surface!$A$2:$I$40,AI102+1,COLUMN(surface!$B$1:$G$1))</f>
        <v>-500</v>
      </c>
      <c r="AK102">
        <v>500</v>
      </c>
      <c r="AL102">
        <v>-500</v>
      </c>
      <c r="AM102">
        <v>1000</v>
      </c>
      <c r="AN102">
        <v>0</v>
      </c>
      <c r="AO102">
        <v>-500</v>
      </c>
      <c r="AP102">
        <f t="shared" si="59"/>
        <v>-684.81939251212339</v>
      </c>
      <c r="AQ102">
        <f t="shared" si="60"/>
        <v>923.23915926798509</v>
      </c>
      <c r="AR102">
        <f t="shared" si="61"/>
        <v>-462.22791396562252</v>
      </c>
      <c r="AS102">
        <f t="shared" si="51"/>
        <v>99.961180906671203</v>
      </c>
      <c r="AT102">
        <f t="shared" si="52"/>
        <v>0.49946738832044746</v>
      </c>
      <c r="AU102" t="b">
        <f t="shared" si="62"/>
        <v>1</v>
      </c>
      <c r="AV102">
        <f t="shared" si="53"/>
        <v>99.961180906671203</v>
      </c>
    </row>
    <row r="103" spans="1:48" x14ac:dyDescent="0.25">
      <c r="A103">
        <f t="shared" si="32"/>
        <v>10.09999999999998</v>
      </c>
      <c r="B103">
        <f t="shared" si="54"/>
        <v>0.1</v>
      </c>
      <c r="C103">
        <f>sim!C102+(sim!$G102*$B103*COS($E103))</f>
        <v>-601.64255533706591</v>
      </c>
      <c r="D103">
        <f>sim!D102+(sim!$G102*$B103*SIN($E103))</f>
        <v>717.80668120786311</v>
      </c>
      <c r="E103">
        <f t="shared" si="33"/>
        <v>1.5696264066971926</v>
      </c>
      <c r="F103">
        <f t="shared" si="40"/>
        <v>99.963896232204178</v>
      </c>
      <c r="G103">
        <v>100</v>
      </c>
      <c r="H103">
        <f t="shared" si="34"/>
        <v>3.1506481020629707E-3</v>
      </c>
      <c r="I103">
        <f t="shared" si="41"/>
        <v>0.18051883897911125</v>
      </c>
      <c r="J103">
        <f t="shared" si="55"/>
        <v>0</v>
      </c>
      <c r="K103">
        <f t="shared" si="56"/>
        <v>0</v>
      </c>
      <c r="L103">
        <f t="shared" si="42"/>
        <v>0</v>
      </c>
      <c r="M103">
        <f t="shared" si="35"/>
        <v>0.18051883897911125</v>
      </c>
      <c r="N103">
        <f t="shared" si="43"/>
        <v>-592.39928924521757</v>
      </c>
      <c r="O103">
        <f t="shared" si="44"/>
        <v>721.62270426273153</v>
      </c>
      <c r="P103">
        <f t="shared" si="36"/>
        <v>-499.96662832673451</v>
      </c>
      <c r="Q103">
        <f t="shared" si="37"/>
        <v>759.78293481141577</v>
      </c>
      <c r="R103">
        <f t="shared" si="45"/>
        <v>0.38160230548684193</v>
      </c>
      <c r="S103">
        <f t="shared" si="46"/>
        <v>0.92432660918483078</v>
      </c>
      <c r="U103">
        <f t="shared" si="63"/>
        <v>1</v>
      </c>
      <c r="V103" cm="1">
        <f t="array" ref="V103:AA103">INDEX(surface!$A$2:$I$40,U103+1,COLUMN(surface!$B$1:$G$1))</f>
        <v>0</v>
      </c>
      <c r="W103">
        <v>100</v>
      </c>
      <c r="X103">
        <v>-500</v>
      </c>
      <c r="Y103">
        <v>500</v>
      </c>
      <c r="Z103">
        <v>500</v>
      </c>
      <c r="AA103">
        <v>-400</v>
      </c>
      <c r="AB103">
        <f t="shared" si="38"/>
        <v>-1184.7985784904351</v>
      </c>
      <c r="AC103">
        <f t="shared" si="39"/>
        <v>1343.2454085254631</v>
      </c>
      <c r="AD103">
        <f t="shared" si="47"/>
        <v>-560.53179641735323</v>
      </c>
      <c r="AE103">
        <f t="shared" si="48"/>
        <v>-131.75280493506784</v>
      </c>
      <c r="AF103">
        <f t="shared" si="49"/>
        <v>1.4283638253628788</v>
      </c>
      <c r="AG103" t="b">
        <f t="shared" si="57"/>
        <v>0</v>
      </c>
      <c r="AH103">
        <f t="shared" si="50"/>
        <v>25000</v>
      </c>
      <c r="AI103">
        <f t="shared" si="58"/>
        <v>2</v>
      </c>
      <c r="AJ103" cm="1">
        <f t="array" ref="AJ103:AO103">INDEX(surface!$A$2:$I$40,AI103+1,COLUMN(surface!$B$1:$G$1))</f>
        <v>-500</v>
      </c>
      <c r="AK103">
        <v>500</v>
      </c>
      <c r="AL103">
        <v>-500</v>
      </c>
      <c r="AM103">
        <v>1000</v>
      </c>
      <c r="AN103">
        <v>0</v>
      </c>
      <c r="AO103">
        <v>-500</v>
      </c>
      <c r="AP103">
        <f t="shared" si="59"/>
        <v>-684.79857849043515</v>
      </c>
      <c r="AQ103">
        <f t="shared" si="60"/>
        <v>943.24540852546306</v>
      </c>
      <c r="AR103">
        <f t="shared" si="61"/>
        <v>-462.16330459241539</v>
      </c>
      <c r="AS103">
        <f t="shared" si="51"/>
        <v>99.963896232204178</v>
      </c>
      <c r="AT103">
        <f t="shared" si="52"/>
        <v>0.51953831506077619</v>
      </c>
      <c r="AU103" t="b">
        <f t="shared" si="62"/>
        <v>1</v>
      </c>
      <c r="AV103">
        <f t="shared" si="53"/>
        <v>99.963896232204178</v>
      </c>
    </row>
    <row r="104" spans="1:48" x14ac:dyDescent="0.25">
      <c r="A104">
        <f t="shared" si="32"/>
        <v>10.19999999999998</v>
      </c>
      <c r="B104">
        <f t="shared" si="54"/>
        <v>0.1</v>
      </c>
      <c r="C104">
        <f>sim!C103+(sim!$G103*$B104*COS($E104))</f>
        <v>-601.63400678523215</v>
      </c>
      <c r="D104">
        <f>sim!D103+(sim!$G103*$B104*SIN($E104))</f>
        <v>727.80667755397553</v>
      </c>
      <c r="E104">
        <f t="shared" si="33"/>
        <v>1.5699414715073989</v>
      </c>
      <c r="F104">
        <f t="shared" si="40"/>
        <v>99.96895721505085</v>
      </c>
      <c r="G104">
        <v>100</v>
      </c>
      <c r="H104">
        <f t="shared" si="34"/>
        <v>2.7089940317560715E-3</v>
      </c>
      <c r="I104">
        <f t="shared" si="41"/>
        <v>0.1552139247457518</v>
      </c>
      <c r="J104">
        <f t="shared" si="55"/>
        <v>0</v>
      </c>
      <c r="K104">
        <f t="shared" si="56"/>
        <v>0</v>
      </c>
      <c r="L104">
        <f t="shared" si="42"/>
        <v>0</v>
      </c>
      <c r="M104">
        <f t="shared" si="35"/>
        <v>0.1552139247457518</v>
      </c>
      <c r="N104">
        <f t="shared" si="43"/>
        <v>-592.39194344671375</v>
      </c>
      <c r="O104">
        <f t="shared" si="44"/>
        <v>731.62561264727231</v>
      </c>
      <c r="P104">
        <f t="shared" si="36"/>
        <v>-499.97131006152961</v>
      </c>
      <c r="Q104">
        <f t="shared" si="37"/>
        <v>769.81496358024026</v>
      </c>
      <c r="R104">
        <f t="shared" si="45"/>
        <v>0.38189350932967986</v>
      </c>
      <c r="S104">
        <f t="shared" si="46"/>
        <v>0.92420633385184159</v>
      </c>
      <c r="U104">
        <f t="shared" si="63"/>
        <v>1</v>
      </c>
      <c r="V104" cm="1">
        <f t="array" ref="V104:AA104">INDEX(surface!$A$2:$I$40,U104+1,COLUMN(surface!$B$1:$G$1))</f>
        <v>0</v>
      </c>
      <c r="W104">
        <v>100</v>
      </c>
      <c r="X104">
        <v>-500</v>
      </c>
      <c r="Y104">
        <v>500</v>
      </c>
      <c r="Z104">
        <v>500</v>
      </c>
      <c r="AA104">
        <v>-400</v>
      </c>
      <c r="AB104">
        <f t="shared" si="38"/>
        <v>-1184.7838868934275</v>
      </c>
      <c r="AC104">
        <f t="shared" si="39"/>
        <v>1363.2512252945446</v>
      </c>
      <c r="AD104">
        <f t="shared" si="47"/>
        <v>-560.62928820557659</v>
      </c>
      <c r="AE104">
        <f t="shared" si="48"/>
        <v>-140.65627787186708</v>
      </c>
      <c r="AF104">
        <f t="shared" si="49"/>
        <v>1.4447747327038358</v>
      </c>
      <c r="AG104" t="b">
        <f t="shared" si="57"/>
        <v>0</v>
      </c>
      <c r="AH104">
        <f t="shared" si="50"/>
        <v>25000</v>
      </c>
      <c r="AI104">
        <f t="shared" si="58"/>
        <v>2</v>
      </c>
      <c r="AJ104" cm="1">
        <f t="array" ref="AJ104:AO104">INDEX(surface!$A$2:$I$40,AI104+1,COLUMN(surface!$B$1:$G$1))</f>
        <v>-500</v>
      </c>
      <c r="AK104">
        <v>500</v>
      </c>
      <c r="AL104">
        <v>-500</v>
      </c>
      <c r="AM104">
        <v>1000</v>
      </c>
      <c r="AN104">
        <v>0</v>
      </c>
      <c r="AO104">
        <v>-500</v>
      </c>
      <c r="AP104">
        <f t="shared" si="59"/>
        <v>-684.78388689342751</v>
      </c>
      <c r="AQ104">
        <f t="shared" si="60"/>
        <v>963.25122529454461</v>
      </c>
      <c r="AR104">
        <f t="shared" si="61"/>
        <v>-462.10316692592079</v>
      </c>
      <c r="AS104">
        <f t="shared" si="51"/>
        <v>99.96895721505085</v>
      </c>
      <c r="AT104">
        <f t="shared" si="52"/>
        <v>0.53960621708431344</v>
      </c>
      <c r="AU104" t="b">
        <f t="shared" si="62"/>
        <v>1</v>
      </c>
      <c r="AV104">
        <f t="shared" si="53"/>
        <v>99.96895721505085</v>
      </c>
    </row>
    <row r="105" spans="1:48" x14ac:dyDescent="0.25">
      <c r="A105">
        <f t="shared" si="32"/>
        <v>10.299999999999979</v>
      </c>
      <c r="B105">
        <f t="shared" si="54"/>
        <v>0.1</v>
      </c>
      <c r="C105">
        <f>sim!C104+(sim!$G104*$B105*COS($E105))</f>
        <v>-601.62816722672085</v>
      </c>
      <c r="D105">
        <f>sim!D104+(sim!$G104*$B105*SIN($E105))</f>
        <v>737.8066758489532</v>
      </c>
      <c r="E105">
        <f t="shared" si="33"/>
        <v>1.5702123709105746</v>
      </c>
      <c r="F105">
        <f t="shared" si="40"/>
        <v>99.974953277880559</v>
      </c>
      <c r="G105">
        <v>100</v>
      </c>
      <c r="H105">
        <f t="shared" si="34"/>
        <v>2.1857388390817117E-3</v>
      </c>
      <c r="I105">
        <f t="shared" si="41"/>
        <v>0.12523361059720628</v>
      </c>
      <c r="J105">
        <f t="shared" si="55"/>
        <v>0</v>
      </c>
      <c r="K105">
        <f t="shared" si="56"/>
        <v>0</v>
      </c>
      <c r="L105">
        <f t="shared" si="42"/>
        <v>0</v>
      </c>
      <c r="M105">
        <f t="shared" si="35"/>
        <v>0.12523361059720628</v>
      </c>
      <c r="N105">
        <f t="shared" si="43"/>
        <v>-592.38713877454859</v>
      </c>
      <c r="O105">
        <f t="shared" si="44"/>
        <v>741.62811447153274</v>
      </c>
      <c r="P105">
        <f t="shared" si="36"/>
        <v>-499.97685425282606</v>
      </c>
      <c r="Q105">
        <f t="shared" si="37"/>
        <v>779.84250069732855</v>
      </c>
      <c r="R105">
        <f t="shared" si="45"/>
        <v>0.38214386225795788</v>
      </c>
      <c r="S105">
        <f t="shared" si="46"/>
        <v>0.92410284521722519</v>
      </c>
      <c r="U105">
        <f t="shared" si="63"/>
        <v>1</v>
      </c>
      <c r="V105" cm="1">
        <f t="array" ref="V105:AA105">INDEX(surface!$A$2:$I$40,U105+1,COLUMN(surface!$B$1:$G$1))</f>
        <v>0</v>
      </c>
      <c r="W105">
        <v>100</v>
      </c>
      <c r="X105">
        <v>-500</v>
      </c>
      <c r="Y105">
        <v>500</v>
      </c>
      <c r="Z105">
        <v>500</v>
      </c>
      <c r="AA105">
        <v>-400</v>
      </c>
      <c r="AB105">
        <f t="shared" si="38"/>
        <v>-1184.7742775490972</v>
      </c>
      <c r="AC105">
        <f t="shared" si="39"/>
        <v>1383.2562289430655</v>
      </c>
      <c r="AD105">
        <f t="shared" si="47"/>
        <v>-560.71306921586904</v>
      </c>
      <c r="AE105">
        <f t="shared" si="48"/>
        <v>-149.55813646937125</v>
      </c>
      <c r="AF105">
        <f t="shared" si="49"/>
        <v>1.4611884764225609</v>
      </c>
      <c r="AG105" t="b">
        <f t="shared" si="57"/>
        <v>0</v>
      </c>
      <c r="AH105">
        <f t="shared" si="50"/>
        <v>25000</v>
      </c>
      <c r="AI105">
        <f t="shared" si="58"/>
        <v>2</v>
      </c>
      <c r="AJ105" cm="1">
        <f t="array" ref="AJ105:AO105">INDEX(surface!$A$2:$I$40,AI105+1,COLUMN(surface!$B$1:$G$1))</f>
        <v>-500</v>
      </c>
      <c r="AK105">
        <v>500</v>
      </c>
      <c r="AL105">
        <v>-500</v>
      </c>
      <c r="AM105">
        <v>1000</v>
      </c>
      <c r="AN105">
        <v>0</v>
      </c>
      <c r="AO105">
        <v>-500</v>
      </c>
      <c r="AP105">
        <f t="shared" si="59"/>
        <v>-684.77427754909718</v>
      </c>
      <c r="AQ105">
        <f t="shared" si="60"/>
        <v>983.25622894306548</v>
      </c>
      <c r="AR105">
        <f t="shared" si="61"/>
        <v>-462.0514226086126</v>
      </c>
      <c r="AS105">
        <f t="shared" si="51"/>
        <v>99.974953277880559</v>
      </c>
      <c r="AT105">
        <f t="shared" si="52"/>
        <v>0.5596658584924018</v>
      </c>
      <c r="AU105" t="b">
        <f t="shared" si="62"/>
        <v>1</v>
      </c>
      <c r="AV105">
        <f t="shared" si="53"/>
        <v>99.974953277880559</v>
      </c>
    </row>
    <row r="106" spans="1:48" x14ac:dyDescent="0.25">
      <c r="A106">
        <f t="shared" si="32"/>
        <v>10.399999999999979</v>
      </c>
      <c r="B106">
        <f t="shared" si="54"/>
        <v>0.1</v>
      </c>
      <c r="C106">
        <f>sim!C105+(sim!$G105*$B106*COS($E106))</f>
        <v>-601.62451340679797</v>
      </c>
      <c r="D106">
        <f>sim!D105+(sim!$G105*$B106*SIN($E106))</f>
        <v>747.80667518143321</v>
      </c>
      <c r="E106">
        <f t="shared" si="33"/>
        <v>1.5704309447944829</v>
      </c>
      <c r="F106">
        <f t="shared" si="40"/>
        <v>99.980942816276382</v>
      </c>
      <c r="G106">
        <v>100</v>
      </c>
      <c r="H106">
        <f t="shared" si="34"/>
        <v>1.6630530106730144E-3</v>
      </c>
      <c r="I106">
        <f t="shared" si="41"/>
        <v>9.5285918618088772E-2</v>
      </c>
      <c r="J106">
        <f t="shared" si="55"/>
        <v>0</v>
      </c>
      <c r="K106">
        <f t="shared" si="56"/>
        <v>0</v>
      </c>
      <c r="L106">
        <f t="shared" si="42"/>
        <v>0</v>
      </c>
      <c r="M106">
        <f t="shared" si="35"/>
        <v>9.5285918618088772E-2</v>
      </c>
      <c r="N106">
        <f t="shared" si="43"/>
        <v>-592.38432044204387</v>
      </c>
      <c r="O106">
        <f t="shared" si="44"/>
        <v>751.63013356019303</v>
      </c>
      <c r="P106">
        <f t="shared" si="36"/>
        <v>-499.98239079450292</v>
      </c>
      <c r="Q106">
        <f t="shared" si="37"/>
        <v>789.86471734779161</v>
      </c>
      <c r="R106">
        <f t="shared" si="45"/>
        <v>0.38234583787598525</v>
      </c>
      <c r="S106">
        <f t="shared" si="46"/>
        <v>0.92401929647540959</v>
      </c>
      <c r="U106">
        <f t="shared" si="63"/>
        <v>1</v>
      </c>
      <c r="V106" cm="1">
        <f t="array" ref="V106:AA106">INDEX(surface!$A$2:$I$40,U106+1,COLUMN(surface!$B$1:$G$1))</f>
        <v>0</v>
      </c>
      <c r="W106">
        <v>100</v>
      </c>
      <c r="X106">
        <v>-500</v>
      </c>
      <c r="Y106">
        <v>500</v>
      </c>
      <c r="Z106">
        <v>500</v>
      </c>
      <c r="AA106">
        <v>-400</v>
      </c>
      <c r="AB106">
        <f t="shared" si="38"/>
        <v>-1184.7686408840877</v>
      </c>
      <c r="AC106">
        <f t="shared" si="39"/>
        <v>1403.2602671203861</v>
      </c>
      <c r="AD106">
        <f t="shared" si="47"/>
        <v>-560.78063752815638</v>
      </c>
      <c r="AE106">
        <f t="shared" si="48"/>
        <v>-158.46006915461177</v>
      </c>
      <c r="AF106">
        <f t="shared" si="49"/>
        <v>1.4776089641234664</v>
      </c>
      <c r="AG106" t="b">
        <f t="shared" si="57"/>
        <v>0</v>
      </c>
      <c r="AH106">
        <f t="shared" si="50"/>
        <v>25000</v>
      </c>
      <c r="AI106">
        <f t="shared" si="58"/>
        <v>2</v>
      </c>
      <c r="AJ106" cm="1">
        <f t="array" ref="AJ106:AO106">INDEX(surface!$A$2:$I$40,AI106+1,COLUMN(surface!$B$1:$G$1))</f>
        <v>-500</v>
      </c>
      <c r="AK106">
        <v>500</v>
      </c>
      <c r="AL106">
        <v>-500</v>
      </c>
      <c r="AM106">
        <v>1000</v>
      </c>
      <c r="AN106">
        <v>0</v>
      </c>
      <c r="AO106">
        <v>-500</v>
      </c>
      <c r="AP106">
        <f t="shared" si="59"/>
        <v>-684.76864088408774</v>
      </c>
      <c r="AQ106">
        <f t="shared" si="60"/>
        <v>1003.2602671203861</v>
      </c>
      <c r="AR106">
        <f t="shared" si="61"/>
        <v>-462.00964823770482</v>
      </c>
      <c r="AS106">
        <f t="shared" si="51"/>
        <v>99.980942816276382</v>
      </c>
      <c r="AT106">
        <f t="shared" si="52"/>
        <v>0.57971486182582632</v>
      </c>
      <c r="AU106" t="b">
        <f t="shared" si="62"/>
        <v>1</v>
      </c>
      <c r="AV106">
        <f t="shared" si="53"/>
        <v>99.980942816276382</v>
      </c>
    </row>
    <row r="107" spans="1:48" x14ac:dyDescent="0.25">
      <c r="A107">
        <f t="shared" si="32"/>
        <v>10.499999999999979</v>
      </c>
      <c r="B107">
        <f t="shared" si="54"/>
        <v>0.1</v>
      </c>
      <c r="C107">
        <f>sim!C106+(sim!$G106*$B107*COS($E107))</f>
        <v>-601.6225226398177</v>
      </c>
      <c r="D107">
        <f>sim!D106+(sim!$G106*$B107*SIN($E107))</f>
        <v>757.80667498327557</v>
      </c>
      <c r="E107">
        <f t="shared" si="33"/>
        <v>1.5705972500955501</v>
      </c>
      <c r="F107">
        <f t="shared" si="40"/>
        <v>99.986358554206618</v>
      </c>
      <c r="G107">
        <v>100</v>
      </c>
      <c r="H107">
        <f t="shared" si="34"/>
        <v>1.1904407191342689E-3</v>
      </c>
      <c r="I107">
        <f t="shared" si="41"/>
        <v>6.8207228966912226E-2</v>
      </c>
      <c r="J107">
        <f t="shared" si="55"/>
        <v>0</v>
      </c>
      <c r="K107">
        <f t="shared" si="56"/>
        <v>0</v>
      </c>
      <c r="L107">
        <f t="shared" si="42"/>
        <v>0</v>
      </c>
      <c r="M107">
        <f t="shared" si="35"/>
        <v>6.8207228966912226E-2</v>
      </c>
      <c r="N107">
        <f t="shared" si="43"/>
        <v>-592.38296566423753</v>
      </c>
      <c r="O107">
        <f t="shared" si="44"/>
        <v>761.63167000222768</v>
      </c>
      <c r="P107">
        <f t="shared" si="36"/>
        <v>-499.98739590843627</v>
      </c>
      <c r="Q107">
        <f t="shared" si="37"/>
        <v>799.88162019174899</v>
      </c>
      <c r="R107">
        <f t="shared" si="45"/>
        <v>0.38249950189521315</v>
      </c>
      <c r="S107">
        <f t="shared" si="46"/>
        <v>0.92395569755801266</v>
      </c>
      <c r="U107">
        <f t="shared" si="63"/>
        <v>1</v>
      </c>
      <c r="V107" cm="1">
        <f t="array" ref="V107:AA107">INDEX(surface!$A$2:$I$40,U107+1,COLUMN(surface!$B$1:$G$1))</f>
        <v>0</v>
      </c>
      <c r="W107">
        <v>100</v>
      </c>
      <c r="X107">
        <v>-500</v>
      </c>
      <c r="Y107">
        <v>500</v>
      </c>
      <c r="Z107">
        <v>500</v>
      </c>
      <c r="AA107">
        <v>-400</v>
      </c>
      <c r="AB107">
        <f t="shared" si="38"/>
        <v>-1184.7659313284751</v>
      </c>
      <c r="AC107">
        <f t="shared" si="39"/>
        <v>1423.2633400044554</v>
      </c>
      <c r="AD107">
        <f t="shared" si="47"/>
        <v>-560.83202997081162</v>
      </c>
      <c r="AE107">
        <f t="shared" si="48"/>
        <v>-167.36320987284529</v>
      </c>
      <c r="AF107">
        <f t="shared" si="49"/>
        <v>1.4940383139757007</v>
      </c>
      <c r="AG107" t="b">
        <f t="shared" si="57"/>
        <v>0</v>
      </c>
      <c r="AH107">
        <f t="shared" si="50"/>
        <v>25000</v>
      </c>
      <c r="AI107">
        <f t="shared" si="58"/>
        <v>2</v>
      </c>
      <c r="AJ107" cm="1">
        <f t="array" ref="AJ107:AO107">INDEX(surface!$A$2:$I$40,AI107+1,COLUMN(surface!$B$1:$G$1))</f>
        <v>-500</v>
      </c>
      <c r="AK107">
        <v>500</v>
      </c>
      <c r="AL107">
        <v>-500</v>
      </c>
      <c r="AM107">
        <v>1000</v>
      </c>
      <c r="AN107">
        <v>0</v>
      </c>
      <c r="AO107">
        <v>-500</v>
      </c>
      <c r="AP107">
        <f t="shared" si="59"/>
        <v>-684.76593132847506</v>
      </c>
      <c r="AQ107">
        <f t="shared" si="60"/>
        <v>1023.2633400044554</v>
      </c>
      <c r="AR107">
        <f t="shared" si="61"/>
        <v>-461.97784877900631</v>
      </c>
      <c r="AS107">
        <f t="shared" si="51"/>
        <v>99.986358554206618</v>
      </c>
      <c r="AT107">
        <f t="shared" si="52"/>
        <v>0.59975280469105585</v>
      </c>
      <c r="AU107" t="b">
        <f t="shared" si="62"/>
        <v>1</v>
      </c>
      <c r="AV107">
        <f t="shared" si="53"/>
        <v>99.986358554206618</v>
      </c>
    </row>
    <row r="108" spans="1:48" x14ac:dyDescent="0.25">
      <c r="A108">
        <f t="shared" si="32"/>
        <v>10.599999999999978</v>
      </c>
      <c r="B108">
        <f t="shared" si="54"/>
        <v>0.1</v>
      </c>
      <c r="C108">
        <f>sim!C107+(sim!$G107*$B108*COS($E108))</f>
        <v>-601.62172231354418</v>
      </c>
      <c r="D108">
        <f>sim!D107+(sim!$G107*$B108*SIN($E108))</f>
        <v>767.80667495124942</v>
      </c>
      <c r="E108">
        <f t="shared" si="33"/>
        <v>1.5707162941674635</v>
      </c>
      <c r="F108">
        <f t="shared" si="40"/>
        <v>99.99091369996934</v>
      </c>
      <c r="G108">
        <v>100</v>
      </c>
      <c r="H108">
        <f t="shared" si="34"/>
        <v>7.9292926179537612E-4</v>
      </c>
      <c r="I108">
        <f t="shared" si="41"/>
        <v>4.5431500153298998E-2</v>
      </c>
      <c r="J108">
        <f t="shared" si="55"/>
        <v>0</v>
      </c>
      <c r="K108">
        <f t="shared" si="56"/>
        <v>0</v>
      </c>
      <c r="L108">
        <f t="shared" si="42"/>
        <v>0</v>
      </c>
      <c r="M108">
        <f t="shared" si="35"/>
        <v>4.5431500153298998E-2</v>
      </c>
      <c r="N108">
        <f t="shared" si="43"/>
        <v>-592.3826207464142</v>
      </c>
      <c r="O108">
        <f t="shared" si="44"/>
        <v>771.63276985758102</v>
      </c>
      <c r="P108">
        <f t="shared" si="36"/>
        <v>-499.99160507511471</v>
      </c>
      <c r="Q108">
        <f t="shared" si="37"/>
        <v>809.89371892089741</v>
      </c>
      <c r="R108">
        <f t="shared" si="45"/>
        <v>0.38260949063316413</v>
      </c>
      <c r="S108">
        <f t="shared" si="46"/>
        <v>0.92391015671299481</v>
      </c>
      <c r="U108">
        <f t="shared" si="63"/>
        <v>2</v>
      </c>
      <c r="V108" cm="1">
        <f t="array" ref="V108:AA108">INDEX(surface!$A$2:$I$40,U108+1,COLUMN(surface!$B$1:$G$1))</f>
        <v>-500</v>
      </c>
      <c r="W108">
        <v>500</v>
      </c>
      <c r="X108">
        <v>-500</v>
      </c>
      <c r="Y108">
        <v>1000</v>
      </c>
      <c r="Z108">
        <v>0</v>
      </c>
      <c r="AA108">
        <v>-500</v>
      </c>
      <c r="AB108">
        <f t="shared" si="38"/>
        <v>-684.76524149282841</v>
      </c>
      <c r="AC108">
        <f t="shared" si="39"/>
        <v>1043.265539715162</v>
      </c>
      <c r="AD108">
        <f t="shared" si="47"/>
        <v>-461.95507835649738</v>
      </c>
      <c r="AE108">
        <f t="shared" si="48"/>
        <v>99.99091369996934</v>
      </c>
      <c r="AF108">
        <f t="shared" si="49"/>
        <v>0.619780484832542</v>
      </c>
      <c r="AG108" t="b">
        <f t="shared" si="57"/>
        <v>1</v>
      </c>
      <c r="AH108">
        <f t="shared" si="50"/>
        <v>99.99091369996934</v>
      </c>
      <c r="AI108">
        <f t="shared" si="58"/>
        <v>3</v>
      </c>
      <c r="AJ108" cm="1">
        <f t="array" ref="AJ108:AO108">INDEX(surface!$A$2:$I$40,AI108+1,COLUMN(surface!$B$1:$G$1))</f>
        <v>-500</v>
      </c>
      <c r="AK108">
        <v>1000</v>
      </c>
      <c r="AL108">
        <v>0</v>
      </c>
      <c r="AM108">
        <v>1000</v>
      </c>
      <c r="AN108">
        <v>-500</v>
      </c>
      <c r="AO108">
        <v>0</v>
      </c>
      <c r="AP108">
        <f t="shared" si="59"/>
        <v>-684.76524149282841</v>
      </c>
      <c r="AQ108">
        <f t="shared" si="60"/>
        <v>543.26553971516205</v>
      </c>
      <c r="AR108">
        <f t="shared" si="61"/>
        <v>191.30474531658206</v>
      </c>
      <c r="AS108">
        <f t="shared" si="51"/>
        <v>596.86765679676103</v>
      </c>
      <c r="AT108">
        <f t="shared" si="52"/>
        <v>0.91813893916319855</v>
      </c>
      <c r="AU108" t="b">
        <f t="shared" si="62"/>
        <v>1</v>
      </c>
      <c r="AV108">
        <f t="shared" si="53"/>
        <v>596.86765679676103</v>
      </c>
    </row>
    <row r="109" spans="1:48" x14ac:dyDescent="0.25">
      <c r="A109">
        <f t="shared" si="32"/>
        <v>10.699999999999978</v>
      </c>
      <c r="B109">
        <f t="shared" si="54"/>
        <v>0.1</v>
      </c>
      <c r="C109">
        <f>sim!C108+(sim!$G108*$B109*COS($E109))</f>
        <v>-601.62171491653169</v>
      </c>
      <c r="D109">
        <f>sim!D108+(sim!$G108*$B109*SIN($E109))</f>
        <v>777.80667495124669</v>
      </c>
      <c r="E109">
        <f t="shared" si="33"/>
        <v>1.570795587093643</v>
      </c>
      <c r="F109">
        <f t="shared" si="40"/>
        <v>99.994517904328831</v>
      </c>
      <c r="G109">
        <v>100</v>
      </c>
      <c r="H109">
        <f t="shared" si="34"/>
        <v>4.784030968561736E-4</v>
      </c>
      <c r="I109">
        <f t="shared" si="41"/>
        <v>2.741047835584709E-2</v>
      </c>
      <c r="J109">
        <f t="shared" si="55"/>
        <v>0</v>
      </c>
      <c r="K109">
        <f t="shared" si="56"/>
        <v>0</v>
      </c>
      <c r="L109">
        <f t="shared" si="42"/>
        <v>0</v>
      </c>
      <c r="M109">
        <f t="shared" si="35"/>
        <v>2.741047835584709E-2</v>
      </c>
      <c r="N109">
        <f t="shared" si="43"/>
        <v>-592.38291676070719</v>
      </c>
      <c r="O109">
        <f t="shared" si="44"/>
        <v>781.63350244094806</v>
      </c>
      <c r="P109">
        <f t="shared" si="36"/>
        <v>-499.99493520246233</v>
      </c>
      <c r="Q109">
        <f t="shared" si="37"/>
        <v>819.90177733796168</v>
      </c>
      <c r="R109">
        <f t="shared" si="45"/>
        <v>0.38268274897013671</v>
      </c>
      <c r="S109">
        <f t="shared" si="46"/>
        <v>0.92387981558244869</v>
      </c>
      <c r="U109">
        <f t="shared" si="63"/>
        <v>2</v>
      </c>
      <c r="V109" cm="1">
        <f t="array" ref="V109:AA109">INDEX(surface!$A$2:$I$40,U109+1,COLUMN(surface!$B$1:$G$1))</f>
        <v>-500</v>
      </c>
      <c r="W109">
        <v>500</v>
      </c>
      <c r="X109">
        <v>-500</v>
      </c>
      <c r="Y109">
        <v>1000</v>
      </c>
      <c r="Z109">
        <v>0</v>
      </c>
      <c r="AA109">
        <v>-500</v>
      </c>
      <c r="AB109">
        <f t="shared" si="38"/>
        <v>-684.76583352141438</v>
      </c>
      <c r="AC109">
        <f t="shared" si="39"/>
        <v>1063.2670048818961</v>
      </c>
      <c r="AD109">
        <f t="shared" si="47"/>
        <v>-461.93990779122436</v>
      </c>
      <c r="AE109">
        <f t="shared" si="48"/>
        <v>99.994517904328831</v>
      </c>
      <c r="AF109">
        <f t="shared" si="49"/>
        <v>0.63979935886904027</v>
      </c>
      <c r="AG109" t="b">
        <f t="shared" si="57"/>
        <v>1</v>
      </c>
      <c r="AH109">
        <f t="shared" si="50"/>
        <v>99.994517904328831</v>
      </c>
      <c r="AI109">
        <f t="shared" si="58"/>
        <v>3</v>
      </c>
      <c r="AJ109" cm="1">
        <f t="array" ref="AJ109:AO109">INDEX(surface!$A$2:$I$40,AI109+1,COLUMN(surface!$B$1:$G$1))</f>
        <v>-500</v>
      </c>
      <c r="AK109">
        <v>1000</v>
      </c>
      <c r="AL109">
        <v>0</v>
      </c>
      <c r="AM109">
        <v>1000</v>
      </c>
      <c r="AN109">
        <v>-500</v>
      </c>
      <c r="AO109">
        <v>0</v>
      </c>
      <c r="AP109">
        <f t="shared" si="59"/>
        <v>-684.76583352141438</v>
      </c>
      <c r="AQ109">
        <f t="shared" si="60"/>
        <v>563.26700488189613</v>
      </c>
      <c r="AR109">
        <f t="shared" si="61"/>
        <v>191.34137448506834</v>
      </c>
      <c r="AS109">
        <f t="shared" si="51"/>
        <v>570.62017597268948</v>
      </c>
      <c r="AT109">
        <f t="shared" si="52"/>
        <v>0.86960309236913125</v>
      </c>
      <c r="AU109" t="b">
        <f t="shared" si="62"/>
        <v>1</v>
      </c>
      <c r="AV109">
        <f t="shared" si="53"/>
        <v>570.62017597268948</v>
      </c>
    </row>
    <row r="110" spans="1:48" x14ac:dyDescent="0.25">
      <c r="A110">
        <f t="shared" si="32"/>
        <v>10.799999999999978</v>
      </c>
      <c r="B110">
        <f t="shared" si="54"/>
        <v>0.1</v>
      </c>
      <c r="C110">
        <f>sim!C109+(sim!$G109*$B110*COS($E110))</f>
        <v>-601.62218592261581</v>
      </c>
      <c r="D110">
        <f>sim!D109+(sim!$G109*$B110*SIN($E110))</f>
        <v>787.80667494015438</v>
      </c>
      <c r="E110">
        <f t="shared" si="33"/>
        <v>1.5708434274033285</v>
      </c>
      <c r="F110">
        <f t="shared" si="40"/>
        <v>99.997207555023891</v>
      </c>
      <c r="G110">
        <v>100</v>
      </c>
      <c r="H110">
        <f t="shared" si="34"/>
        <v>2.4368679506936078E-4</v>
      </c>
      <c r="I110">
        <f t="shared" si="41"/>
        <v>1.3962224880543772E-2</v>
      </c>
      <c r="J110">
        <f t="shared" si="55"/>
        <v>0</v>
      </c>
      <c r="K110">
        <f t="shared" si="56"/>
        <v>0</v>
      </c>
      <c r="L110">
        <f t="shared" si="42"/>
        <v>0</v>
      </c>
      <c r="M110">
        <f t="shared" si="35"/>
        <v>1.3962224880543772E-2</v>
      </c>
      <c r="N110">
        <f t="shared" si="43"/>
        <v>-592.38357085397593</v>
      </c>
      <c r="O110">
        <f t="shared" si="44"/>
        <v>791.63394441244122</v>
      </c>
      <c r="P110">
        <f t="shared" si="36"/>
        <v>-499.99742016757654</v>
      </c>
      <c r="Q110">
        <f t="shared" si="37"/>
        <v>829.90663913531</v>
      </c>
      <c r="R110">
        <f t="shared" si="45"/>
        <v>0.38272694722868744</v>
      </c>
      <c r="S110">
        <f t="shared" si="46"/>
        <v>0.92386150686399393</v>
      </c>
      <c r="U110">
        <f t="shared" si="63"/>
        <v>2</v>
      </c>
      <c r="V110" cm="1">
        <f t="array" ref="V110:AA110">INDEX(surface!$A$2:$I$40,U110+1,COLUMN(surface!$B$1:$G$1))</f>
        <v>-500</v>
      </c>
      <c r="W110">
        <v>500</v>
      </c>
      <c r="X110">
        <v>-500</v>
      </c>
      <c r="Y110">
        <v>1000</v>
      </c>
      <c r="Z110">
        <v>0</v>
      </c>
      <c r="AA110">
        <v>-500</v>
      </c>
      <c r="AB110">
        <f t="shared" si="38"/>
        <v>-684.76714170795185</v>
      </c>
      <c r="AC110">
        <f t="shared" si="39"/>
        <v>1083.2678888248824</v>
      </c>
      <c r="AD110">
        <f t="shared" si="47"/>
        <v>-461.93075343199695</v>
      </c>
      <c r="AE110">
        <f t="shared" si="48"/>
        <v>99.997207555023891</v>
      </c>
      <c r="AF110">
        <f t="shared" si="49"/>
        <v>0.65981114078273806</v>
      </c>
      <c r="AG110" t="b">
        <f t="shared" si="57"/>
        <v>1</v>
      </c>
      <c r="AH110">
        <f t="shared" si="50"/>
        <v>99.997207555023891</v>
      </c>
      <c r="AI110">
        <f t="shared" si="58"/>
        <v>3</v>
      </c>
      <c r="AJ110" cm="1">
        <f t="array" ref="AJ110:AO110">INDEX(surface!$A$2:$I$40,AI110+1,COLUMN(surface!$B$1:$G$1))</f>
        <v>-500</v>
      </c>
      <c r="AK110">
        <v>1000</v>
      </c>
      <c r="AL110">
        <v>0</v>
      </c>
      <c r="AM110">
        <v>1000</v>
      </c>
      <c r="AN110">
        <v>-500</v>
      </c>
      <c r="AO110">
        <v>0</v>
      </c>
      <c r="AP110">
        <f t="shared" si="59"/>
        <v>-684.76714170795185</v>
      </c>
      <c r="AQ110">
        <f t="shared" si="60"/>
        <v>583.26788882488245</v>
      </c>
      <c r="AR110">
        <f t="shared" si="61"/>
        <v>191.36347361434372</v>
      </c>
      <c r="AS110">
        <f t="shared" si="51"/>
        <v>544.42483628688854</v>
      </c>
      <c r="AT110">
        <f t="shared" si="52"/>
        <v>0.82117915754442417</v>
      </c>
      <c r="AU110" t="b">
        <f t="shared" si="62"/>
        <v>1</v>
      </c>
      <c r="AV110">
        <f t="shared" si="53"/>
        <v>544.42483628688854</v>
      </c>
    </row>
    <row r="111" spans="1:48" x14ac:dyDescent="0.25">
      <c r="A111">
        <f t="shared" si="32"/>
        <v>10.899999999999977</v>
      </c>
      <c r="B111">
        <f t="shared" si="54"/>
        <v>0.1</v>
      </c>
      <c r="C111">
        <f>sim!C110+(sim!$G110*$B111*COS($E111))</f>
        <v>-601.62290061549459</v>
      </c>
      <c r="D111">
        <f>sim!D110+(sim!$G110*$B111*SIN($E111))</f>
        <v>797.80667491461509</v>
      </c>
      <c r="E111">
        <f t="shared" si="33"/>
        <v>1.5708677960828354</v>
      </c>
      <c r="F111">
        <f t="shared" si="40"/>
        <v>99.999091641656378</v>
      </c>
      <c r="G111">
        <v>100</v>
      </c>
      <c r="H111">
        <f t="shared" si="34"/>
        <v>7.9269219420850592E-5</v>
      </c>
      <c r="I111">
        <f t="shared" si="41"/>
        <v>4.5417917181111989E-3</v>
      </c>
      <c r="J111">
        <f t="shared" si="55"/>
        <v>0</v>
      </c>
      <c r="K111">
        <f t="shared" si="56"/>
        <v>0</v>
      </c>
      <c r="L111">
        <f t="shared" si="42"/>
        <v>0</v>
      </c>
      <c r="M111">
        <f t="shared" si="35"/>
        <v>4.5417917181111989E-3</v>
      </c>
      <c r="N111">
        <f t="shared" si="43"/>
        <v>-592.38437881510094</v>
      </c>
      <c r="O111">
        <f t="shared" si="44"/>
        <v>801.63416951861529</v>
      </c>
      <c r="P111">
        <f t="shared" si="36"/>
        <v>-499.99916081116396</v>
      </c>
      <c r="Q111">
        <f t="shared" si="37"/>
        <v>839.90911555861703</v>
      </c>
      <c r="R111">
        <f t="shared" si="45"/>
        <v>0.38274946040001689</v>
      </c>
      <c r="S111">
        <f t="shared" si="46"/>
        <v>0.92385218003936964</v>
      </c>
      <c r="U111">
        <f t="shared" si="63"/>
        <v>2</v>
      </c>
      <c r="V111" cm="1">
        <f t="array" ref="V111:AA111">INDEX(surface!$A$2:$I$40,U111+1,COLUMN(surface!$B$1:$G$1))</f>
        <v>-500</v>
      </c>
      <c r="W111">
        <v>500</v>
      </c>
      <c r="X111">
        <v>-500</v>
      </c>
      <c r="Y111">
        <v>1000</v>
      </c>
      <c r="Z111">
        <v>0</v>
      </c>
      <c r="AA111">
        <v>-500</v>
      </c>
      <c r="AB111">
        <f t="shared" si="38"/>
        <v>-684.76875763020189</v>
      </c>
      <c r="AC111">
        <f t="shared" si="39"/>
        <v>1103.2683390372306</v>
      </c>
      <c r="AD111">
        <f t="shared" si="47"/>
        <v>-461.92609001968481</v>
      </c>
      <c r="AE111">
        <f t="shared" si="48"/>
        <v>99.999091641656378</v>
      </c>
      <c r="AF111">
        <f t="shared" si="49"/>
        <v>0.67981753576990223</v>
      </c>
      <c r="AG111" t="b">
        <f t="shared" si="57"/>
        <v>1</v>
      </c>
      <c r="AH111">
        <f t="shared" si="50"/>
        <v>99.999091641656378</v>
      </c>
      <c r="AI111">
        <f t="shared" si="58"/>
        <v>3</v>
      </c>
      <c r="AJ111" cm="1">
        <f t="array" ref="AJ111:AO111">INDEX(surface!$A$2:$I$40,AI111+1,COLUMN(surface!$B$1:$G$1))</f>
        <v>-500</v>
      </c>
      <c r="AK111">
        <v>1000</v>
      </c>
      <c r="AL111">
        <v>0</v>
      </c>
      <c r="AM111">
        <v>1000</v>
      </c>
      <c r="AN111">
        <v>-500</v>
      </c>
      <c r="AO111">
        <v>0</v>
      </c>
      <c r="AP111">
        <f t="shared" si="59"/>
        <v>-684.76875763020189</v>
      </c>
      <c r="AQ111">
        <f t="shared" si="60"/>
        <v>603.26833903723059</v>
      </c>
      <c r="AR111">
        <f t="shared" si="61"/>
        <v>191.37473020000846</v>
      </c>
      <c r="AS111">
        <f t="shared" si="51"/>
        <v>518.26547390574956</v>
      </c>
      <c r="AT111">
        <f t="shared" si="52"/>
        <v>0.77283261818372562</v>
      </c>
      <c r="AU111" t="b">
        <f t="shared" si="62"/>
        <v>1</v>
      </c>
      <c r="AV111">
        <f t="shared" si="53"/>
        <v>518.26547390574956</v>
      </c>
    </row>
    <row r="112" spans="1:48" x14ac:dyDescent="0.25">
      <c r="A112">
        <f t="shared" si="32"/>
        <v>10.999999999999977</v>
      </c>
      <c r="B112">
        <f t="shared" si="54"/>
        <v>0.1</v>
      </c>
      <c r="C112">
        <f>sim!C111+(sim!$G111*$B112*COS($E112))</f>
        <v>-601.62369457759257</v>
      </c>
      <c r="D112">
        <f>sim!D111+(sim!$G111*$B112*SIN($E112))</f>
        <v>807.80667488309632</v>
      </c>
      <c r="E112">
        <f t="shared" si="33"/>
        <v>1.5708757230047776</v>
      </c>
      <c r="F112">
        <f t="shared" si="40"/>
        <v>100.00031230121985</v>
      </c>
      <c r="G112">
        <v>100</v>
      </c>
      <c r="H112">
        <f t="shared" si="34"/>
        <v>-2.7253422721889514E-5</v>
      </c>
      <c r="I112">
        <f t="shared" si="41"/>
        <v>-1.5615060992502094E-3</v>
      </c>
      <c r="J112">
        <f t="shared" si="55"/>
        <v>0</v>
      </c>
      <c r="K112">
        <f t="shared" si="56"/>
        <v>0</v>
      </c>
      <c r="L112">
        <f t="shared" si="42"/>
        <v>0</v>
      </c>
      <c r="M112">
        <f t="shared" si="35"/>
        <v>-1.5615060992502094E-3</v>
      </c>
      <c r="N112">
        <f t="shared" si="43"/>
        <v>-592.38520311774005</v>
      </c>
      <c r="O112">
        <f t="shared" si="44"/>
        <v>811.63424272001737</v>
      </c>
      <c r="P112">
        <f t="shared" si="36"/>
        <v>-500.00028851921525</v>
      </c>
      <c r="Q112">
        <f t="shared" si="37"/>
        <v>849.90992108922831</v>
      </c>
      <c r="R112">
        <f t="shared" si="45"/>
        <v>0.38275678369210886</v>
      </c>
      <c r="S112">
        <f t="shared" si="46"/>
        <v>0.92384914598524803</v>
      </c>
      <c r="U112">
        <f t="shared" si="63"/>
        <v>2</v>
      </c>
      <c r="V112" cm="1">
        <f t="array" ref="V112:AA112">INDEX(surface!$A$2:$I$40,U112+1,COLUMN(surface!$B$1:$G$1))</f>
        <v>-500</v>
      </c>
      <c r="W112">
        <v>500</v>
      </c>
      <c r="X112">
        <v>-500</v>
      </c>
      <c r="Y112">
        <v>1000</v>
      </c>
      <c r="Z112">
        <v>0</v>
      </c>
      <c r="AA112">
        <v>-500</v>
      </c>
      <c r="AB112">
        <f t="shared" si="38"/>
        <v>-684.7704062354801</v>
      </c>
      <c r="AC112">
        <f t="shared" si="39"/>
        <v>1123.2684854400347</v>
      </c>
      <c r="AD112">
        <f t="shared" si="47"/>
        <v>-461.92457299262401</v>
      </c>
      <c r="AE112">
        <f t="shared" si="48"/>
        <v>100.00031230121985</v>
      </c>
      <c r="AF112">
        <f t="shared" si="49"/>
        <v>0.69982008124927741</v>
      </c>
      <c r="AG112" t="b">
        <f t="shared" si="57"/>
        <v>1</v>
      </c>
      <c r="AH112">
        <f t="shared" si="50"/>
        <v>100.00031230121985</v>
      </c>
      <c r="AI112">
        <f t="shared" si="58"/>
        <v>3</v>
      </c>
      <c r="AJ112" cm="1">
        <f t="array" ref="AJ112:AO112">INDEX(surface!$A$2:$I$40,AI112+1,COLUMN(surface!$B$1:$G$1))</f>
        <v>-500</v>
      </c>
      <c r="AK112">
        <v>1000</v>
      </c>
      <c r="AL112">
        <v>0</v>
      </c>
      <c r="AM112">
        <v>1000</v>
      </c>
      <c r="AN112">
        <v>-500</v>
      </c>
      <c r="AO112">
        <v>0</v>
      </c>
      <c r="AP112">
        <f t="shared" si="59"/>
        <v>-684.7704062354801</v>
      </c>
      <c r="AQ112">
        <f t="shared" si="60"/>
        <v>623.26848544003474</v>
      </c>
      <c r="AR112">
        <f t="shared" si="61"/>
        <v>191.37839184605443</v>
      </c>
      <c r="AS112">
        <f t="shared" si="51"/>
        <v>492.12911516025497</v>
      </c>
      <c r="AT112">
        <f t="shared" si="52"/>
        <v>0.72453571927507443</v>
      </c>
      <c r="AU112" t="b">
        <f t="shared" si="62"/>
        <v>1</v>
      </c>
      <c r="AV112">
        <f t="shared" si="53"/>
        <v>492.12911516025497</v>
      </c>
    </row>
    <row r="113" spans="1:48" x14ac:dyDescent="0.25">
      <c r="A113">
        <f t="shared" si="32"/>
        <v>11.099999999999977</v>
      </c>
      <c r="B113">
        <f t="shared" si="54"/>
        <v>0.1</v>
      </c>
      <c r="C113">
        <f>sim!C112+(sim!$G112*$B113*COS($E113))</f>
        <v>-601.62446128626789</v>
      </c>
      <c r="D113">
        <f>sim!D112+(sim!$G112*$B113*SIN($E113))</f>
        <v>817.80667485370418</v>
      </c>
      <c r="E113">
        <f t="shared" si="33"/>
        <v>1.5708729976625055</v>
      </c>
      <c r="F113">
        <f t="shared" si="40"/>
        <v>100.00101800326759</v>
      </c>
      <c r="G113">
        <v>100</v>
      </c>
      <c r="H113">
        <f t="shared" si="34"/>
        <v>-8.883754407744914E-5</v>
      </c>
      <c r="I113">
        <f t="shared" si="41"/>
        <v>-5.0900163379452579E-3</v>
      </c>
      <c r="J113">
        <f t="shared" si="55"/>
        <v>0</v>
      </c>
      <c r="K113">
        <f t="shared" si="56"/>
        <v>0</v>
      </c>
      <c r="L113">
        <f t="shared" si="42"/>
        <v>0</v>
      </c>
      <c r="M113">
        <f t="shared" si="35"/>
        <v>-5.0900163379452579E-3</v>
      </c>
      <c r="N113">
        <f t="shared" si="43"/>
        <v>-592.38595939501727</v>
      </c>
      <c r="O113">
        <f t="shared" si="44"/>
        <v>821.63421751255976</v>
      </c>
      <c r="P113">
        <f t="shared" si="36"/>
        <v>-500.00094048251128</v>
      </c>
      <c r="Q113">
        <f t="shared" si="37"/>
        <v>859.90964410111542</v>
      </c>
      <c r="R113">
        <f t="shared" si="45"/>
        <v>0.38275426588555683</v>
      </c>
      <c r="S113">
        <f t="shared" si="46"/>
        <v>0.92385018912505967</v>
      </c>
      <c r="U113">
        <f t="shared" si="63"/>
        <v>2</v>
      </c>
      <c r="V113" cm="1">
        <f t="array" ref="V113:AA113">INDEX(surface!$A$2:$I$40,U113+1,COLUMN(surface!$B$1:$G$1))</f>
        <v>-500</v>
      </c>
      <c r="W113">
        <v>500</v>
      </c>
      <c r="X113">
        <v>-500</v>
      </c>
      <c r="Y113">
        <v>1000</v>
      </c>
      <c r="Z113">
        <v>0</v>
      </c>
      <c r="AA113">
        <v>-500</v>
      </c>
      <c r="AB113">
        <f t="shared" si="38"/>
        <v>-684.77191879003453</v>
      </c>
      <c r="AC113">
        <f t="shared" si="39"/>
        <v>1143.2684350251195</v>
      </c>
      <c r="AD113">
        <f t="shared" si="47"/>
        <v>-461.92509456252986</v>
      </c>
      <c r="AE113">
        <f t="shared" si="48"/>
        <v>100.00101800326759</v>
      </c>
      <c r="AF113">
        <f t="shared" si="49"/>
        <v>0.71982006749241756</v>
      </c>
      <c r="AG113" t="b">
        <f t="shared" si="57"/>
        <v>1</v>
      </c>
      <c r="AH113">
        <f t="shared" si="50"/>
        <v>100.00101800326759</v>
      </c>
      <c r="AI113">
        <f t="shared" si="58"/>
        <v>3</v>
      </c>
      <c r="AJ113" cm="1">
        <f t="array" ref="AJ113:AO113">INDEX(surface!$A$2:$I$40,AI113+1,COLUMN(surface!$B$1:$G$1))</f>
        <v>-500</v>
      </c>
      <c r="AK113">
        <v>1000</v>
      </c>
      <c r="AL113">
        <v>0</v>
      </c>
      <c r="AM113">
        <v>1000</v>
      </c>
      <c r="AN113">
        <v>-500</v>
      </c>
      <c r="AO113">
        <v>0</v>
      </c>
      <c r="AP113">
        <f t="shared" si="59"/>
        <v>-684.77191879003453</v>
      </c>
      <c r="AQ113">
        <f t="shared" si="60"/>
        <v>643.26843502511952</v>
      </c>
      <c r="AR113">
        <f t="shared" si="61"/>
        <v>191.37713294277842</v>
      </c>
      <c r="AS113">
        <f t="shared" si="51"/>
        <v>466.00599492931963</v>
      </c>
      <c r="AT113">
        <f t="shared" si="52"/>
        <v>0.67626753430769249</v>
      </c>
      <c r="AU113" t="b">
        <f t="shared" si="62"/>
        <v>1</v>
      </c>
      <c r="AV113">
        <f t="shared" si="53"/>
        <v>466.00599492931963</v>
      </c>
    </row>
    <row r="114" spans="1:48" x14ac:dyDescent="0.25">
      <c r="A114">
        <f t="shared" ref="A114:A177" si="64">A113+B114</f>
        <v>11.199999999999976</v>
      </c>
      <c r="B114">
        <f t="shared" si="54"/>
        <v>0.1</v>
      </c>
      <c r="C114">
        <f>sim!C113+(sim!$G113*$B114*COS($E114))</f>
        <v>-601.62513915739942</v>
      </c>
      <c r="D114">
        <f>sim!D113+(sim!$G113*$B114*SIN($E114))</f>
        <v>827.80667483072875</v>
      </c>
      <c r="E114">
        <f t="shared" ref="E114:E177" si="65">E113+H113*B114</f>
        <v>1.5708641139080979</v>
      </c>
      <c r="F114">
        <f t="shared" si="40"/>
        <v>100.00134688572808</v>
      </c>
      <c r="G114">
        <v>100</v>
      </c>
      <c r="H114">
        <f t="shared" ref="H114:H177" si="66">RADIANS(M114)</f>
        <v>-1.1753795301582303E-4</v>
      </c>
      <c r="I114">
        <f t="shared" si="41"/>
        <v>-6.7344286404136255E-3</v>
      </c>
      <c r="J114">
        <f t="shared" si="55"/>
        <v>0</v>
      </c>
      <c r="K114">
        <f t="shared" si="56"/>
        <v>0</v>
      </c>
      <c r="L114">
        <f t="shared" si="42"/>
        <v>0</v>
      </c>
      <c r="M114">
        <f t="shared" ref="M114:M177" si="67">I114+J114+L114</f>
        <v>-6.7344286404136255E-3</v>
      </c>
      <c r="N114">
        <f t="shared" si="43"/>
        <v>-592.38660326356444</v>
      </c>
      <c r="O114">
        <f t="shared" si="44"/>
        <v>831.63413541685134</v>
      </c>
      <c r="P114">
        <f t="shared" ref="P114:P177" si="68">N114+S114*100</f>
        <v>-500.00124432521437</v>
      </c>
      <c r="Q114">
        <f t="shared" ref="Q114:Q177" si="69">O114+R114*100</f>
        <v>869.90874127807774</v>
      </c>
      <c r="R114">
        <f t="shared" si="45"/>
        <v>0.38274605861226357</v>
      </c>
      <c r="S114">
        <f t="shared" si="46"/>
        <v>0.9238535893835006</v>
      </c>
      <c r="U114">
        <f t="shared" si="63"/>
        <v>2</v>
      </c>
      <c r="V114" cm="1">
        <f t="array" ref="V114:AA114">INDEX(surface!$A$2:$I$40,U114+1,COLUMN(surface!$B$1:$G$1))</f>
        <v>-500</v>
      </c>
      <c r="W114">
        <v>500</v>
      </c>
      <c r="X114">
        <v>-500</v>
      </c>
      <c r="Y114">
        <v>1000</v>
      </c>
      <c r="Z114">
        <v>0</v>
      </c>
      <c r="AA114">
        <v>-500</v>
      </c>
      <c r="AB114">
        <f t="shared" ref="AB114:AB177" si="70">2*$N114-V114</f>
        <v>-684.77320652712888</v>
      </c>
      <c r="AC114">
        <f t="shared" ref="AC114:AC177" si="71">2*$O114-W114</f>
        <v>1163.2682708337027</v>
      </c>
      <c r="AD114">
        <f t="shared" si="47"/>
        <v>-461.92679469175027</v>
      </c>
      <c r="AE114">
        <f t="shared" si="48"/>
        <v>100.00134688572808</v>
      </c>
      <c r="AF114">
        <f t="shared" si="49"/>
        <v>0.73981851358656303</v>
      </c>
      <c r="AG114" t="b">
        <f t="shared" si="57"/>
        <v>1</v>
      </c>
      <c r="AH114">
        <f t="shared" si="50"/>
        <v>100.00134688572808</v>
      </c>
      <c r="AI114">
        <f t="shared" si="58"/>
        <v>3</v>
      </c>
      <c r="AJ114" cm="1">
        <f t="array" ref="AJ114:AO114">INDEX(surface!$A$2:$I$40,AI114+1,COLUMN(surface!$B$1:$G$1))</f>
        <v>-500</v>
      </c>
      <c r="AK114">
        <v>1000</v>
      </c>
      <c r="AL114">
        <v>0</v>
      </c>
      <c r="AM114">
        <v>1000</v>
      </c>
      <c r="AN114">
        <v>-500</v>
      </c>
      <c r="AO114">
        <v>0</v>
      </c>
      <c r="AP114">
        <f t="shared" si="59"/>
        <v>-684.77320652712888</v>
      </c>
      <c r="AQ114">
        <f t="shared" si="60"/>
        <v>663.26827083370267</v>
      </c>
      <c r="AR114">
        <f t="shared" si="61"/>
        <v>191.3730293061318</v>
      </c>
      <c r="AS114">
        <f t="shared" si="51"/>
        <v>439.88921843793491</v>
      </c>
      <c r="AT114">
        <f t="shared" si="52"/>
        <v>0.62801326024284898</v>
      </c>
      <c r="AU114" t="b">
        <f t="shared" si="62"/>
        <v>1</v>
      </c>
      <c r="AV114">
        <f t="shared" si="53"/>
        <v>439.88921843793491</v>
      </c>
    </row>
    <row r="115" spans="1:48" x14ac:dyDescent="0.25">
      <c r="A115">
        <f t="shared" si="64"/>
        <v>11.299999999999976</v>
      </c>
      <c r="B115">
        <f t="shared" si="54"/>
        <v>0.1</v>
      </c>
      <c r="C115">
        <f>sim!C114+(sim!$G114*$B115*COS($E115))</f>
        <v>-601.62569949057809</v>
      </c>
      <c r="D115">
        <f>sim!D114+(sim!$G114*$B115*SIN($E115))</f>
        <v>837.80667481503008</v>
      </c>
      <c r="E115">
        <f t="shared" si="65"/>
        <v>1.5708523601127964</v>
      </c>
      <c r="F115">
        <f t="shared" si="40"/>
        <v>100.00141775707645</v>
      </c>
      <c r="G115">
        <v>100</v>
      </c>
      <c r="H115">
        <f t="shared" si="66"/>
        <v>-1.2372264488777655E-4</v>
      </c>
      <c r="I115">
        <f t="shared" si="41"/>
        <v>-7.0887853822654279E-3</v>
      </c>
      <c r="J115">
        <f t="shared" si="55"/>
        <v>0</v>
      </c>
      <c r="K115">
        <f t="shared" si="56"/>
        <v>0</v>
      </c>
      <c r="L115">
        <f t="shared" si="42"/>
        <v>0</v>
      </c>
      <c r="M115">
        <f t="shared" si="67"/>
        <v>-7.0887853822654279E-3</v>
      </c>
      <c r="N115">
        <f t="shared" si="43"/>
        <v>-592.38711861019294</v>
      </c>
      <c r="O115">
        <f t="shared" si="44"/>
        <v>841.63402681302853</v>
      </c>
      <c r="P115">
        <f t="shared" si="68"/>
        <v>-500.00130980634196</v>
      </c>
      <c r="Q115">
        <f t="shared" si="69"/>
        <v>879.90754679301324</v>
      </c>
      <c r="R115">
        <f t="shared" si="45"/>
        <v>0.38273519979984716</v>
      </c>
      <c r="S115">
        <f t="shared" si="46"/>
        <v>0.92385808803850988</v>
      </c>
      <c r="U115">
        <f t="shared" si="63"/>
        <v>2</v>
      </c>
      <c r="V115" cm="1">
        <f t="array" ref="V115:AA115">INDEX(surface!$A$2:$I$40,U115+1,COLUMN(surface!$B$1:$G$1))</f>
        <v>-500</v>
      </c>
      <c r="W115">
        <v>500</v>
      </c>
      <c r="X115">
        <v>-500</v>
      </c>
      <c r="Y115">
        <v>1000</v>
      </c>
      <c r="Z115">
        <v>0</v>
      </c>
      <c r="AA115">
        <v>-500</v>
      </c>
      <c r="AB115">
        <f t="shared" si="70"/>
        <v>-684.77423722038588</v>
      </c>
      <c r="AC115">
        <f t="shared" si="71"/>
        <v>1183.2680536260571</v>
      </c>
      <c r="AD115">
        <f t="shared" si="47"/>
        <v>-461.92904401925495</v>
      </c>
      <c r="AE115">
        <f t="shared" si="48"/>
        <v>100.00141775707645</v>
      </c>
      <c r="AF115">
        <f t="shared" si="49"/>
        <v>0.75981617883710229</v>
      </c>
      <c r="AG115" t="b">
        <f t="shared" si="57"/>
        <v>1</v>
      </c>
      <c r="AH115">
        <f t="shared" si="50"/>
        <v>100.00141775707645</v>
      </c>
      <c r="AI115">
        <f t="shared" si="58"/>
        <v>3</v>
      </c>
      <c r="AJ115" cm="1">
        <f t="array" ref="AJ115:AO115">INDEX(surface!$A$2:$I$40,AI115+1,COLUMN(surface!$B$1:$G$1))</f>
        <v>-500</v>
      </c>
      <c r="AK115">
        <v>1000</v>
      </c>
      <c r="AL115">
        <v>0</v>
      </c>
      <c r="AM115">
        <v>1000</v>
      </c>
      <c r="AN115">
        <v>-500</v>
      </c>
      <c r="AO115">
        <v>0</v>
      </c>
      <c r="AP115">
        <f t="shared" si="59"/>
        <v>-684.77423722038588</v>
      </c>
      <c r="AQ115">
        <f t="shared" si="60"/>
        <v>683.26805362605705</v>
      </c>
      <c r="AR115">
        <f t="shared" si="61"/>
        <v>191.36759989992359</v>
      </c>
      <c r="AS115">
        <f t="shared" si="51"/>
        <v>413.77425768465918</v>
      </c>
      <c r="AT115">
        <f t="shared" si="52"/>
        <v>0.57976315194782002</v>
      </c>
      <c r="AU115" t="b">
        <f t="shared" si="62"/>
        <v>1</v>
      </c>
      <c r="AV115">
        <f t="shared" si="53"/>
        <v>413.77425768465918</v>
      </c>
    </row>
    <row r="116" spans="1:48" x14ac:dyDescent="0.25">
      <c r="A116">
        <f t="shared" si="64"/>
        <v>11.399999999999975</v>
      </c>
      <c r="B116">
        <f t="shared" si="54"/>
        <v>0.1</v>
      </c>
      <c r="C116">
        <f>sim!C115+(sim!$G115*$B116*COS($E116))</f>
        <v>-601.62613610111202</v>
      </c>
      <c r="D116">
        <f>sim!D115+(sim!$G115*$B116*SIN($E116))</f>
        <v>847.80667480549869</v>
      </c>
      <c r="E116">
        <f t="shared" si="65"/>
        <v>1.5708399878483077</v>
      </c>
      <c r="F116">
        <f t="shared" si="40"/>
        <v>100.00132654058568</v>
      </c>
      <c r="G116">
        <v>100</v>
      </c>
      <c r="H116">
        <f t="shared" si="66"/>
        <v>-1.1576250440724414E-4</v>
      </c>
      <c r="I116">
        <f t="shared" si="41"/>
        <v>-6.6327029283996808E-3</v>
      </c>
      <c r="J116">
        <f t="shared" si="55"/>
        <v>0</v>
      </c>
      <c r="K116">
        <f t="shared" si="56"/>
        <v>0</v>
      </c>
      <c r="L116">
        <f t="shared" si="42"/>
        <v>0</v>
      </c>
      <c r="M116">
        <f t="shared" si="67"/>
        <v>-6.6327029283996808E-3</v>
      </c>
      <c r="N116">
        <f t="shared" si="43"/>
        <v>-592.38750786842286</v>
      </c>
      <c r="O116">
        <f t="shared" si="44"/>
        <v>851.63391250103803</v>
      </c>
      <c r="P116">
        <f t="shared" si="68"/>
        <v>-500.00122554153063</v>
      </c>
      <c r="Q116">
        <f t="shared" si="69"/>
        <v>889.90628945643198</v>
      </c>
      <c r="R116">
        <f t="shared" si="45"/>
        <v>0.38272376955393905</v>
      </c>
      <c r="S116">
        <f t="shared" si="46"/>
        <v>0.923862823268922</v>
      </c>
      <c r="U116">
        <f t="shared" si="63"/>
        <v>2</v>
      </c>
      <c r="V116" cm="1">
        <f t="array" ref="V116:AA116">INDEX(surface!$A$2:$I$40,U116+1,COLUMN(surface!$B$1:$G$1))</f>
        <v>-500</v>
      </c>
      <c r="W116">
        <v>500</v>
      </c>
      <c r="X116">
        <v>-500</v>
      </c>
      <c r="Y116">
        <v>1000</v>
      </c>
      <c r="Z116">
        <v>0</v>
      </c>
      <c r="AA116">
        <v>-500</v>
      </c>
      <c r="AB116">
        <f t="shared" si="70"/>
        <v>-684.77501573684572</v>
      </c>
      <c r="AC116">
        <f t="shared" si="71"/>
        <v>1203.2678250020761</v>
      </c>
      <c r="AD116">
        <f t="shared" si="47"/>
        <v>-461.93141163446097</v>
      </c>
      <c r="AE116">
        <f t="shared" si="48"/>
        <v>100.00132654058568</v>
      </c>
      <c r="AF116">
        <f t="shared" si="49"/>
        <v>0.77981359431009067</v>
      </c>
      <c r="AG116" t="b">
        <f t="shared" si="57"/>
        <v>1</v>
      </c>
      <c r="AH116">
        <f t="shared" si="50"/>
        <v>100.00132654058568</v>
      </c>
      <c r="AI116">
        <f t="shared" si="58"/>
        <v>3</v>
      </c>
      <c r="AJ116" cm="1">
        <f t="array" ref="AJ116:AO116">INDEX(surface!$A$2:$I$40,AI116+1,COLUMN(surface!$B$1:$G$1))</f>
        <v>-500</v>
      </c>
      <c r="AK116">
        <v>1000</v>
      </c>
      <c r="AL116">
        <v>0</v>
      </c>
      <c r="AM116">
        <v>1000</v>
      </c>
      <c r="AN116">
        <v>-500</v>
      </c>
      <c r="AO116">
        <v>0</v>
      </c>
      <c r="AP116">
        <f t="shared" si="59"/>
        <v>-684.77501573684572</v>
      </c>
      <c r="AQ116">
        <f t="shared" si="60"/>
        <v>703.26782500207605</v>
      </c>
      <c r="AR116">
        <f t="shared" si="61"/>
        <v>191.36188477696953</v>
      </c>
      <c r="AS116">
        <f t="shared" si="51"/>
        <v>387.65840875752571</v>
      </c>
      <c r="AT116">
        <f t="shared" si="52"/>
        <v>0.53151136822048528</v>
      </c>
      <c r="AU116" t="b">
        <f t="shared" si="62"/>
        <v>1</v>
      </c>
      <c r="AV116">
        <f t="shared" si="53"/>
        <v>387.65840875752571</v>
      </c>
    </row>
    <row r="117" spans="1:48" x14ac:dyDescent="0.25">
      <c r="A117">
        <f t="shared" si="64"/>
        <v>11.499999999999975</v>
      </c>
      <c r="B117">
        <f t="shared" si="54"/>
        <v>0.1</v>
      </c>
      <c r="C117">
        <f>sim!C116+(sim!$G116*$B117*COS($E117))</f>
        <v>-601.6264569491417</v>
      </c>
      <c r="D117">
        <f>sim!D116+(sim!$G116*$B117*SIN($E117))</f>
        <v>857.80667480035152</v>
      </c>
      <c r="E117">
        <f t="shared" si="65"/>
        <v>1.570828411597867</v>
      </c>
      <c r="F117">
        <f t="shared" si="40"/>
        <v>100.00114631261438</v>
      </c>
      <c r="G117">
        <v>100</v>
      </c>
      <c r="H117">
        <f t="shared" si="66"/>
        <v>-1.0003464689045557E-4</v>
      </c>
      <c r="I117">
        <f t="shared" si="41"/>
        <v>-5.7315630719045885E-3</v>
      </c>
      <c r="J117">
        <f t="shared" si="55"/>
        <v>0</v>
      </c>
      <c r="K117">
        <f t="shared" si="56"/>
        <v>0</v>
      </c>
      <c r="L117">
        <f t="shared" si="42"/>
        <v>0</v>
      </c>
      <c r="M117">
        <f t="shared" si="67"/>
        <v>-5.7315630719045885E-3</v>
      </c>
      <c r="N117">
        <f t="shared" si="43"/>
        <v>-592.38778441200941</v>
      </c>
      <c r="O117">
        <f t="shared" si="44"/>
        <v>861.63380554696028</v>
      </c>
      <c r="P117">
        <f t="shared" si="68"/>
        <v>-500.00105904068693</v>
      </c>
      <c r="Q117">
        <f t="shared" si="69"/>
        <v>899.90511301304832</v>
      </c>
      <c r="R117">
        <f t="shared" si="45"/>
        <v>0.38271307466087995</v>
      </c>
      <c r="S117">
        <f t="shared" si="46"/>
        <v>0.92386725371322465</v>
      </c>
      <c r="U117">
        <f t="shared" si="63"/>
        <v>2</v>
      </c>
      <c r="V117" cm="1">
        <f t="array" ref="V117:AA117">INDEX(surface!$A$2:$I$40,U117+1,COLUMN(surface!$B$1:$G$1))</f>
        <v>-500</v>
      </c>
      <c r="W117">
        <v>500</v>
      </c>
      <c r="X117">
        <v>-500</v>
      </c>
      <c r="Y117">
        <v>1000</v>
      </c>
      <c r="Z117">
        <v>0</v>
      </c>
      <c r="AA117">
        <v>-500</v>
      </c>
      <c r="AB117">
        <f t="shared" si="70"/>
        <v>-684.77556882401882</v>
      </c>
      <c r="AC117">
        <f t="shared" si="71"/>
        <v>1223.2676110939206</v>
      </c>
      <c r="AD117">
        <f t="shared" si="47"/>
        <v>-461.93362685661231</v>
      </c>
      <c r="AE117">
        <f t="shared" si="48"/>
        <v>100.00114631261438</v>
      </c>
      <c r="AF117">
        <f t="shared" si="49"/>
        <v>0.79981110344374695</v>
      </c>
      <c r="AG117" t="b">
        <f t="shared" si="57"/>
        <v>1</v>
      </c>
      <c r="AH117">
        <f t="shared" si="50"/>
        <v>100.00114631261438</v>
      </c>
      <c r="AI117">
        <f t="shared" si="58"/>
        <v>3</v>
      </c>
      <c r="AJ117" cm="1">
        <f t="array" ref="AJ117:AO117">INDEX(surface!$A$2:$I$40,AI117+1,COLUMN(surface!$B$1:$G$1))</f>
        <v>-500</v>
      </c>
      <c r="AK117">
        <v>1000</v>
      </c>
      <c r="AL117">
        <v>0</v>
      </c>
      <c r="AM117">
        <v>1000</v>
      </c>
      <c r="AN117">
        <v>-500</v>
      </c>
      <c r="AO117">
        <v>0</v>
      </c>
      <c r="AP117">
        <f t="shared" si="59"/>
        <v>-684.77556882401882</v>
      </c>
      <c r="AQ117">
        <f t="shared" si="60"/>
        <v>723.26761109392055</v>
      </c>
      <c r="AR117">
        <f t="shared" si="61"/>
        <v>191.35653733043998</v>
      </c>
      <c r="AS117">
        <f t="shared" si="51"/>
        <v>361.54028595873109</v>
      </c>
      <c r="AT117">
        <f t="shared" si="52"/>
        <v>0.48325489336675481</v>
      </c>
      <c r="AU117" t="b">
        <f t="shared" si="62"/>
        <v>1</v>
      </c>
      <c r="AV117">
        <f t="shared" si="53"/>
        <v>361.54028595873109</v>
      </c>
    </row>
    <row r="118" spans="1:48" x14ac:dyDescent="0.25">
      <c r="A118">
        <f t="shared" si="64"/>
        <v>11.599999999999975</v>
      </c>
      <c r="B118">
        <f t="shared" si="54"/>
        <v>0.1</v>
      </c>
      <c r="C118">
        <f>sim!C117+(sim!$G117*$B118*COS($E118))</f>
        <v>-601.62667776252454</v>
      </c>
      <c r="D118">
        <f>sim!D117+(sim!$G117*$B118*SIN($E118))</f>
        <v>867.80667479791362</v>
      </c>
      <c r="E118">
        <f t="shared" si="65"/>
        <v>1.570818408133178</v>
      </c>
      <c r="F118">
        <f t="shared" si="40"/>
        <v>100.0009294899809</v>
      </c>
      <c r="G118">
        <v>100</v>
      </c>
      <c r="H118">
        <f t="shared" si="66"/>
        <v>-8.1113302655450243E-5</v>
      </c>
      <c r="I118">
        <f t="shared" si="41"/>
        <v>-4.6474499045245921E-3</v>
      </c>
      <c r="J118">
        <f t="shared" si="55"/>
        <v>0</v>
      </c>
      <c r="K118">
        <f t="shared" si="56"/>
        <v>0</v>
      </c>
      <c r="L118">
        <f t="shared" si="42"/>
        <v>0</v>
      </c>
      <c r="M118">
        <f t="shared" si="67"/>
        <v>-4.6474499045245921E-3</v>
      </c>
      <c r="N118">
        <f t="shared" si="43"/>
        <v>-592.38796694128723</v>
      </c>
      <c r="O118">
        <f t="shared" si="44"/>
        <v>871.63371312559639</v>
      </c>
      <c r="P118">
        <f t="shared" si="68"/>
        <v>-500.00085872891447</v>
      </c>
      <c r="Q118">
        <f t="shared" si="69"/>
        <v>909.90409640242456</v>
      </c>
      <c r="R118">
        <f t="shared" si="45"/>
        <v>0.38270383276828129</v>
      </c>
      <c r="S118">
        <f t="shared" si="46"/>
        <v>0.92387108212372759</v>
      </c>
      <c r="U118">
        <f t="shared" si="63"/>
        <v>2</v>
      </c>
      <c r="V118" cm="1">
        <f t="array" ref="V118:AA118">INDEX(surface!$A$2:$I$40,U118+1,COLUMN(surface!$B$1:$G$1))</f>
        <v>-500</v>
      </c>
      <c r="W118">
        <v>500</v>
      </c>
      <c r="X118">
        <v>-500</v>
      </c>
      <c r="Y118">
        <v>1000</v>
      </c>
      <c r="Z118">
        <v>0</v>
      </c>
      <c r="AA118">
        <v>-500</v>
      </c>
      <c r="AB118">
        <f t="shared" si="70"/>
        <v>-684.77593388257446</v>
      </c>
      <c r="AC118">
        <f t="shared" si="71"/>
        <v>1243.2674262511928</v>
      </c>
      <c r="AD118">
        <f t="shared" si="47"/>
        <v>-461.93554106186377</v>
      </c>
      <c r="AE118">
        <f t="shared" si="48"/>
        <v>100.0009294899809</v>
      </c>
      <c r="AF118">
        <f t="shared" si="49"/>
        <v>0.81980890424360542</v>
      </c>
      <c r="AG118" t="b">
        <f t="shared" si="57"/>
        <v>1</v>
      </c>
      <c r="AH118">
        <f t="shared" si="50"/>
        <v>100.0009294899809</v>
      </c>
      <c r="AI118">
        <f t="shared" si="58"/>
        <v>3</v>
      </c>
      <c r="AJ118" cm="1">
        <f t="array" ref="AJ118:AO118">INDEX(surface!$A$2:$I$40,AI118+1,COLUMN(surface!$B$1:$G$1))</f>
        <v>-500</v>
      </c>
      <c r="AK118">
        <v>1000</v>
      </c>
      <c r="AL118">
        <v>0</v>
      </c>
      <c r="AM118">
        <v>1000</v>
      </c>
      <c r="AN118">
        <v>-500</v>
      </c>
      <c r="AO118">
        <v>0</v>
      </c>
      <c r="AP118">
        <f t="shared" si="59"/>
        <v>-684.77593388257446</v>
      </c>
      <c r="AQ118">
        <f t="shared" si="60"/>
        <v>743.26742625119277</v>
      </c>
      <c r="AR118">
        <f t="shared" si="61"/>
        <v>191.35191638414065</v>
      </c>
      <c r="AS118">
        <f t="shared" si="51"/>
        <v>335.41939192473819</v>
      </c>
      <c r="AT118">
        <f t="shared" si="52"/>
        <v>0.4349926192830067</v>
      </c>
      <c r="AU118" t="b">
        <f t="shared" si="62"/>
        <v>1</v>
      </c>
      <c r="AV118">
        <f t="shared" si="53"/>
        <v>335.41939192473819</v>
      </c>
    </row>
    <row r="119" spans="1:48" x14ac:dyDescent="0.25">
      <c r="A119">
        <f t="shared" si="64"/>
        <v>11.699999999999974</v>
      </c>
      <c r="B119">
        <f t="shared" si="54"/>
        <v>0.1</v>
      </c>
      <c r="C119">
        <f>sim!C118+(sim!$G118*$B119*COS($E119))</f>
        <v>-601.62681746260466</v>
      </c>
      <c r="D119">
        <f>sim!D118+(sim!$G118*$B119*SIN($E119))</f>
        <v>877.80667479693784</v>
      </c>
      <c r="E119">
        <f t="shared" si="65"/>
        <v>1.5708102968029125</v>
      </c>
      <c r="F119">
        <f t="shared" si="40"/>
        <v>100.00071109925747</v>
      </c>
      <c r="G119">
        <v>100</v>
      </c>
      <c r="H119">
        <f t="shared" si="66"/>
        <v>-6.2055116756898693E-5</v>
      </c>
      <c r="I119">
        <f t="shared" si="41"/>
        <v>-3.5554962873618479E-3</v>
      </c>
      <c r="J119">
        <f t="shared" si="55"/>
        <v>0</v>
      </c>
      <c r="K119">
        <f t="shared" si="56"/>
        <v>0</v>
      </c>
      <c r="L119">
        <f t="shared" si="42"/>
        <v>0</v>
      </c>
      <c r="M119">
        <f t="shared" si="67"/>
        <v>-3.5554962873618479E-3</v>
      </c>
      <c r="N119">
        <f t="shared" si="43"/>
        <v>-592.38807559929955</v>
      </c>
      <c r="O119">
        <f t="shared" si="44"/>
        <v>881.6336381862601</v>
      </c>
      <c r="P119">
        <f t="shared" si="68"/>
        <v>-500.0006569662479</v>
      </c>
      <c r="Q119">
        <f t="shared" si="69"/>
        <v>919.90327207948224</v>
      </c>
      <c r="R119">
        <f t="shared" si="45"/>
        <v>0.38269633893222182</v>
      </c>
      <c r="S119">
        <f t="shared" si="46"/>
        <v>0.92387418633051654</v>
      </c>
      <c r="U119">
        <f t="shared" si="63"/>
        <v>2</v>
      </c>
      <c r="V119" cm="1">
        <f t="array" ref="V119:AA119">INDEX(surface!$A$2:$I$40,U119+1,COLUMN(surface!$B$1:$G$1))</f>
        <v>-500</v>
      </c>
      <c r="W119">
        <v>500</v>
      </c>
      <c r="X119">
        <v>-500</v>
      </c>
      <c r="Y119">
        <v>1000</v>
      </c>
      <c r="Z119">
        <v>0</v>
      </c>
      <c r="AA119">
        <v>-500</v>
      </c>
      <c r="AB119">
        <f t="shared" si="70"/>
        <v>-684.77615119859911</v>
      </c>
      <c r="AC119">
        <f t="shared" si="71"/>
        <v>1263.2672763725202</v>
      </c>
      <c r="AD119">
        <f t="shared" si="47"/>
        <v>-461.93709316525826</v>
      </c>
      <c r="AE119">
        <f t="shared" si="48"/>
        <v>100.00071109925747</v>
      </c>
      <c r="AF119">
        <f t="shared" si="49"/>
        <v>0.83980708842912943</v>
      </c>
      <c r="AG119" t="b">
        <f t="shared" si="57"/>
        <v>1</v>
      </c>
      <c r="AH119">
        <f t="shared" si="50"/>
        <v>100.00071109925747</v>
      </c>
      <c r="AI119">
        <f t="shared" si="58"/>
        <v>3</v>
      </c>
      <c r="AJ119" cm="1">
        <f t="array" ref="AJ119:AO119">INDEX(surface!$A$2:$I$40,AI119+1,COLUMN(surface!$B$1:$G$1))</f>
        <v>-500</v>
      </c>
      <c r="AK119">
        <v>1000</v>
      </c>
      <c r="AL119">
        <v>0</v>
      </c>
      <c r="AM119">
        <v>1000</v>
      </c>
      <c r="AN119">
        <v>-500</v>
      </c>
      <c r="AO119">
        <v>0</v>
      </c>
      <c r="AP119">
        <f t="shared" si="59"/>
        <v>-684.77615119859911</v>
      </c>
      <c r="AQ119">
        <f t="shared" si="60"/>
        <v>763.2672763725202</v>
      </c>
      <c r="AR119">
        <f t="shared" si="61"/>
        <v>191.3481694661109</v>
      </c>
      <c r="AS119">
        <f t="shared" si="51"/>
        <v>309.29577780649583</v>
      </c>
      <c r="AT119">
        <f t="shared" si="52"/>
        <v>0.386724618914282</v>
      </c>
      <c r="AU119" t="b">
        <f t="shared" si="62"/>
        <v>1</v>
      </c>
      <c r="AV119">
        <f t="shared" si="53"/>
        <v>309.29577780649583</v>
      </c>
    </row>
    <row r="120" spans="1:48" x14ac:dyDescent="0.25">
      <c r="A120">
        <f t="shared" si="64"/>
        <v>11.799999999999974</v>
      </c>
      <c r="B120">
        <f t="shared" si="54"/>
        <v>0.1</v>
      </c>
      <c r="C120">
        <f>sim!C119+(sim!$G119*$B120*COS($E120))</f>
        <v>-601.62689510756809</v>
      </c>
      <c r="D120">
        <f>sim!D119+(sim!$G119*$B120*SIN($E120))</f>
        <v>887.80667479663646</v>
      </c>
      <c r="E120">
        <f t="shared" si="65"/>
        <v>1.5708040912912369</v>
      </c>
      <c r="F120">
        <f t="shared" si="40"/>
        <v>100.00051238689446</v>
      </c>
      <c r="G120">
        <v>100</v>
      </c>
      <c r="H120">
        <f t="shared" si="66"/>
        <v>-4.4714191761676538E-5</v>
      </c>
      <c r="I120">
        <f t="shared" si="41"/>
        <v>-2.5619344722827009E-3</v>
      </c>
      <c r="J120">
        <f t="shared" si="55"/>
        <v>0</v>
      </c>
      <c r="K120">
        <f t="shared" si="56"/>
        <v>0</v>
      </c>
      <c r="L120">
        <f t="shared" si="42"/>
        <v>0</v>
      </c>
      <c r="M120">
        <f t="shared" si="67"/>
        <v>-2.5619344722827009E-3</v>
      </c>
      <c r="N120">
        <f t="shared" si="43"/>
        <v>-592.38812949617477</v>
      </c>
      <c r="O120">
        <f t="shared" si="44"/>
        <v>891.63358085476455</v>
      </c>
      <c r="P120">
        <f t="shared" si="68"/>
        <v>-500.00047338224203</v>
      </c>
      <c r="Q120">
        <f t="shared" si="69"/>
        <v>929.90264143604486</v>
      </c>
      <c r="R120">
        <f t="shared" si="45"/>
        <v>0.38269060581280329</v>
      </c>
      <c r="S120">
        <f t="shared" si="46"/>
        <v>0.92387656113932759</v>
      </c>
      <c r="U120">
        <f t="shared" si="63"/>
        <v>2</v>
      </c>
      <c r="V120" cm="1">
        <f t="array" ref="V120:AA120">INDEX(surface!$A$2:$I$40,U120+1,COLUMN(surface!$B$1:$G$1))</f>
        <v>-500</v>
      </c>
      <c r="W120">
        <v>500</v>
      </c>
      <c r="X120">
        <v>-500</v>
      </c>
      <c r="Y120">
        <v>1000</v>
      </c>
      <c r="Z120">
        <v>0</v>
      </c>
      <c r="AA120">
        <v>-500</v>
      </c>
      <c r="AB120">
        <f t="shared" si="70"/>
        <v>-684.77625899234954</v>
      </c>
      <c r="AC120">
        <f t="shared" si="71"/>
        <v>1283.2671617095291</v>
      </c>
      <c r="AD120">
        <f t="shared" si="47"/>
        <v>-461.93828056966379</v>
      </c>
      <c r="AE120">
        <f t="shared" si="48"/>
        <v>100.00051238689446</v>
      </c>
      <c r="AF120">
        <f t="shared" si="49"/>
        <v>0.85980567504339189</v>
      </c>
      <c r="AG120" t="b">
        <f t="shared" si="57"/>
        <v>1</v>
      </c>
      <c r="AH120">
        <f t="shared" si="50"/>
        <v>100.00051238689446</v>
      </c>
      <c r="AI120">
        <f t="shared" si="58"/>
        <v>3</v>
      </c>
      <c r="AJ120" cm="1">
        <f t="array" ref="AJ120:AO120">INDEX(surface!$A$2:$I$40,AI120+1,COLUMN(surface!$B$1:$G$1))</f>
        <v>-500</v>
      </c>
      <c r="AK120">
        <v>1000</v>
      </c>
      <c r="AL120">
        <v>0</v>
      </c>
      <c r="AM120">
        <v>1000</v>
      </c>
      <c r="AN120">
        <v>-500</v>
      </c>
      <c r="AO120">
        <v>0</v>
      </c>
      <c r="AP120">
        <f t="shared" si="59"/>
        <v>-684.77625899234954</v>
      </c>
      <c r="AQ120">
        <f t="shared" si="60"/>
        <v>783.26716170952909</v>
      </c>
      <c r="AR120">
        <f t="shared" si="61"/>
        <v>191.34530290640166</v>
      </c>
      <c r="AS120">
        <f t="shared" si="51"/>
        <v>283.16979173051323</v>
      </c>
      <c r="AT120">
        <f t="shared" si="52"/>
        <v>0.33845160781270278</v>
      </c>
      <c r="AU120" t="b">
        <f t="shared" si="62"/>
        <v>1</v>
      </c>
      <c r="AV120">
        <f t="shared" si="53"/>
        <v>283.16979173051323</v>
      </c>
    </row>
    <row r="121" spans="1:48" x14ac:dyDescent="0.25">
      <c r="A121">
        <f t="shared" si="64"/>
        <v>11.899999999999974</v>
      </c>
      <c r="B121">
        <f t="shared" si="54"/>
        <v>0.1</v>
      </c>
      <c r="C121">
        <f>sim!C120+(sim!$G120*$B121*COS($E121))</f>
        <v>-601.62692803833977</v>
      </c>
      <c r="D121">
        <f>sim!D120+(sim!$G120*$B121*SIN($E121))</f>
        <v>897.80667479658223</v>
      </c>
      <c r="E121">
        <f t="shared" si="65"/>
        <v>1.5707996198720606</v>
      </c>
      <c r="F121">
        <f t="shared" si="40"/>
        <v>100.00034429353602</v>
      </c>
      <c r="G121">
        <v>100</v>
      </c>
      <c r="H121">
        <f t="shared" si="66"/>
        <v>-3.004527898414718E-5</v>
      </c>
      <c r="I121">
        <f t="shared" si="41"/>
        <v>-1.7214676800847428E-3</v>
      </c>
      <c r="J121">
        <f t="shared" si="55"/>
        <v>0</v>
      </c>
      <c r="K121">
        <f t="shared" si="56"/>
        <v>0</v>
      </c>
      <c r="L121">
        <f t="shared" si="42"/>
        <v>0</v>
      </c>
      <c r="M121">
        <f t="shared" si="67"/>
        <v>-1.7214676800847428E-3</v>
      </c>
      <c r="N121">
        <f t="shared" si="43"/>
        <v>-592.38814531533774</v>
      </c>
      <c r="O121">
        <f t="shared" si="44"/>
        <v>901.63353954427828</v>
      </c>
      <c r="P121">
        <f t="shared" si="68"/>
        <v>-500.00031808531719</v>
      </c>
      <c r="Q121">
        <f t="shared" si="69"/>
        <v>939.90218702123889</v>
      </c>
      <c r="R121">
        <f t="shared" si="45"/>
        <v>0.38268647476960566</v>
      </c>
      <c r="S121">
        <f t="shared" si="46"/>
        <v>0.92387827230020514</v>
      </c>
      <c r="U121">
        <f t="shared" si="63"/>
        <v>2</v>
      </c>
      <c r="V121" cm="1">
        <f t="array" ref="V121:AA121">INDEX(surface!$A$2:$I$40,U121+1,COLUMN(surface!$B$1:$G$1))</f>
        <v>-500</v>
      </c>
      <c r="W121">
        <v>500</v>
      </c>
      <c r="X121">
        <v>-500</v>
      </c>
      <c r="Y121">
        <v>1000</v>
      </c>
      <c r="Z121">
        <v>0</v>
      </c>
      <c r="AA121">
        <v>-500</v>
      </c>
      <c r="AB121">
        <f t="shared" si="70"/>
        <v>-684.77629063067548</v>
      </c>
      <c r="AC121">
        <f t="shared" si="71"/>
        <v>1303.2670790885566</v>
      </c>
      <c r="AD121">
        <f t="shared" si="47"/>
        <v>-461.93913615010257</v>
      </c>
      <c r="AE121">
        <f t="shared" si="48"/>
        <v>100.00034429353602</v>
      </c>
      <c r="AF121">
        <f t="shared" si="49"/>
        <v>0.87980463755543681</v>
      </c>
      <c r="AG121" t="b">
        <f t="shared" si="57"/>
        <v>1</v>
      </c>
      <c r="AH121">
        <f t="shared" si="50"/>
        <v>100.00034429353602</v>
      </c>
      <c r="AI121">
        <f t="shared" si="58"/>
        <v>3</v>
      </c>
      <c r="AJ121" cm="1">
        <f t="array" ref="AJ121:AO121">INDEX(surface!$A$2:$I$40,AI121+1,COLUMN(surface!$B$1:$G$1))</f>
        <v>-500</v>
      </c>
      <c r="AK121">
        <v>1000</v>
      </c>
      <c r="AL121">
        <v>0</v>
      </c>
      <c r="AM121">
        <v>1000</v>
      </c>
      <c r="AN121">
        <v>-500</v>
      </c>
      <c r="AO121">
        <v>0</v>
      </c>
      <c r="AP121">
        <f t="shared" si="59"/>
        <v>-684.77629063067548</v>
      </c>
      <c r="AQ121">
        <f t="shared" si="60"/>
        <v>803.26707908855656</v>
      </c>
      <c r="AR121">
        <f t="shared" si="61"/>
        <v>191.34323738480282</v>
      </c>
      <c r="AS121">
        <f t="shared" si="51"/>
        <v>257.04190490385827</v>
      </c>
      <c r="AT121">
        <f t="shared" si="52"/>
        <v>0.29017457139198488</v>
      </c>
      <c r="AU121" t="b">
        <f t="shared" si="62"/>
        <v>1</v>
      </c>
      <c r="AV121">
        <f t="shared" si="53"/>
        <v>257.04190490385827</v>
      </c>
    </row>
    <row r="122" spans="1:48" x14ac:dyDescent="0.25">
      <c r="A122">
        <f t="shared" si="64"/>
        <v>11.999999999999973</v>
      </c>
      <c r="B122">
        <f t="shared" si="54"/>
        <v>0.1</v>
      </c>
      <c r="C122">
        <f>sim!C121+(sim!$G121*$B122*COS($E122))</f>
        <v>-601.62693092383245</v>
      </c>
      <c r="D122">
        <f>sim!D121+(sim!$G121*$B122*SIN($E122))</f>
        <v>907.80667479658177</v>
      </c>
      <c r="E122">
        <f t="shared" si="65"/>
        <v>1.5707966153441622</v>
      </c>
      <c r="F122">
        <f t="shared" si="40"/>
        <v>100.00021051895197</v>
      </c>
      <c r="G122">
        <v>100</v>
      </c>
      <c r="H122">
        <f t="shared" si="66"/>
        <v>-1.8371244248960237E-5</v>
      </c>
      <c r="I122">
        <f t="shared" si="41"/>
        <v>-1.0525947598694074E-3</v>
      </c>
      <c r="J122">
        <f t="shared" si="55"/>
        <v>0</v>
      </c>
      <c r="K122">
        <f t="shared" si="56"/>
        <v>0</v>
      </c>
      <c r="L122">
        <f t="shared" si="42"/>
        <v>0</v>
      </c>
      <c r="M122">
        <f t="shared" si="67"/>
        <v>-1.0525947598694074E-3</v>
      </c>
      <c r="N122">
        <f t="shared" si="43"/>
        <v>-592.38813670295019</v>
      </c>
      <c r="O122">
        <f t="shared" si="44"/>
        <v>911.63351178608013</v>
      </c>
      <c r="P122">
        <f t="shared" si="68"/>
        <v>-500.0001944941277</v>
      </c>
      <c r="Q122">
        <f t="shared" si="69"/>
        <v>949.90188168106363</v>
      </c>
      <c r="R122">
        <f t="shared" si="45"/>
        <v>0.38268369894983445</v>
      </c>
      <c r="S122">
        <f t="shared" si="46"/>
        <v>0.92387942208822493</v>
      </c>
      <c r="U122">
        <f t="shared" si="63"/>
        <v>2</v>
      </c>
      <c r="V122" cm="1">
        <f t="array" ref="V122:AA122">INDEX(surface!$A$2:$I$40,U122+1,COLUMN(surface!$B$1:$G$1))</f>
        <v>-500</v>
      </c>
      <c r="W122">
        <v>500</v>
      </c>
      <c r="X122">
        <v>-500</v>
      </c>
      <c r="Y122">
        <v>1000</v>
      </c>
      <c r="Z122">
        <v>0</v>
      </c>
      <c r="AA122">
        <v>-500</v>
      </c>
      <c r="AB122">
        <f t="shared" si="70"/>
        <v>-684.77627340590038</v>
      </c>
      <c r="AC122">
        <f t="shared" si="71"/>
        <v>1323.2670235721603</v>
      </c>
      <c r="AD122">
        <f t="shared" si="47"/>
        <v>-461.93971104411247</v>
      </c>
      <c r="AE122">
        <f t="shared" si="48"/>
        <v>100.00021051895197</v>
      </c>
      <c r="AF122">
        <f t="shared" si="49"/>
        <v>0.89980392448646962</v>
      </c>
      <c r="AG122" t="b">
        <f t="shared" si="57"/>
        <v>1</v>
      </c>
      <c r="AH122">
        <f t="shared" si="50"/>
        <v>100.00021051895197</v>
      </c>
      <c r="AI122">
        <f t="shared" si="58"/>
        <v>3</v>
      </c>
      <c r="AJ122" cm="1">
        <f t="array" ref="AJ122:AO122">INDEX(surface!$A$2:$I$40,AI122+1,COLUMN(surface!$B$1:$G$1))</f>
        <v>-500</v>
      </c>
      <c r="AK122">
        <v>1000</v>
      </c>
      <c r="AL122">
        <v>0</v>
      </c>
      <c r="AM122">
        <v>1000</v>
      </c>
      <c r="AN122">
        <v>-500</v>
      </c>
      <c r="AO122">
        <v>0</v>
      </c>
      <c r="AP122">
        <f t="shared" si="59"/>
        <v>-684.77627340590038</v>
      </c>
      <c r="AQ122">
        <f t="shared" si="60"/>
        <v>823.26702357216027</v>
      </c>
      <c r="AR122">
        <f t="shared" si="61"/>
        <v>191.34184947491721</v>
      </c>
      <c r="AS122">
        <f t="shared" si="51"/>
        <v>230.9126008147625</v>
      </c>
      <c r="AT122">
        <f t="shared" si="52"/>
        <v>0.24189452698136313</v>
      </c>
      <c r="AU122" t="b">
        <f t="shared" si="62"/>
        <v>1</v>
      </c>
      <c r="AV122">
        <f t="shared" si="53"/>
        <v>230.9126008147625</v>
      </c>
    </row>
    <row r="123" spans="1:48" x14ac:dyDescent="0.25">
      <c r="A123">
        <f t="shared" si="64"/>
        <v>12.099999999999973</v>
      </c>
      <c r="B123">
        <f t="shared" si="54"/>
        <v>0.1</v>
      </c>
      <c r="C123">
        <f>sim!C122+(sim!$G122*$B123*COS($E123))</f>
        <v>-601.6269154380808</v>
      </c>
      <c r="D123">
        <f>sim!D122+(sim!$G122*$B123*SIN($E123))</f>
        <v>917.80667479656984</v>
      </c>
      <c r="E123">
        <f t="shared" si="65"/>
        <v>1.5707947782197373</v>
      </c>
      <c r="F123">
        <f t="shared" si="40"/>
        <v>100.00011005152302</v>
      </c>
      <c r="G123">
        <v>100</v>
      </c>
      <c r="H123">
        <f t="shared" si="66"/>
        <v>-9.603807117968415E-6</v>
      </c>
      <c r="I123">
        <f t="shared" si="41"/>
        <v>-5.5025761511728888E-4</v>
      </c>
      <c r="J123">
        <f t="shared" si="55"/>
        <v>0</v>
      </c>
      <c r="K123">
        <f t="shared" si="56"/>
        <v>0</v>
      </c>
      <c r="L123">
        <f t="shared" si="42"/>
        <v>0</v>
      </c>
      <c r="M123">
        <f t="shared" si="67"/>
        <v>-5.5025761511728888E-4</v>
      </c>
      <c r="N123">
        <f t="shared" si="43"/>
        <v>-592.38811418683849</v>
      </c>
      <c r="O123">
        <f t="shared" si="44"/>
        <v>921.63349481324724</v>
      </c>
      <c r="P123">
        <f t="shared" si="68"/>
        <v>-500.00010167441485</v>
      </c>
      <c r="Q123">
        <f t="shared" si="69"/>
        <v>959.90169498002092</v>
      </c>
      <c r="R123">
        <f t="shared" si="45"/>
        <v>0.38268200166773675</v>
      </c>
      <c r="S123">
        <f t="shared" si="46"/>
        <v>0.92388012512423623</v>
      </c>
      <c r="U123">
        <f t="shared" si="63"/>
        <v>2</v>
      </c>
      <c r="V123" cm="1">
        <f t="array" ref="V123:AA123">INDEX(surface!$A$2:$I$40,U123+1,COLUMN(surface!$B$1:$G$1))</f>
        <v>-500</v>
      </c>
      <c r="W123">
        <v>500</v>
      </c>
      <c r="X123">
        <v>-500</v>
      </c>
      <c r="Y123">
        <v>1000</v>
      </c>
      <c r="Z123">
        <v>0</v>
      </c>
      <c r="AA123">
        <v>-500</v>
      </c>
      <c r="AB123">
        <f t="shared" si="70"/>
        <v>-684.77622837367699</v>
      </c>
      <c r="AC123">
        <f t="shared" si="71"/>
        <v>1343.2669896264945</v>
      </c>
      <c r="AD123">
        <f t="shared" si="47"/>
        <v>-461.9400625621181</v>
      </c>
      <c r="AE123">
        <f t="shared" si="48"/>
        <v>100.00011005152302</v>
      </c>
      <c r="AF123">
        <f t="shared" si="49"/>
        <v>0.91980347418951602</v>
      </c>
      <c r="AG123" t="b">
        <f t="shared" si="57"/>
        <v>1</v>
      </c>
      <c r="AH123">
        <f t="shared" si="50"/>
        <v>100.00011005152302</v>
      </c>
      <c r="AI123">
        <f t="shared" si="58"/>
        <v>3</v>
      </c>
      <c r="AJ123" cm="1">
        <f t="array" ref="AJ123:AO123">INDEX(surface!$A$2:$I$40,AI123+1,COLUMN(surface!$B$1:$G$1))</f>
        <v>-500</v>
      </c>
      <c r="AK123">
        <v>1000</v>
      </c>
      <c r="AL123">
        <v>0</v>
      </c>
      <c r="AM123">
        <v>1000</v>
      </c>
      <c r="AN123">
        <v>-500</v>
      </c>
      <c r="AO123">
        <v>0</v>
      </c>
      <c r="AP123">
        <f t="shared" si="59"/>
        <v>-684.77622837367699</v>
      </c>
      <c r="AQ123">
        <f t="shared" si="60"/>
        <v>843.26698962649448</v>
      </c>
      <c r="AR123">
        <f t="shared" si="61"/>
        <v>191.34100083386838</v>
      </c>
      <c r="AS123">
        <f t="shared" si="51"/>
        <v>204.78231232519371</v>
      </c>
      <c r="AT123">
        <f t="shared" si="52"/>
        <v>0.1936123882947838</v>
      </c>
      <c r="AU123" t="b">
        <f t="shared" si="62"/>
        <v>1</v>
      </c>
      <c r="AV123">
        <f t="shared" si="53"/>
        <v>204.78231232519371</v>
      </c>
    </row>
    <row r="124" spans="1:48" x14ac:dyDescent="0.25">
      <c r="A124">
        <f t="shared" si="64"/>
        <v>12.199999999999973</v>
      </c>
      <c r="B124">
        <f t="shared" si="54"/>
        <v>0.1</v>
      </c>
      <c r="C124">
        <f>sim!C123+(sim!$G123*$B124*COS($E124))</f>
        <v>-601.62689034852212</v>
      </c>
      <c r="D124">
        <f>sim!D123+(sim!$G123*$B124*SIN($E124))</f>
        <v>927.80667479653835</v>
      </c>
      <c r="E124">
        <f t="shared" si="65"/>
        <v>1.5707938178390255</v>
      </c>
      <c r="F124">
        <f t="shared" si="40"/>
        <v>100.0000391367259</v>
      </c>
      <c r="G124">
        <v>100</v>
      </c>
      <c r="H124">
        <f t="shared" si="66"/>
        <v>-3.4153236272652437E-6</v>
      </c>
      <c r="I124">
        <f t="shared" si="41"/>
        <v>-1.9568362951360996E-4</v>
      </c>
      <c r="J124">
        <f t="shared" si="55"/>
        <v>0</v>
      </c>
      <c r="K124">
        <f t="shared" si="56"/>
        <v>0</v>
      </c>
      <c r="L124">
        <f t="shared" si="42"/>
        <v>0</v>
      </c>
      <c r="M124">
        <f t="shared" si="67"/>
        <v>-1.9568362951360996E-4</v>
      </c>
      <c r="N124">
        <f t="shared" si="43"/>
        <v>-592.38808542207994</v>
      </c>
      <c r="O124">
        <f t="shared" si="44"/>
        <v>931.63348594044737</v>
      </c>
      <c r="P124">
        <f t="shared" si="68"/>
        <v>-500.00003615765763</v>
      </c>
      <c r="Q124">
        <f t="shared" si="69"/>
        <v>969.9015973795382</v>
      </c>
      <c r="R124">
        <f t="shared" si="45"/>
        <v>0.38268111439090802</v>
      </c>
      <c r="S124">
        <f t="shared" si="46"/>
        <v>0.92388049264422334</v>
      </c>
      <c r="U124">
        <f t="shared" si="63"/>
        <v>2</v>
      </c>
      <c r="V124" cm="1">
        <f t="array" ref="V124:AA124">INDEX(surface!$A$2:$I$40,U124+1,COLUMN(surface!$B$1:$G$1))</f>
        <v>-500</v>
      </c>
      <c r="W124">
        <v>500</v>
      </c>
      <c r="X124">
        <v>-500</v>
      </c>
      <c r="Y124">
        <v>1000</v>
      </c>
      <c r="Z124">
        <v>0</v>
      </c>
      <c r="AA124">
        <v>-500</v>
      </c>
      <c r="AB124">
        <f t="shared" si="70"/>
        <v>-684.77617084415988</v>
      </c>
      <c r="AC124">
        <f t="shared" si="71"/>
        <v>1363.2669718808947</v>
      </c>
      <c r="AD124">
        <f t="shared" si="47"/>
        <v>-461.94024632211165</v>
      </c>
      <c r="AE124">
        <f t="shared" si="48"/>
        <v>100.0000391367259</v>
      </c>
      <c r="AF124">
        <f t="shared" si="49"/>
        <v>0.93980322471284805</v>
      </c>
      <c r="AG124" t="b">
        <f t="shared" si="57"/>
        <v>1</v>
      </c>
      <c r="AH124">
        <f t="shared" si="50"/>
        <v>100.0000391367259</v>
      </c>
      <c r="AI124">
        <f t="shared" si="58"/>
        <v>3</v>
      </c>
      <c r="AJ124" cm="1">
        <f t="array" ref="AJ124:AO124">INDEX(surface!$A$2:$I$40,AI124+1,COLUMN(surface!$B$1:$G$1))</f>
        <v>-500</v>
      </c>
      <c r="AK124">
        <v>1000</v>
      </c>
      <c r="AL124">
        <v>0</v>
      </c>
      <c r="AM124">
        <v>1000</v>
      </c>
      <c r="AN124">
        <v>-500</v>
      </c>
      <c r="AO124">
        <v>0</v>
      </c>
      <c r="AP124">
        <f t="shared" si="59"/>
        <v>-684.77617084415988</v>
      </c>
      <c r="AQ124">
        <f t="shared" si="60"/>
        <v>863.26697188089474</v>
      </c>
      <c r="AR124">
        <f t="shared" si="61"/>
        <v>191.34055719545401</v>
      </c>
      <c r="AS124">
        <f t="shared" si="51"/>
        <v>178.65139273561425</v>
      </c>
      <c r="AT124">
        <f t="shared" si="52"/>
        <v>0.14532890262015191</v>
      </c>
      <c r="AU124" t="b">
        <f t="shared" si="62"/>
        <v>1</v>
      </c>
      <c r="AV124">
        <f t="shared" si="53"/>
        <v>178.65139273561425</v>
      </c>
    </row>
    <row r="125" spans="1:48" x14ac:dyDescent="0.25">
      <c r="A125">
        <f t="shared" si="64"/>
        <v>12.299999999999972</v>
      </c>
      <c r="B125">
        <f t="shared" si="54"/>
        <v>0.1</v>
      </c>
      <c r="C125">
        <f>sim!C124+(sim!$G124*$B125*COS($E125))</f>
        <v>-601.62686184363974</v>
      </c>
      <c r="D125">
        <f>sim!D124+(sim!$G124*$B125*SIN($E125))</f>
        <v>937.80667479649776</v>
      </c>
      <c r="E125">
        <f t="shared" si="65"/>
        <v>1.5707934763066627</v>
      </c>
      <c r="F125">
        <f t="shared" si="40"/>
        <v>99.999992722006397</v>
      </c>
      <c r="G125">
        <v>100</v>
      </c>
      <c r="H125">
        <f t="shared" si="66"/>
        <v>6.351247565867126E-7</v>
      </c>
      <c r="I125">
        <f t="shared" si="41"/>
        <v>3.6389968016692364E-5</v>
      </c>
      <c r="J125">
        <f t="shared" si="55"/>
        <v>0</v>
      </c>
      <c r="K125">
        <f t="shared" si="56"/>
        <v>0</v>
      </c>
      <c r="L125">
        <f t="shared" si="42"/>
        <v>0</v>
      </c>
      <c r="M125">
        <f t="shared" si="67"/>
        <v>3.6389968016692364E-5</v>
      </c>
      <c r="N125">
        <f t="shared" si="43"/>
        <v>-592.3880556102182</v>
      </c>
      <c r="O125">
        <f t="shared" si="44"/>
        <v>941.63348278505578</v>
      </c>
      <c r="P125">
        <f t="shared" si="68"/>
        <v>-499.99999327600273</v>
      </c>
      <c r="Q125">
        <f t="shared" si="69"/>
        <v>979.9015626706356</v>
      </c>
      <c r="R125">
        <f t="shared" si="45"/>
        <v>0.38268079885579809</v>
      </c>
      <c r="S125">
        <f t="shared" si="46"/>
        <v>0.92388062334215459</v>
      </c>
      <c r="U125">
        <f t="shared" si="63"/>
        <v>2</v>
      </c>
      <c r="V125" cm="1">
        <f t="array" ref="V125:AA125">INDEX(surface!$A$2:$I$40,U125+1,COLUMN(surface!$B$1:$G$1))</f>
        <v>-500</v>
      </c>
      <c r="W125">
        <v>500</v>
      </c>
      <c r="X125">
        <v>-500</v>
      </c>
      <c r="Y125">
        <v>1000</v>
      </c>
      <c r="Z125">
        <v>0</v>
      </c>
      <c r="AA125">
        <v>-500</v>
      </c>
      <c r="AB125">
        <f t="shared" si="70"/>
        <v>-684.77611122043641</v>
      </c>
      <c r="AC125">
        <f t="shared" si="71"/>
        <v>1383.2669655701116</v>
      </c>
      <c r="AD125">
        <f t="shared" si="47"/>
        <v>-461.94031167107732</v>
      </c>
      <c r="AE125">
        <f t="shared" si="48"/>
        <v>99.999992722006397</v>
      </c>
      <c r="AF125">
        <f t="shared" si="49"/>
        <v>0.95980311977097432</v>
      </c>
      <c r="AG125" t="b">
        <f t="shared" si="57"/>
        <v>1</v>
      </c>
      <c r="AH125">
        <f t="shared" si="50"/>
        <v>99.999992722006397</v>
      </c>
      <c r="AI125">
        <f t="shared" si="58"/>
        <v>3</v>
      </c>
      <c r="AJ125" cm="1">
        <f t="array" ref="AJ125:AO125">INDEX(surface!$A$2:$I$40,AI125+1,COLUMN(surface!$B$1:$G$1))</f>
        <v>-500</v>
      </c>
      <c r="AK125">
        <v>1000</v>
      </c>
      <c r="AL125">
        <v>0</v>
      </c>
      <c r="AM125">
        <v>1000</v>
      </c>
      <c r="AN125">
        <v>-500</v>
      </c>
      <c r="AO125">
        <v>0</v>
      </c>
      <c r="AP125">
        <f t="shared" si="59"/>
        <v>-684.77611122043641</v>
      </c>
      <c r="AQ125">
        <f t="shared" si="60"/>
        <v>883.26696557011155</v>
      </c>
      <c r="AR125">
        <f t="shared" si="61"/>
        <v>191.34039942789906</v>
      </c>
      <c r="AS125">
        <f t="shared" si="51"/>
        <v>152.52010916005722</v>
      </c>
      <c r="AT125">
        <f t="shared" si="52"/>
        <v>9.7044635825577819E-2</v>
      </c>
      <c r="AU125" t="b">
        <f t="shared" si="62"/>
        <v>1</v>
      </c>
      <c r="AV125">
        <f t="shared" si="53"/>
        <v>152.52010916005722</v>
      </c>
    </row>
    <row r="126" spans="1:48" x14ac:dyDescent="0.25">
      <c r="A126">
        <f t="shared" si="64"/>
        <v>12.399999999999972</v>
      </c>
      <c r="B126">
        <f t="shared" si="54"/>
        <v>0.1</v>
      </c>
      <c r="C126">
        <f>sim!C125+(sim!$G125*$B126*COS($E126))</f>
        <v>-601.62683397388219</v>
      </c>
      <c r="D126">
        <f>sim!D125+(sim!$G125*$B126*SIN($E126))</f>
        <v>947.80667479645888</v>
      </c>
      <c r="E126">
        <f t="shared" si="65"/>
        <v>1.5707935398191384</v>
      </c>
      <c r="F126">
        <f t="shared" si="40"/>
        <v>99.999965449859957</v>
      </c>
      <c r="G126">
        <v>100</v>
      </c>
      <c r="H126">
        <f t="shared" si="66"/>
        <v>3.015068503891896E-6</v>
      </c>
      <c r="I126">
        <f t="shared" si="41"/>
        <v>1.7275070021582906E-4</v>
      </c>
      <c r="J126">
        <f t="shared" si="55"/>
        <v>0</v>
      </c>
      <c r="K126">
        <f t="shared" si="56"/>
        <v>0</v>
      </c>
      <c r="L126">
        <f t="shared" si="42"/>
        <v>0</v>
      </c>
      <c r="M126">
        <f t="shared" si="67"/>
        <v>1.7275070021582906E-4</v>
      </c>
      <c r="N126">
        <f t="shared" si="43"/>
        <v>-592.38802798351071</v>
      </c>
      <c r="O126">
        <f t="shared" si="44"/>
        <v>951.63348337179627</v>
      </c>
      <c r="P126">
        <f t="shared" si="68"/>
        <v>-499.99996807979596</v>
      </c>
      <c r="Q126">
        <f t="shared" si="69"/>
        <v>989.90156912517057</v>
      </c>
      <c r="R126">
        <f t="shared" si="45"/>
        <v>0.38268085753374298</v>
      </c>
      <c r="S126">
        <f t="shared" si="46"/>
        <v>0.92388059903714781</v>
      </c>
      <c r="U126">
        <f t="shared" si="63"/>
        <v>2</v>
      </c>
      <c r="V126" cm="1">
        <f t="array" ref="V126:AA126">INDEX(surface!$A$2:$I$40,U126+1,COLUMN(surface!$B$1:$G$1))</f>
        <v>-500</v>
      </c>
      <c r="W126">
        <v>500</v>
      </c>
      <c r="X126">
        <v>-500</v>
      </c>
      <c r="Y126">
        <v>1000</v>
      </c>
      <c r="Z126">
        <v>0</v>
      </c>
      <c r="AA126">
        <v>-500</v>
      </c>
      <c r="AB126">
        <f t="shared" si="70"/>
        <v>-684.77605596702142</v>
      </c>
      <c r="AC126">
        <f t="shared" si="71"/>
        <v>1403.2669667435925</v>
      </c>
      <c r="AD126">
        <f t="shared" si="47"/>
        <v>-461.94029951857391</v>
      </c>
      <c r="AE126">
        <f t="shared" si="48"/>
        <v>99.999965449859957</v>
      </c>
      <c r="AF126">
        <f t="shared" si="49"/>
        <v>0.97980311180698676</v>
      </c>
      <c r="AG126" t="b">
        <f t="shared" si="57"/>
        <v>1</v>
      </c>
      <c r="AH126">
        <f t="shared" si="50"/>
        <v>99.999965449859957</v>
      </c>
      <c r="AI126">
        <f t="shared" si="58"/>
        <v>3</v>
      </c>
      <c r="AJ126" cm="1">
        <f t="array" ref="AJ126:AO126">INDEX(surface!$A$2:$I$40,AI126+1,COLUMN(surface!$B$1:$G$1))</f>
        <v>-500</v>
      </c>
      <c r="AK126">
        <v>1000</v>
      </c>
      <c r="AL126">
        <v>0</v>
      </c>
      <c r="AM126">
        <v>1000</v>
      </c>
      <c r="AN126">
        <v>-500</v>
      </c>
      <c r="AO126">
        <v>0</v>
      </c>
      <c r="AP126">
        <f t="shared" si="59"/>
        <v>-684.77605596702142</v>
      </c>
      <c r="AQ126">
        <f t="shared" si="60"/>
        <v>903.26696674359255</v>
      </c>
      <c r="AR126">
        <f t="shared" si="61"/>
        <v>191.3404287668715</v>
      </c>
      <c r="AS126">
        <f t="shared" si="51"/>
        <v>126.38864912112567</v>
      </c>
      <c r="AT126">
        <f t="shared" si="52"/>
        <v>4.8759985756021522E-2</v>
      </c>
      <c r="AU126" t="b">
        <f t="shared" si="62"/>
        <v>1</v>
      </c>
      <c r="AV126">
        <f t="shared" si="53"/>
        <v>126.38864912112567</v>
      </c>
    </row>
    <row r="127" spans="1:48" x14ac:dyDescent="0.25">
      <c r="A127">
        <f t="shared" si="64"/>
        <v>12.499999999999972</v>
      </c>
      <c r="B127">
        <f t="shared" si="54"/>
        <v>0.1</v>
      </c>
      <c r="C127">
        <f>sim!C126+(sim!$G126*$B127*COS($E127))</f>
        <v>-601.62680911919313</v>
      </c>
      <c r="D127">
        <f>sim!D126+(sim!$G126*$B127*SIN($E127))</f>
        <v>957.80667479642796</v>
      </c>
      <c r="E127">
        <f t="shared" si="65"/>
        <v>1.5707938413259888</v>
      </c>
      <c r="F127">
        <f t="shared" si="40"/>
        <v>99.999952284965104</v>
      </c>
      <c r="G127">
        <v>100</v>
      </c>
      <c r="H127">
        <f t="shared" si="66"/>
        <v>4.1639223081650284E-6</v>
      </c>
      <c r="I127">
        <f t="shared" si="41"/>
        <v>2.3857517447822829E-4</v>
      </c>
      <c r="J127">
        <f t="shared" si="55"/>
        <v>0</v>
      </c>
      <c r="K127">
        <f t="shared" si="56"/>
        <v>0</v>
      </c>
      <c r="L127">
        <f t="shared" si="42"/>
        <v>0</v>
      </c>
      <c r="M127">
        <f t="shared" si="67"/>
        <v>2.3857517447822829E-4</v>
      </c>
      <c r="N127">
        <f t="shared" si="43"/>
        <v>-592.38800428263107</v>
      </c>
      <c r="O127">
        <f t="shared" si="44"/>
        <v>961.63348615732855</v>
      </c>
      <c r="P127">
        <f t="shared" si="68"/>
        <v>-499.99995591701048</v>
      </c>
      <c r="Q127">
        <f t="shared" si="69"/>
        <v>999.90159976633402</v>
      </c>
      <c r="R127">
        <f t="shared" si="45"/>
        <v>0.38268113609005511</v>
      </c>
      <c r="S127">
        <f t="shared" si="46"/>
        <v>0.92388048365620579</v>
      </c>
      <c r="U127">
        <f t="shared" si="63"/>
        <v>2</v>
      </c>
      <c r="V127" cm="1">
        <f t="array" ref="V127:AA127">INDEX(surface!$A$2:$I$40,U127+1,COLUMN(surface!$B$1:$G$1))</f>
        <v>-500</v>
      </c>
      <c r="W127">
        <v>500</v>
      </c>
      <c r="X127">
        <v>-500</v>
      </c>
      <c r="Y127">
        <v>1000</v>
      </c>
      <c r="Z127">
        <v>0</v>
      </c>
      <c r="AA127">
        <v>-500</v>
      </c>
      <c r="AB127">
        <f t="shared" si="70"/>
        <v>-684.77600856526215</v>
      </c>
      <c r="AC127">
        <f t="shared" si="71"/>
        <v>1423.2669723146571</v>
      </c>
      <c r="AD127">
        <f t="shared" si="47"/>
        <v>-461.9402418281029</v>
      </c>
      <c r="AE127">
        <f t="shared" si="48"/>
        <v>99.999952284965104</v>
      </c>
      <c r="AF127">
        <f t="shared" si="49"/>
        <v>0.99980316301338068</v>
      </c>
      <c r="AG127" t="b">
        <f t="shared" si="57"/>
        <v>1</v>
      </c>
      <c r="AH127">
        <f t="shared" si="50"/>
        <v>99.999952284965104</v>
      </c>
      <c r="AI127">
        <f t="shared" si="58"/>
        <v>3</v>
      </c>
      <c r="AJ127" cm="1">
        <f t="array" ref="AJ127:AO127">INDEX(surface!$A$2:$I$40,AI127+1,COLUMN(surface!$B$1:$G$1))</f>
        <v>-500</v>
      </c>
      <c r="AK127">
        <v>1000</v>
      </c>
      <c r="AL127">
        <v>0</v>
      </c>
      <c r="AM127">
        <v>1000</v>
      </c>
      <c r="AN127">
        <v>-500</v>
      </c>
      <c r="AO127">
        <v>0</v>
      </c>
      <c r="AP127">
        <f t="shared" si="59"/>
        <v>-684.77600856526215</v>
      </c>
      <c r="AQ127">
        <f t="shared" si="60"/>
        <v>923.2669723146571</v>
      </c>
      <c r="AR127">
        <f t="shared" si="61"/>
        <v>191.34056804502757</v>
      </c>
      <c r="AS127">
        <f t="shared" si="51"/>
        <v>100.25713374500589</v>
      </c>
      <c r="AT127">
        <f t="shared" si="52"/>
        <v>4.7520986337975266E-4</v>
      </c>
      <c r="AU127" t="b">
        <f t="shared" si="62"/>
        <v>1</v>
      </c>
      <c r="AV127">
        <f t="shared" si="53"/>
        <v>100.25713374500589</v>
      </c>
    </row>
    <row r="128" spans="1:48" x14ac:dyDescent="0.25">
      <c r="A128">
        <f t="shared" si="64"/>
        <v>12.599999999999971</v>
      </c>
      <c r="B128">
        <f t="shared" si="54"/>
        <v>0.1</v>
      </c>
      <c r="C128">
        <f>sim!C127+(sim!$G127*$B128*COS($E128))</f>
        <v>-601.62678842842638</v>
      </c>
      <c r="D128">
        <f>sim!D127+(sim!$G127*$B128*SIN($E128))</f>
        <v>967.80667479640658</v>
      </c>
      <c r="E128">
        <f t="shared" si="65"/>
        <v>1.5707942577182197</v>
      </c>
      <c r="F128">
        <f t="shared" si="40"/>
        <v>25000</v>
      </c>
      <c r="G128">
        <v>100</v>
      </c>
      <c r="H128">
        <f t="shared" si="66"/>
        <v>-2172.9349187329403</v>
      </c>
      <c r="I128">
        <f t="shared" si="41"/>
        <v>-124500</v>
      </c>
      <c r="J128">
        <f t="shared" si="55"/>
        <v>0</v>
      </c>
      <c r="K128">
        <f t="shared" si="56"/>
        <v>0</v>
      </c>
      <c r="L128">
        <f t="shared" si="42"/>
        <v>0</v>
      </c>
      <c r="M128">
        <f t="shared" si="67"/>
        <v>-124500</v>
      </c>
      <c r="N128">
        <f t="shared" si="43"/>
        <v>-592.38798518531962</v>
      </c>
      <c r="O128">
        <f t="shared" si="44"/>
        <v>971.63349000427331</v>
      </c>
      <c r="P128">
        <f t="shared" si="68"/>
        <v>-499.99995275425226</v>
      </c>
      <c r="Q128">
        <f t="shared" si="69"/>
        <v>1009.9016420829411</v>
      </c>
      <c r="R128">
        <f t="shared" si="45"/>
        <v>0.38268152078667766</v>
      </c>
      <c r="S128">
        <f t="shared" si="46"/>
        <v>0.92388032431067368</v>
      </c>
      <c r="U128">
        <f t="shared" si="63"/>
        <v>2</v>
      </c>
      <c r="V128" cm="1">
        <f t="array" ref="V128:AA128">INDEX(surface!$A$2:$I$40,U128+1,COLUMN(surface!$B$1:$G$1))</f>
        <v>-500</v>
      </c>
      <c r="W128">
        <v>500</v>
      </c>
      <c r="X128">
        <v>-500</v>
      </c>
      <c r="Y128">
        <v>1000</v>
      </c>
      <c r="Z128">
        <v>0</v>
      </c>
      <c r="AA128">
        <v>-500</v>
      </c>
      <c r="AB128">
        <f t="shared" si="70"/>
        <v>-684.77597037063924</v>
      </c>
      <c r="AC128">
        <f t="shared" si="71"/>
        <v>1443.2669800085466</v>
      </c>
      <c r="AD128">
        <f t="shared" si="47"/>
        <v>-461.94016215533685</v>
      </c>
      <c r="AE128">
        <f t="shared" si="48"/>
        <v>99.999948861614968</v>
      </c>
      <c r="AF128">
        <f t="shared" si="49"/>
        <v>1.0198032450264523</v>
      </c>
      <c r="AG128" t="b">
        <f t="shared" si="57"/>
        <v>0</v>
      </c>
      <c r="AH128">
        <f t="shared" si="50"/>
        <v>25000</v>
      </c>
      <c r="AI128">
        <f t="shared" si="58"/>
        <v>3</v>
      </c>
      <c r="AJ128" cm="1">
        <f t="array" ref="AJ128:AO128">INDEX(surface!$A$2:$I$40,AI128+1,COLUMN(surface!$B$1:$G$1))</f>
        <v>-500</v>
      </c>
      <c r="AK128">
        <v>1000</v>
      </c>
      <c r="AL128">
        <v>0</v>
      </c>
      <c r="AM128">
        <v>1000</v>
      </c>
      <c r="AN128">
        <v>-500</v>
      </c>
      <c r="AO128">
        <v>0</v>
      </c>
      <c r="AP128">
        <f t="shared" si="59"/>
        <v>-684.77597037063924</v>
      </c>
      <c r="AQ128">
        <f t="shared" si="60"/>
        <v>943.26698000854662</v>
      </c>
      <c r="AR128">
        <f t="shared" si="61"/>
        <v>191.34076039333883</v>
      </c>
      <c r="AS128">
        <f t="shared" si="51"/>
        <v>74.125633078424343</v>
      </c>
      <c r="AT128">
        <f t="shared" si="52"/>
        <v>-4.7809542514181888E-2</v>
      </c>
      <c r="AU128" t="b">
        <f t="shared" si="62"/>
        <v>0</v>
      </c>
      <c r="AV128">
        <f t="shared" si="53"/>
        <v>25000</v>
      </c>
    </row>
    <row r="129" spans="1:48" x14ac:dyDescent="0.25">
      <c r="A129">
        <f t="shared" si="64"/>
        <v>12.699999999999971</v>
      </c>
      <c r="B129">
        <f t="shared" si="54"/>
        <v>0.1</v>
      </c>
      <c r="C129">
        <f>sim!C128+(sim!$G128*$B129*COS($E129))</f>
        <v>-606.62680634714536</v>
      </c>
      <c r="D129">
        <f>sim!D128+(sim!$G128*$B129*SIN($E129))</f>
        <v>959.14643110396412</v>
      </c>
      <c r="E129">
        <f t="shared" si="65"/>
        <v>-215.72269761557581</v>
      </c>
      <c r="F129">
        <f t="shared" si="40"/>
        <v>25000</v>
      </c>
      <c r="G129">
        <v>100</v>
      </c>
      <c r="H129">
        <f t="shared" si="66"/>
        <v>-2172.9349187329403</v>
      </c>
      <c r="I129">
        <f t="shared" si="41"/>
        <v>-124500</v>
      </c>
      <c r="J129">
        <f t="shared" si="55"/>
        <v>0</v>
      </c>
      <c r="K129">
        <f t="shared" si="56"/>
        <v>0</v>
      </c>
      <c r="L129">
        <f t="shared" si="42"/>
        <v>0</v>
      </c>
      <c r="M129">
        <f t="shared" si="67"/>
        <v>-124500</v>
      </c>
      <c r="N129">
        <f t="shared" si="43"/>
        <v>-616.54125226017527</v>
      </c>
      <c r="O129">
        <f t="shared" si="44"/>
        <v>960.45171353991634</v>
      </c>
      <c r="P129">
        <f t="shared" si="68"/>
        <v>-715.68571139047401</v>
      </c>
      <c r="Q129">
        <f t="shared" si="69"/>
        <v>973.50453789943833</v>
      </c>
      <c r="R129">
        <f t="shared" si="45"/>
        <v>0.1305282435952197</v>
      </c>
      <c r="S129">
        <f t="shared" si="46"/>
        <v>-0.99144459130298701</v>
      </c>
      <c r="U129">
        <f t="shared" si="63"/>
        <v>2</v>
      </c>
      <c r="V129" cm="1">
        <f t="array" ref="V129:AA129">INDEX(surface!$A$2:$I$40,U129+1,COLUMN(surface!$B$1:$G$1))</f>
        <v>-500</v>
      </c>
      <c r="W129">
        <v>500</v>
      </c>
      <c r="X129">
        <v>-500</v>
      </c>
      <c r="Y129">
        <v>1000</v>
      </c>
      <c r="Z129">
        <v>0</v>
      </c>
      <c r="AA129">
        <v>-500</v>
      </c>
      <c r="AB129">
        <f t="shared" si="70"/>
        <v>-733.08250452035054</v>
      </c>
      <c r="AC129">
        <f t="shared" si="71"/>
        <v>1420.9034270798327</v>
      </c>
      <c r="AD129">
        <f t="shared" si="47"/>
        <v>495.72229565149348</v>
      </c>
      <c r="AE129">
        <f t="shared" si="48"/>
        <v>-117.54691415181676</v>
      </c>
      <c r="AF129">
        <f t="shared" si="49"/>
        <v>0.8902170425912832</v>
      </c>
      <c r="AG129" t="b">
        <f t="shared" si="57"/>
        <v>0</v>
      </c>
      <c r="AH129">
        <f t="shared" si="50"/>
        <v>25000</v>
      </c>
      <c r="AI129">
        <f t="shared" si="58"/>
        <v>3</v>
      </c>
      <c r="AJ129" cm="1">
        <f t="array" ref="AJ129:AO129">INDEX(surface!$A$2:$I$40,AI129+1,COLUMN(surface!$B$1:$G$1))</f>
        <v>-500</v>
      </c>
      <c r="AK129">
        <v>1000</v>
      </c>
      <c r="AL129">
        <v>0</v>
      </c>
      <c r="AM129">
        <v>1000</v>
      </c>
      <c r="AN129">
        <v>-500</v>
      </c>
      <c r="AO129">
        <v>0</v>
      </c>
      <c r="AP129">
        <f t="shared" si="59"/>
        <v>-733.08250452035054</v>
      </c>
      <c r="AQ129">
        <f t="shared" si="60"/>
        <v>920.90342707983268</v>
      </c>
      <c r="AR129">
        <f t="shared" si="61"/>
        <v>65.264121797609846</v>
      </c>
      <c r="AS129">
        <f t="shared" si="51"/>
        <v>302.98642937942691</v>
      </c>
      <c r="AT129">
        <f t="shared" si="52"/>
        <v>-0.83387101781322492</v>
      </c>
      <c r="AU129" t="b">
        <f t="shared" si="62"/>
        <v>0</v>
      </c>
      <c r="AV129">
        <f t="shared" si="53"/>
        <v>25000</v>
      </c>
    </row>
    <row r="130" spans="1:48" x14ac:dyDescent="0.25">
      <c r="A130">
        <f t="shared" si="64"/>
        <v>12.799999999999971</v>
      </c>
      <c r="B130">
        <f t="shared" si="54"/>
        <v>0.1</v>
      </c>
      <c r="C130">
        <f>sim!C129+(sim!$G129*$B130*COS($E130))</f>
        <v>-597.96654196393627</v>
      </c>
      <c r="D130">
        <f>sim!D129+(sim!$G129*$B130*SIN($E130))</f>
        <v>964.14641318522388</v>
      </c>
      <c r="E130">
        <f t="shared" si="65"/>
        <v>-433.01618948886983</v>
      </c>
      <c r="F130">
        <f t="shared" ref="F130:F193" si="72">MIN(AH130,AV130)</f>
        <v>113.48431969269849</v>
      </c>
      <c r="G130">
        <v>100</v>
      </c>
      <c r="H130">
        <f t="shared" si="66"/>
        <v>-1.1767288801454934</v>
      </c>
      <c r="I130">
        <f t="shared" ref="I130:I193" si="73">(Ksoll-F130)*Kp</f>
        <v>-67.421598463492458</v>
      </c>
      <c r="J130">
        <f t="shared" si="55"/>
        <v>0</v>
      </c>
      <c r="K130">
        <f t="shared" si="56"/>
        <v>0</v>
      </c>
      <c r="L130">
        <f t="shared" ref="L130:L193" si="74">IF(Dcap&lt;&gt;-1,MAX(MIN(K130,Dcap),-Dcap),K130)</f>
        <v>0</v>
      </c>
      <c r="M130">
        <f t="shared" si="67"/>
        <v>-67.421598463492458</v>
      </c>
      <c r="N130">
        <f t="shared" ref="N130:N193" si="75">C130+usFrontD*S130</f>
        <v>-590.03302115678161</v>
      </c>
      <c r="O130">
        <f t="shared" ref="O130:O193" si="76">D130+usFrontD*R130</f>
        <v>958.05878248006081</v>
      </c>
      <c r="P130">
        <f t="shared" si="68"/>
        <v>-510.69781308523488</v>
      </c>
      <c r="Q130">
        <f t="shared" si="69"/>
        <v>897.18247542843039</v>
      </c>
      <c r="R130">
        <f t="shared" ref="R130:R193" si="77">SIN(E130+usrot)</f>
        <v>-0.60876307051630441</v>
      </c>
      <c r="S130">
        <f t="shared" ref="S130:S193" si="78">COS(E130+usrot)</f>
        <v>0.79335208071546715</v>
      </c>
      <c r="U130">
        <f t="shared" si="63"/>
        <v>2</v>
      </c>
      <c r="V130" cm="1">
        <f t="array" ref="V130:AA130">INDEX(surface!$A$2:$I$40,U130+1,COLUMN(surface!$B$1:$G$1))</f>
        <v>-500</v>
      </c>
      <c r="W130">
        <v>500</v>
      </c>
      <c r="X130">
        <v>-500</v>
      </c>
      <c r="Y130">
        <v>1000</v>
      </c>
      <c r="Z130">
        <v>0</v>
      </c>
      <c r="AA130">
        <v>-500</v>
      </c>
      <c r="AB130">
        <f t="shared" si="70"/>
        <v>-680.06604231356323</v>
      </c>
      <c r="AC130">
        <f t="shared" si="71"/>
        <v>1416.1175649601216</v>
      </c>
      <c r="AD130">
        <f t="shared" ref="AD130:AD193" si="79">AA130*$S130-Z130*$R130</f>
        <v>-396.6760403577336</v>
      </c>
      <c r="AE130">
        <f t="shared" ref="AE130:AE193" si="80">((($N130 - AB130) * AA130) - (($O130 - AC130) * Z130)) / AD130</f>
        <v>113.48431969269849</v>
      </c>
      <c r="AF130">
        <f t="shared" ref="AF130:AF193" si="81">((AB130 - $N130) * $R130 - (AC130 - $O130) * $S130) / AD130</f>
        <v>0.77794743913695941</v>
      </c>
      <c r="AG130" t="b">
        <f t="shared" si="57"/>
        <v>1</v>
      </c>
      <c r="AH130">
        <f t="shared" ref="AH130:AH193" si="82">IF(AG130,AE130,usNoTarget)</f>
        <v>113.48431969269849</v>
      </c>
      <c r="AI130">
        <f t="shared" si="58"/>
        <v>3</v>
      </c>
      <c r="AJ130" cm="1">
        <f t="array" ref="AJ130:AO130">INDEX(surface!$A$2:$I$40,AI130+1,COLUMN(surface!$B$1:$G$1))</f>
        <v>-500</v>
      </c>
      <c r="AK130">
        <v>1000</v>
      </c>
      <c r="AL130">
        <v>0</v>
      </c>
      <c r="AM130">
        <v>1000</v>
      </c>
      <c r="AN130">
        <v>-500</v>
      </c>
      <c r="AO130">
        <v>0</v>
      </c>
      <c r="AP130">
        <f t="shared" si="59"/>
        <v>-680.06604231356323</v>
      </c>
      <c r="AQ130">
        <f t="shared" si="60"/>
        <v>916.11756496012163</v>
      </c>
      <c r="AR130">
        <f t="shared" si="61"/>
        <v>-304.38153525815221</v>
      </c>
      <c r="AS130">
        <f t="shared" ref="AS130:AS193" si="83">((($N130 - AP130) * AO130) - (($O130 - AQ130) * AN130)) / AR130</f>
        <v>-68.895797973369142</v>
      </c>
      <c r="AT130">
        <f t="shared" ref="AT130:AT193" si="84">((AP130 - $N130) * $R130 - (AQ130 - $O130) * $S130) / AR130</f>
        <v>-0.28938329166301296</v>
      </c>
      <c r="AU130" t="b">
        <f t="shared" si="62"/>
        <v>0</v>
      </c>
      <c r="AV130">
        <f t="shared" ref="AV130:AV193" si="85">IF(AU130,AS130,usNoTarget)</f>
        <v>25000</v>
      </c>
    </row>
    <row r="131" spans="1:48" x14ac:dyDescent="0.25">
      <c r="A131">
        <f t="shared" si="64"/>
        <v>12.89999999999997</v>
      </c>
      <c r="B131">
        <f t="shared" ref="B131:B194" si="86">DT</f>
        <v>0.1</v>
      </c>
      <c r="C131">
        <f>sim!C130+(sim!$G130*$B131*COS($E131))</f>
        <v>-588.77916193198678</v>
      </c>
      <c r="D131">
        <f>sim!D130+(sim!$G130*$B131*SIN($E131))</f>
        <v>968.09508994440989</v>
      </c>
      <c r="E131">
        <f t="shared" si="65"/>
        <v>-433.13386237688439</v>
      </c>
      <c r="F131">
        <f t="shared" si="72"/>
        <v>113.92470765365216</v>
      </c>
      <c r="G131">
        <v>100</v>
      </c>
      <c r="H131">
        <f t="shared" si="66"/>
        <v>-1.2151599796694224</v>
      </c>
      <c r="I131">
        <f t="shared" si="73"/>
        <v>-69.623538268260816</v>
      </c>
      <c r="J131">
        <f t="shared" ref="J131:J194" si="87">J130+(Ksoll-F130)*B131*Ki</f>
        <v>0</v>
      </c>
      <c r="K131">
        <f t="shared" ref="K131:K194" si="88">((Ksoll-F131)-(Ksoll-F130))/B131*Kd</f>
        <v>0</v>
      </c>
      <c r="L131">
        <f t="shared" si="74"/>
        <v>0</v>
      </c>
      <c r="M131">
        <f t="shared" si="67"/>
        <v>-69.623538268260816</v>
      </c>
      <c r="N131">
        <f t="shared" si="75"/>
        <v>-581.61520216860299</v>
      </c>
      <c r="O131">
        <f t="shared" si="76"/>
        <v>961.11815075099435</v>
      </c>
      <c r="P131">
        <f t="shared" si="68"/>
        <v>-509.97560453476467</v>
      </c>
      <c r="Q131">
        <f t="shared" si="69"/>
        <v>891.34875881683922</v>
      </c>
      <c r="R131">
        <f t="shared" si="77"/>
        <v>-0.69769391934155112</v>
      </c>
      <c r="S131">
        <f t="shared" si="78"/>
        <v>0.71639597633838303</v>
      </c>
      <c r="U131">
        <f t="shared" si="63"/>
        <v>2</v>
      </c>
      <c r="V131" cm="1">
        <f t="array" ref="V131:AA131">INDEX(surface!$A$2:$I$40,U131+1,COLUMN(surface!$B$1:$G$1))</f>
        <v>-500</v>
      </c>
      <c r="W131">
        <v>500</v>
      </c>
      <c r="X131">
        <v>-500</v>
      </c>
      <c r="Y131">
        <v>1000</v>
      </c>
      <c r="Z131">
        <v>0</v>
      </c>
      <c r="AA131">
        <v>-500</v>
      </c>
      <c r="AB131">
        <f t="shared" si="70"/>
        <v>-663.23040433720598</v>
      </c>
      <c r="AC131">
        <f t="shared" si="71"/>
        <v>1422.2363015019887</v>
      </c>
      <c r="AD131">
        <f t="shared" si="79"/>
        <v>-358.19798816919149</v>
      </c>
      <c r="AE131">
        <f t="shared" si="80"/>
        <v>113.92470765365216</v>
      </c>
      <c r="AF131">
        <f t="shared" si="81"/>
        <v>0.76326714991655487</v>
      </c>
      <c r="AG131" t="b">
        <f t="shared" ref="AG131:AG194" si="89">IF(NOT(OR(ISERROR(AE131),ISERROR(AF131))),IF(AND(AF131&gt;=0,AF131&lt;=1,AE131&gt;=0),TRUE,FALSE),FALSE)</f>
        <v>1</v>
      </c>
      <c r="AH131">
        <f t="shared" si="82"/>
        <v>113.92470765365216</v>
      </c>
      <c r="AI131">
        <f t="shared" ref="AI131:AI194" si="90">U131+1</f>
        <v>3</v>
      </c>
      <c r="AJ131" cm="1">
        <f t="array" ref="AJ131:AO131">INDEX(surface!$A$2:$I$40,AI131+1,COLUMN(surface!$B$1:$G$1))</f>
        <v>-500</v>
      </c>
      <c r="AK131">
        <v>1000</v>
      </c>
      <c r="AL131">
        <v>0</v>
      </c>
      <c r="AM131">
        <v>1000</v>
      </c>
      <c r="AN131">
        <v>-500</v>
      </c>
      <c r="AO131">
        <v>0</v>
      </c>
      <c r="AP131">
        <f t="shared" ref="AP131:AP194" si="91">2*$N131-AJ131</f>
        <v>-663.23040433720598</v>
      </c>
      <c r="AQ131">
        <f t="shared" ref="AQ131:AQ194" si="92">2*$O131-AK131</f>
        <v>922.23630150198869</v>
      </c>
      <c r="AR131">
        <f t="shared" ref="AR131:AR194" si="93">AO131*$S131-AN131*$R131</f>
        <v>-348.84695967077556</v>
      </c>
      <c r="AS131">
        <f t="shared" si="83"/>
        <v>-55.729092903232427</v>
      </c>
      <c r="AT131">
        <f t="shared" si="84"/>
        <v>-0.24307860017893329</v>
      </c>
      <c r="AU131" t="b">
        <f t="shared" ref="AU131:AU194" si="94">IF(NOT(OR(ISERROR(AS131),ISERROR(AT131))),IF(AND(AT131&gt;=0,AT131&lt;=1,AS131&gt;=0),TRUE,FALSE),FALSE)</f>
        <v>0</v>
      </c>
      <c r="AV131">
        <f t="shared" si="85"/>
        <v>25000</v>
      </c>
    </row>
    <row r="132" spans="1:48" x14ac:dyDescent="0.25">
      <c r="A132">
        <f t="shared" si="64"/>
        <v>12.99999999999997</v>
      </c>
      <c r="B132">
        <f t="shared" si="86"/>
        <v>0.1</v>
      </c>
      <c r="C132">
        <f>sim!C131+(sim!$G131*$B132*COS($E132))</f>
        <v>-579.18088213148758</v>
      </c>
      <c r="D132">
        <f>sim!D131+(sim!$G131*$B132*SIN($E132))</f>
        <v>970.90098104552726</v>
      </c>
      <c r="E132">
        <f t="shared" si="65"/>
        <v>-433.25537837485132</v>
      </c>
      <c r="F132">
        <f t="shared" si="72"/>
        <v>116.37785425728161</v>
      </c>
      <c r="G132">
        <v>100</v>
      </c>
      <c r="H132">
        <f t="shared" si="66"/>
        <v>-1.429237406006673</v>
      </c>
      <c r="I132">
        <f t="shared" si="73"/>
        <v>-81.889271286408061</v>
      </c>
      <c r="J132">
        <f t="shared" si="87"/>
        <v>0</v>
      </c>
      <c r="K132">
        <f t="shared" si="88"/>
        <v>0</v>
      </c>
      <c r="L132">
        <f t="shared" si="74"/>
        <v>0</v>
      </c>
      <c r="M132">
        <f t="shared" si="67"/>
        <v>-81.889271286408061</v>
      </c>
      <c r="N132">
        <f t="shared" si="75"/>
        <v>-572.9154741138542</v>
      </c>
      <c r="O132">
        <f t="shared" si="76"/>
        <v>963.10709482794778</v>
      </c>
      <c r="P132">
        <f t="shared" si="68"/>
        <v>-510.26139393752032</v>
      </c>
      <c r="Q132">
        <f t="shared" si="69"/>
        <v>885.16823265215305</v>
      </c>
      <c r="R132">
        <f t="shared" si="77"/>
        <v>-0.77938862175794743</v>
      </c>
      <c r="S132">
        <f t="shared" si="78"/>
        <v>0.62654080176333871</v>
      </c>
      <c r="U132">
        <f t="shared" si="63"/>
        <v>2</v>
      </c>
      <c r="V132" cm="1">
        <f t="array" ref="V132:AA132">INDEX(surface!$A$2:$I$40,U132+1,COLUMN(surface!$B$1:$G$1))</f>
        <v>-500</v>
      </c>
      <c r="W132">
        <v>500</v>
      </c>
      <c r="X132">
        <v>-500</v>
      </c>
      <c r="Y132">
        <v>1000</v>
      </c>
      <c r="Z132">
        <v>0</v>
      </c>
      <c r="AA132">
        <v>-500</v>
      </c>
      <c r="AB132">
        <f t="shared" si="70"/>
        <v>-645.8309482277084</v>
      </c>
      <c r="AC132">
        <f t="shared" si="71"/>
        <v>1426.2141896558956</v>
      </c>
      <c r="AD132">
        <f t="shared" si="79"/>
        <v>-313.27040088166933</v>
      </c>
      <c r="AE132">
        <f t="shared" si="80"/>
        <v>116.37785425728161</v>
      </c>
      <c r="AF132">
        <f t="shared" si="81"/>
        <v>0.74480703879043564</v>
      </c>
      <c r="AG132" t="b">
        <f t="shared" si="89"/>
        <v>1</v>
      </c>
      <c r="AH132">
        <f t="shared" si="82"/>
        <v>116.37785425728161</v>
      </c>
      <c r="AI132">
        <f t="shared" si="90"/>
        <v>3</v>
      </c>
      <c r="AJ132" cm="1">
        <f t="array" ref="AJ132:AO132">INDEX(surface!$A$2:$I$40,AI132+1,COLUMN(surface!$B$1:$G$1))</f>
        <v>-500</v>
      </c>
      <c r="AK132">
        <v>1000</v>
      </c>
      <c r="AL132">
        <v>0</v>
      </c>
      <c r="AM132">
        <v>1000</v>
      </c>
      <c r="AN132">
        <v>-500</v>
      </c>
      <c r="AO132">
        <v>0</v>
      </c>
      <c r="AP132">
        <f t="shared" si="91"/>
        <v>-645.8309482277084</v>
      </c>
      <c r="AQ132">
        <f t="shared" si="92"/>
        <v>926.21418965589555</v>
      </c>
      <c r="AR132">
        <f t="shared" si="93"/>
        <v>-389.69431087897374</v>
      </c>
      <c r="AS132">
        <f t="shared" si="83"/>
        <v>-47.335698959574948</v>
      </c>
      <c r="AT132">
        <f t="shared" si="84"/>
        <v>-0.20514644178402863</v>
      </c>
      <c r="AU132" t="b">
        <f t="shared" si="94"/>
        <v>0</v>
      </c>
      <c r="AV132">
        <f t="shared" si="85"/>
        <v>25000</v>
      </c>
    </row>
    <row r="133" spans="1:48" x14ac:dyDescent="0.25">
      <c r="A133">
        <f t="shared" si="64"/>
        <v>13.099999999999969</v>
      </c>
      <c r="B133">
        <f t="shared" si="86"/>
        <v>0.1</v>
      </c>
      <c r="C133">
        <f>sim!C132+(sim!$G132*$B133*COS($E133))</f>
        <v>-569.28080400469071</v>
      </c>
      <c r="D133">
        <f>sim!D132+(sim!$G132*$B133*SIN($E133))</f>
        <v>972.31110624681878</v>
      </c>
      <c r="E133">
        <f t="shared" si="65"/>
        <v>-433.398302115452</v>
      </c>
      <c r="F133">
        <f t="shared" si="72"/>
        <v>126.07466150261429</v>
      </c>
      <c r="G133">
        <v>100</v>
      </c>
      <c r="H133">
        <f t="shared" si="66"/>
        <v>-2.2754434728181567</v>
      </c>
      <c r="I133">
        <f t="shared" si="73"/>
        <v>-130.37330751307144</v>
      </c>
      <c r="J133">
        <f t="shared" si="87"/>
        <v>0</v>
      </c>
      <c r="K133">
        <f t="shared" si="88"/>
        <v>0</v>
      </c>
      <c r="L133">
        <f t="shared" si="74"/>
        <v>0</v>
      </c>
      <c r="M133">
        <f t="shared" si="67"/>
        <v>-130.37330751307144</v>
      </c>
      <c r="N133">
        <f t="shared" si="75"/>
        <v>-564.18942231469407</v>
      </c>
      <c r="O133">
        <f t="shared" si="76"/>
        <v>963.70425824730319</v>
      </c>
      <c r="P133">
        <f t="shared" si="68"/>
        <v>-513.27560541472724</v>
      </c>
      <c r="Q133">
        <f t="shared" si="69"/>
        <v>877.63577825214679</v>
      </c>
      <c r="R133">
        <f t="shared" si="77"/>
        <v>-0.86068479995156455</v>
      </c>
      <c r="S133">
        <f t="shared" si="78"/>
        <v>0.50913816899966879</v>
      </c>
      <c r="U133">
        <f t="shared" ref="U133:U196" si="95">IF(((AJ132-C132)^2+(AK132-D132)^2)&gt;((AL132-C132)^2+(AM132-D132)^2),U132+1,U132)</f>
        <v>2</v>
      </c>
      <c r="V133" cm="1">
        <f t="array" ref="V133:AA133">INDEX(surface!$A$2:$I$40,U133+1,COLUMN(surface!$B$1:$G$1))</f>
        <v>-500</v>
      </c>
      <c r="W133">
        <v>500</v>
      </c>
      <c r="X133">
        <v>-500</v>
      </c>
      <c r="Y133">
        <v>1000</v>
      </c>
      <c r="Z133">
        <v>0</v>
      </c>
      <c r="AA133">
        <v>-500</v>
      </c>
      <c r="AB133">
        <f t="shared" si="70"/>
        <v>-628.37884462938814</v>
      </c>
      <c r="AC133">
        <f t="shared" si="71"/>
        <v>1427.4085164946064</v>
      </c>
      <c r="AD133">
        <f t="shared" si="79"/>
        <v>-254.56908449983439</v>
      </c>
      <c r="AE133">
        <f t="shared" si="80"/>
        <v>126.07466150261429</v>
      </c>
      <c r="AF133">
        <f t="shared" si="81"/>
        <v>0.71038742686592882</v>
      </c>
      <c r="AG133" t="b">
        <f t="shared" si="89"/>
        <v>1</v>
      </c>
      <c r="AH133">
        <f t="shared" si="82"/>
        <v>126.07466150261429</v>
      </c>
      <c r="AI133">
        <f t="shared" si="90"/>
        <v>3</v>
      </c>
      <c r="AJ133" cm="1">
        <f t="array" ref="AJ133:AO133">INDEX(surface!$A$2:$I$40,AI133+1,COLUMN(surface!$B$1:$G$1))</f>
        <v>-500</v>
      </c>
      <c r="AK133">
        <v>1000</v>
      </c>
      <c r="AL133">
        <v>0</v>
      </c>
      <c r="AM133">
        <v>1000</v>
      </c>
      <c r="AN133">
        <v>-500</v>
      </c>
      <c r="AO133">
        <v>0</v>
      </c>
      <c r="AP133">
        <f t="shared" si="91"/>
        <v>-628.37884462938814</v>
      </c>
      <c r="AQ133">
        <f t="shared" si="92"/>
        <v>927.40851649460637</v>
      </c>
      <c r="AR133">
        <f t="shared" si="93"/>
        <v>-430.34239997578226</v>
      </c>
      <c r="AS133">
        <f t="shared" si="83"/>
        <v>-42.170771175161192</v>
      </c>
      <c r="AT133">
        <f t="shared" si="84"/>
        <v>-0.17132034307223928</v>
      </c>
      <c r="AU133" t="b">
        <f t="shared" si="94"/>
        <v>0</v>
      </c>
      <c r="AV133">
        <f t="shared" si="85"/>
        <v>25000</v>
      </c>
    </row>
    <row r="134" spans="1:48" x14ac:dyDescent="0.25">
      <c r="A134">
        <f t="shared" si="64"/>
        <v>13.199999999999969</v>
      </c>
      <c r="B134">
        <f t="shared" si="86"/>
        <v>0.1</v>
      </c>
      <c r="C134">
        <f>sim!C133+(sim!$G133*$B134*COS($E134))</f>
        <v>-559.31781300244495</v>
      </c>
      <c r="D134">
        <f>sim!D133+(sim!$G133*$B134*SIN($E134))</f>
        <v>971.45156550364845</v>
      </c>
      <c r="E134">
        <f t="shared" si="65"/>
        <v>-433.62584646273382</v>
      </c>
      <c r="F134">
        <f t="shared" si="72"/>
        <v>186.5103326020031</v>
      </c>
      <c r="G134">
        <v>100</v>
      </c>
      <c r="H134">
        <f t="shared" si="66"/>
        <v>-7.5494507045017372</v>
      </c>
      <c r="I134">
        <f t="shared" si="73"/>
        <v>-432.55166301001555</v>
      </c>
      <c r="J134">
        <f t="shared" si="87"/>
        <v>0</v>
      </c>
      <c r="K134">
        <f t="shared" si="88"/>
        <v>0</v>
      </c>
      <c r="L134">
        <f t="shared" si="74"/>
        <v>0</v>
      </c>
      <c r="M134">
        <f t="shared" si="67"/>
        <v>-432.55166301001555</v>
      </c>
      <c r="N134">
        <f t="shared" si="75"/>
        <v>-556.29925350905773</v>
      </c>
      <c r="O134">
        <f t="shared" si="76"/>
        <v>961.91803003222537</v>
      </c>
      <c r="P134">
        <f t="shared" si="68"/>
        <v>-526.11365857518592</v>
      </c>
      <c r="Q134">
        <f t="shared" si="69"/>
        <v>866.58267531799459</v>
      </c>
      <c r="R134">
        <f t="shared" si="77"/>
        <v>-0.95335354714230813</v>
      </c>
      <c r="S134">
        <f t="shared" si="78"/>
        <v>0.30185594933871823</v>
      </c>
      <c r="U134">
        <f t="shared" si="95"/>
        <v>2</v>
      </c>
      <c r="V134" cm="1">
        <f t="array" ref="V134:AA134">INDEX(surface!$A$2:$I$40,U134+1,COLUMN(surface!$B$1:$G$1))</f>
        <v>-500</v>
      </c>
      <c r="W134">
        <v>500</v>
      </c>
      <c r="X134">
        <v>-500</v>
      </c>
      <c r="Y134">
        <v>1000</v>
      </c>
      <c r="Z134">
        <v>0</v>
      </c>
      <c r="AA134">
        <v>-500</v>
      </c>
      <c r="AB134">
        <f t="shared" si="70"/>
        <v>-612.59850701811547</v>
      </c>
      <c r="AC134">
        <f t="shared" si="71"/>
        <v>1423.8360600644507</v>
      </c>
      <c r="AD134">
        <f t="shared" si="79"/>
        <v>-150.92797466935912</v>
      </c>
      <c r="AE134">
        <f t="shared" si="80"/>
        <v>186.5103326020031</v>
      </c>
      <c r="AF134">
        <f t="shared" si="81"/>
        <v>0.56821548573482805</v>
      </c>
      <c r="AG134" t="b">
        <f t="shared" si="89"/>
        <v>1</v>
      </c>
      <c r="AH134">
        <f t="shared" si="82"/>
        <v>186.5103326020031</v>
      </c>
      <c r="AI134">
        <f t="shared" si="90"/>
        <v>3</v>
      </c>
      <c r="AJ134" cm="1">
        <f t="array" ref="AJ134:AO134">INDEX(surface!$A$2:$I$40,AI134+1,COLUMN(surface!$B$1:$G$1))</f>
        <v>-500</v>
      </c>
      <c r="AK134">
        <v>1000</v>
      </c>
      <c r="AL134">
        <v>0</v>
      </c>
      <c r="AM134">
        <v>1000</v>
      </c>
      <c r="AN134">
        <v>-500</v>
      </c>
      <c r="AO134">
        <v>0</v>
      </c>
      <c r="AP134">
        <f t="shared" si="91"/>
        <v>-612.59850701811547</v>
      </c>
      <c r="AQ134">
        <f t="shared" si="92"/>
        <v>923.83606006445075</v>
      </c>
      <c r="AR134">
        <f t="shared" si="93"/>
        <v>-476.67677357115406</v>
      </c>
      <c r="AS134">
        <f t="shared" si="83"/>
        <v>-39.945275372316928</v>
      </c>
      <c r="AT134">
        <f t="shared" si="84"/>
        <v>-0.13671394505632997</v>
      </c>
      <c r="AU134" t="b">
        <f t="shared" si="94"/>
        <v>0</v>
      </c>
      <c r="AV134">
        <f t="shared" si="85"/>
        <v>25000</v>
      </c>
    </row>
    <row r="135" spans="1:48" x14ac:dyDescent="0.25">
      <c r="A135">
        <f t="shared" si="64"/>
        <v>13.299999999999969</v>
      </c>
      <c r="B135">
        <f t="shared" si="86"/>
        <v>0.1</v>
      </c>
      <c r="C135">
        <f>sim!C134+(sim!$G134*$B135*COS($E135))</f>
        <v>-552.65067429451199</v>
      </c>
      <c r="D135">
        <f>sim!D134+(sim!$G134*$B135*SIN($E135))</f>
        <v>963.99842781209986</v>
      </c>
      <c r="E135">
        <f t="shared" si="65"/>
        <v>-434.38079153318398</v>
      </c>
      <c r="F135">
        <f t="shared" si="72"/>
        <v>25000</v>
      </c>
      <c r="G135">
        <v>100</v>
      </c>
      <c r="H135">
        <f t="shared" si="66"/>
        <v>-2172.9349187329403</v>
      </c>
      <c r="I135">
        <f t="shared" si="73"/>
        <v>-124500</v>
      </c>
      <c r="J135">
        <f t="shared" si="87"/>
        <v>0</v>
      </c>
      <c r="K135">
        <f t="shared" si="88"/>
        <v>0</v>
      </c>
      <c r="L135">
        <f t="shared" si="74"/>
        <v>0</v>
      </c>
      <c r="M135">
        <f t="shared" si="67"/>
        <v>-124500</v>
      </c>
      <c r="N135">
        <f t="shared" si="75"/>
        <v>-556.9850721359162</v>
      </c>
      <c r="O135">
        <f t="shared" si="76"/>
        <v>954.98660250573539</v>
      </c>
      <c r="P135">
        <f t="shared" si="68"/>
        <v>-600.32905054995877</v>
      </c>
      <c r="Q135">
        <f t="shared" si="69"/>
        <v>864.86834944209124</v>
      </c>
      <c r="R135">
        <f t="shared" si="77"/>
        <v>-0.9011825306364416</v>
      </c>
      <c r="S135">
        <f t="shared" si="78"/>
        <v>-0.43343978414042589</v>
      </c>
      <c r="U135">
        <f t="shared" si="95"/>
        <v>2</v>
      </c>
      <c r="V135" cm="1">
        <f t="array" ref="V135:AA135">INDEX(surface!$A$2:$I$40,U135+1,COLUMN(surface!$B$1:$G$1))</f>
        <v>-500</v>
      </c>
      <c r="W135">
        <v>500</v>
      </c>
      <c r="X135">
        <v>-500</v>
      </c>
      <c r="Y135">
        <v>1000</v>
      </c>
      <c r="Z135">
        <v>0</v>
      </c>
      <c r="AA135">
        <v>-500</v>
      </c>
      <c r="AB135">
        <f t="shared" si="70"/>
        <v>-613.9701442718324</v>
      </c>
      <c r="AC135">
        <f t="shared" si="71"/>
        <v>1409.9732050114708</v>
      </c>
      <c r="AD135">
        <f t="shared" si="79"/>
        <v>216.71989207021295</v>
      </c>
      <c r="AE135">
        <f t="shared" si="80"/>
        <v>-131.47171584381871</v>
      </c>
      <c r="AF135">
        <f t="shared" si="81"/>
        <v>1.1469332321939663</v>
      </c>
      <c r="AG135" t="b">
        <f t="shared" si="89"/>
        <v>0</v>
      </c>
      <c r="AH135">
        <f t="shared" si="82"/>
        <v>25000</v>
      </c>
      <c r="AI135">
        <f t="shared" si="90"/>
        <v>3</v>
      </c>
      <c r="AJ135" cm="1">
        <f t="array" ref="AJ135:AO135">INDEX(surface!$A$2:$I$40,AI135+1,COLUMN(surface!$B$1:$G$1))</f>
        <v>-500</v>
      </c>
      <c r="AK135">
        <v>1000</v>
      </c>
      <c r="AL135">
        <v>0</v>
      </c>
      <c r="AM135">
        <v>1000</v>
      </c>
      <c r="AN135">
        <v>-500</v>
      </c>
      <c r="AO135">
        <v>0</v>
      </c>
      <c r="AP135">
        <f t="shared" si="91"/>
        <v>-613.9701442718324</v>
      </c>
      <c r="AQ135">
        <f t="shared" si="92"/>
        <v>909.97320501147078</v>
      </c>
      <c r="AR135">
        <f t="shared" si="93"/>
        <v>-450.59126531822079</v>
      </c>
      <c r="AS135">
        <f t="shared" si="83"/>
        <v>-49.949256631145332</v>
      </c>
      <c r="AT135">
        <f t="shared" si="84"/>
        <v>-7.0670154247475664E-2</v>
      </c>
      <c r="AU135" t="b">
        <f t="shared" si="94"/>
        <v>0</v>
      </c>
      <c r="AV135">
        <f t="shared" si="85"/>
        <v>25000</v>
      </c>
    </row>
    <row r="136" spans="1:48" x14ac:dyDescent="0.25">
      <c r="A136">
        <f t="shared" si="64"/>
        <v>13.399999999999968</v>
      </c>
      <c r="B136">
        <f t="shared" si="86"/>
        <v>0.1</v>
      </c>
      <c r="C136">
        <f>sim!C135+(sim!$G135*$B136*COS($E136))</f>
        <v>-554.69801694036209</v>
      </c>
      <c r="D136">
        <f>sim!D135+(sim!$G135*$B136*SIN($E136))</f>
        <v>973.78660374485071</v>
      </c>
      <c r="E136">
        <f t="shared" si="65"/>
        <v>-651.67428340647803</v>
      </c>
      <c r="F136">
        <f t="shared" si="72"/>
        <v>25000</v>
      </c>
      <c r="G136">
        <v>100</v>
      </c>
      <c r="H136">
        <f t="shared" si="66"/>
        <v>-2172.9349187329403</v>
      </c>
      <c r="I136">
        <f t="shared" si="73"/>
        <v>-124500</v>
      </c>
      <c r="J136">
        <f t="shared" si="87"/>
        <v>0</v>
      </c>
      <c r="K136">
        <f t="shared" si="88"/>
        <v>0</v>
      </c>
      <c r="L136">
        <f t="shared" si="74"/>
        <v>0</v>
      </c>
      <c r="M136">
        <f t="shared" si="67"/>
        <v>-124500</v>
      </c>
      <c r="N136">
        <f t="shared" si="75"/>
        <v>-546.43840564641528</v>
      </c>
      <c r="O136">
        <f t="shared" si="76"/>
        <v>979.42387447392753</v>
      </c>
      <c r="P136">
        <f t="shared" si="68"/>
        <v>-463.84229270694732</v>
      </c>
      <c r="Q136">
        <f t="shared" si="69"/>
        <v>1035.7965817646959</v>
      </c>
      <c r="R136">
        <f t="shared" si="77"/>
        <v>0.56372707290768354</v>
      </c>
      <c r="S136">
        <f t="shared" si="78"/>
        <v>0.82596112939467992</v>
      </c>
      <c r="U136">
        <f t="shared" si="95"/>
        <v>2</v>
      </c>
      <c r="V136" cm="1">
        <f t="array" ref="V136:AA136">INDEX(surface!$A$2:$I$40,U136+1,COLUMN(surface!$B$1:$G$1))</f>
        <v>-500</v>
      </c>
      <c r="W136">
        <v>500</v>
      </c>
      <c r="X136">
        <v>-500</v>
      </c>
      <c r="Y136">
        <v>1000</v>
      </c>
      <c r="Z136">
        <v>0</v>
      </c>
      <c r="AA136">
        <v>-500</v>
      </c>
      <c r="AB136">
        <f t="shared" si="70"/>
        <v>-592.87681129283055</v>
      </c>
      <c r="AC136">
        <f t="shared" si="71"/>
        <v>1458.8477489478551</v>
      </c>
      <c r="AD136">
        <f t="shared" si="79"/>
        <v>-412.98056469733996</v>
      </c>
      <c r="AE136">
        <f t="shared" si="80"/>
        <v>56.223475892199033</v>
      </c>
      <c r="AF136">
        <f t="shared" si="81"/>
        <v>1.0222371399346653</v>
      </c>
      <c r="AG136" t="b">
        <f t="shared" si="89"/>
        <v>0</v>
      </c>
      <c r="AH136">
        <f t="shared" si="82"/>
        <v>25000</v>
      </c>
      <c r="AI136">
        <f t="shared" si="90"/>
        <v>3</v>
      </c>
      <c r="AJ136" cm="1">
        <f t="array" ref="AJ136:AO136">INDEX(surface!$A$2:$I$40,AI136+1,COLUMN(surface!$B$1:$G$1))</f>
        <v>-500</v>
      </c>
      <c r="AK136">
        <v>1000</v>
      </c>
      <c r="AL136">
        <v>0</v>
      </c>
      <c r="AM136">
        <v>1000</v>
      </c>
      <c r="AN136">
        <v>-500</v>
      </c>
      <c r="AO136">
        <v>0</v>
      </c>
      <c r="AP136">
        <f t="shared" si="91"/>
        <v>-592.87681129283055</v>
      </c>
      <c r="AQ136">
        <f t="shared" si="92"/>
        <v>958.84774894785505</v>
      </c>
      <c r="AR136">
        <f t="shared" si="93"/>
        <v>281.86353645384179</v>
      </c>
      <c r="AS136">
        <f t="shared" si="83"/>
        <v>36.500154977375082</v>
      </c>
      <c r="AT136">
        <f t="shared" si="84"/>
        <v>-3.2581392836443408E-2</v>
      </c>
      <c r="AU136" t="b">
        <f t="shared" si="94"/>
        <v>0</v>
      </c>
      <c r="AV136">
        <f t="shared" si="85"/>
        <v>25000</v>
      </c>
    </row>
    <row r="137" spans="1:48" x14ac:dyDescent="0.25">
      <c r="A137">
        <f t="shared" si="64"/>
        <v>13.499999999999968</v>
      </c>
      <c r="B137">
        <f t="shared" si="86"/>
        <v>0.1</v>
      </c>
      <c r="C137">
        <f>sim!C136+(sim!$G136*$B137*COS($E137))</f>
        <v>-557.81905416517964</v>
      </c>
      <c r="D137">
        <f>sim!D136+(sim!$G136*$B137*SIN($E137))</f>
        <v>964.28612340745178</v>
      </c>
      <c r="E137">
        <f t="shared" si="65"/>
        <v>-868.96777527977201</v>
      </c>
      <c r="F137">
        <f t="shared" si="72"/>
        <v>25000</v>
      </c>
      <c r="G137">
        <v>100</v>
      </c>
      <c r="H137">
        <f t="shared" si="66"/>
        <v>-2172.9349187329403</v>
      </c>
      <c r="I137">
        <f t="shared" si="73"/>
        <v>-124500</v>
      </c>
      <c r="J137">
        <f t="shared" si="87"/>
        <v>0</v>
      </c>
      <c r="K137">
        <f t="shared" si="88"/>
        <v>0</v>
      </c>
      <c r="L137">
        <f t="shared" si="74"/>
        <v>0</v>
      </c>
      <c r="M137">
        <f t="shared" si="67"/>
        <v>-124500</v>
      </c>
      <c r="N137">
        <f t="shared" si="75"/>
        <v>-567.79072273566078</v>
      </c>
      <c r="O137">
        <f t="shared" si="76"/>
        <v>963.53390939503379</v>
      </c>
      <c r="P137">
        <f t="shared" si="68"/>
        <v>-667.50740844047255</v>
      </c>
      <c r="Q137">
        <f t="shared" si="69"/>
        <v>956.01176927085373</v>
      </c>
      <c r="R137">
        <f t="shared" si="77"/>
        <v>-7.5221401241800823E-2</v>
      </c>
      <c r="S137">
        <f t="shared" si="78"/>
        <v>-0.99716685704811714</v>
      </c>
      <c r="U137">
        <f t="shared" si="95"/>
        <v>2</v>
      </c>
      <c r="V137" cm="1">
        <f t="array" ref="V137:AA137">INDEX(surface!$A$2:$I$40,U137+1,COLUMN(surface!$B$1:$G$1))</f>
        <v>-500</v>
      </c>
      <c r="W137">
        <v>500</v>
      </c>
      <c r="X137">
        <v>-500</v>
      </c>
      <c r="Y137">
        <v>1000</v>
      </c>
      <c r="Z137">
        <v>0</v>
      </c>
      <c r="AA137">
        <v>-500</v>
      </c>
      <c r="AB137">
        <f t="shared" si="70"/>
        <v>-635.58144547132156</v>
      </c>
      <c r="AC137">
        <f t="shared" si="71"/>
        <v>1427.0678187900676</v>
      </c>
      <c r="AD137">
        <f t="shared" si="79"/>
        <v>498.58342852405855</v>
      </c>
      <c r="AE137">
        <f t="shared" si="80"/>
        <v>-67.983329225702107</v>
      </c>
      <c r="AF137">
        <f t="shared" si="81"/>
        <v>0.93729542136094757</v>
      </c>
      <c r="AG137" t="b">
        <f t="shared" si="89"/>
        <v>0</v>
      </c>
      <c r="AH137">
        <f t="shared" si="82"/>
        <v>25000</v>
      </c>
      <c r="AI137">
        <f t="shared" si="90"/>
        <v>3</v>
      </c>
      <c r="AJ137" cm="1">
        <f t="array" ref="AJ137:AO137">INDEX(surface!$A$2:$I$40,AI137+1,COLUMN(surface!$B$1:$G$1))</f>
        <v>-500</v>
      </c>
      <c r="AK137">
        <v>1000</v>
      </c>
      <c r="AL137">
        <v>0</v>
      </c>
      <c r="AM137">
        <v>1000</v>
      </c>
      <c r="AN137">
        <v>-500</v>
      </c>
      <c r="AO137">
        <v>0</v>
      </c>
      <c r="AP137">
        <f t="shared" si="91"/>
        <v>-635.58144547132156</v>
      </c>
      <c r="AQ137">
        <f t="shared" si="92"/>
        <v>927.06781879006758</v>
      </c>
      <c r="AR137">
        <f t="shared" si="93"/>
        <v>-37.61070062090041</v>
      </c>
      <c r="AS137">
        <f t="shared" si="83"/>
        <v>-484.78345262068677</v>
      </c>
      <c r="AT137">
        <f t="shared" si="84"/>
        <v>0.8312385381260885</v>
      </c>
      <c r="AU137" t="b">
        <f t="shared" si="94"/>
        <v>0</v>
      </c>
      <c r="AV137">
        <f t="shared" si="85"/>
        <v>25000</v>
      </c>
    </row>
    <row r="138" spans="1:48" x14ac:dyDescent="0.25">
      <c r="A138">
        <f t="shared" si="64"/>
        <v>13.599999999999968</v>
      </c>
      <c r="B138">
        <f t="shared" si="86"/>
        <v>0.1</v>
      </c>
      <c r="C138">
        <f>sim!C137+(sim!$G137*$B138*COS($E138))</f>
        <v>-550.36591647363161</v>
      </c>
      <c r="D138">
        <f>sim!D137+(sim!$G137*$B138*SIN($E138))</f>
        <v>970.95326211538531</v>
      </c>
      <c r="E138">
        <f t="shared" si="65"/>
        <v>-1086.261267153066</v>
      </c>
      <c r="F138">
        <f t="shared" si="72"/>
        <v>45.888695976005089</v>
      </c>
      <c r="G138">
        <v>100</v>
      </c>
      <c r="H138">
        <f t="shared" si="66"/>
        <v>4.7221020888318392</v>
      </c>
      <c r="I138">
        <f t="shared" si="73"/>
        <v>270.55652011997455</v>
      </c>
      <c r="J138">
        <f t="shared" si="87"/>
        <v>0</v>
      </c>
      <c r="K138">
        <f t="shared" si="88"/>
        <v>0</v>
      </c>
      <c r="L138">
        <f t="shared" si="74"/>
        <v>0</v>
      </c>
      <c r="M138">
        <f t="shared" si="67"/>
        <v>270.55652011997455</v>
      </c>
      <c r="N138">
        <f t="shared" si="75"/>
        <v>-541.35409116726635</v>
      </c>
      <c r="O138">
        <f t="shared" si="76"/>
        <v>966.61886427398281</v>
      </c>
      <c r="P138">
        <f t="shared" si="68"/>
        <v>-451.2358381036139</v>
      </c>
      <c r="Q138">
        <f t="shared" si="69"/>
        <v>923.27488585995741</v>
      </c>
      <c r="R138">
        <f t="shared" si="77"/>
        <v>-0.43343978414025408</v>
      </c>
      <c r="S138">
        <f t="shared" si="78"/>
        <v>0.9011825306365242</v>
      </c>
      <c r="U138">
        <f t="shared" si="95"/>
        <v>2</v>
      </c>
      <c r="V138" cm="1">
        <f t="array" ref="V138:AA138">INDEX(surface!$A$2:$I$40,U138+1,COLUMN(surface!$B$1:$G$1))</f>
        <v>-500</v>
      </c>
      <c r="W138">
        <v>500</v>
      </c>
      <c r="X138">
        <v>-500</v>
      </c>
      <c r="Y138">
        <v>1000</v>
      </c>
      <c r="Z138">
        <v>0</v>
      </c>
      <c r="AA138">
        <v>-500</v>
      </c>
      <c r="AB138">
        <f t="shared" si="70"/>
        <v>-582.70818233453269</v>
      </c>
      <c r="AC138">
        <f t="shared" si="71"/>
        <v>1433.2377285479656</v>
      </c>
      <c r="AD138">
        <f t="shared" si="79"/>
        <v>-450.59126531826212</v>
      </c>
      <c r="AE138">
        <f t="shared" si="80"/>
        <v>45.888695976005089</v>
      </c>
      <c r="AF138">
        <f t="shared" si="81"/>
        <v>0.89345775559133089</v>
      </c>
      <c r="AG138" t="b">
        <f t="shared" si="89"/>
        <v>1</v>
      </c>
      <c r="AH138">
        <f t="shared" si="82"/>
        <v>45.888695976005089</v>
      </c>
      <c r="AI138">
        <f t="shared" si="90"/>
        <v>3</v>
      </c>
      <c r="AJ138" cm="1">
        <f t="array" ref="AJ138:AO138">INDEX(surface!$A$2:$I$40,AI138+1,COLUMN(surface!$B$1:$G$1))</f>
        <v>-500</v>
      </c>
      <c r="AK138">
        <v>1000</v>
      </c>
      <c r="AL138">
        <v>0</v>
      </c>
      <c r="AM138">
        <v>1000</v>
      </c>
      <c r="AN138">
        <v>-500</v>
      </c>
      <c r="AO138">
        <v>0</v>
      </c>
      <c r="AP138">
        <f t="shared" si="91"/>
        <v>-582.70818233453269</v>
      </c>
      <c r="AQ138">
        <f t="shared" si="92"/>
        <v>933.23772854796562</v>
      </c>
      <c r="AR138">
        <f t="shared" si="93"/>
        <v>-216.71989207012703</v>
      </c>
      <c r="AS138">
        <f t="shared" si="83"/>
        <v>-77.014471092518818</v>
      </c>
      <c r="AT138">
        <f t="shared" si="84"/>
        <v>-0.22151637424411177</v>
      </c>
      <c r="AU138" t="b">
        <f t="shared" si="94"/>
        <v>0</v>
      </c>
      <c r="AV138">
        <f t="shared" si="85"/>
        <v>25000</v>
      </c>
    </row>
    <row r="139" spans="1:48" x14ac:dyDescent="0.25">
      <c r="A139">
        <f t="shared" si="64"/>
        <v>13.699999999999967</v>
      </c>
      <c r="B139">
        <f t="shared" si="86"/>
        <v>0.1</v>
      </c>
      <c r="C139">
        <f>sim!C138+(sim!$G138*$B139*COS($E139))</f>
        <v>-546.7609981187328</v>
      </c>
      <c r="D139">
        <f>sim!D138+(sim!$G138*$B139*SIN($E139))</f>
        <v>980.28088580282645</v>
      </c>
      <c r="E139">
        <f t="shared" si="65"/>
        <v>-1085.7890569441829</v>
      </c>
      <c r="F139">
        <f t="shared" si="72"/>
        <v>36.774360892985243</v>
      </c>
      <c r="G139">
        <v>100</v>
      </c>
      <c r="H139">
        <f t="shared" si="66"/>
        <v>5.5174778704754752</v>
      </c>
      <c r="I139">
        <f t="shared" si="73"/>
        <v>316.12819553507381</v>
      </c>
      <c r="J139">
        <f t="shared" si="87"/>
        <v>0</v>
      </c>
      <c r="K139">
        <f t="shared" si="88"/>
        <v>0</v>
      </c>
      <c r="L139">
        <f t="shared" si="74"/>
        <v>0</v>
      </c>
      <c r="M139">
        <f t="shared" si="67"/>
        <v>316.12819553507381</v>
      </c>
      <c r="N139">
        <f t="shared" si="75"/>
        <v>-536.76385497748993</v>
      </c>
      <c r="O139">
        <f t="shared" si="76"/>
        <v>980.51990256688214</v>
      </c>
      <c r="P139">
        <f t="shared" si="68"/>
        <v>-436.79242356506074</v>
      </c>
      <c r="Q139">
        <f t="shared" si="69"/>
        <v>982.91007020743905</v>
      </c>
      <c r="R139">
        <f t="shared" si="77"/>
        <v>2.3901676405569273E-2</v>
      </c>
      <c r="S139">
        <f t="shared" si="78"/>
        <v>0.9997143141242919</v>
      </c>
      <c r="U139">
        <f t="shared" si="95"/>
        <v>2</v>
      </c>
      <c r="V139" cm="1">
        <f t="array" ref="V139:AA139">INDEX(surface!$A$2:$I$40,U139+1,COLUMN(surface!$B$1:$G$1))</f>
        <v>-500</v>
      </c>
      <c r="W139">
        <v>500</v>
      </c>
      <c r="X139">
        <v>-500</v>
      </c>
      <c r="Y139">
        <v>1000</v>
      </c>
      <c r="Z139">
        <v>0</v>
      </c>
      <c r="AA139">
        <v>-500</v>
      </c>
      <c r="AB139">
        <f t="shared" si="70"/>
        <v>-573.52770995497985</v>
      </c>
      <c r="AC139">
        <f t="shared" si="71"/>
        <v>1461.0398051337643</v>
      </c>
      <c r="AD139">
        <f t="shared" si="79"/>
        <v>-499.85715706214597</v>
      </c>
      <c r="AE139">
        <f t="shared" si="80"/>
        <v>36.774360892985243</v>
      </c>
      <c r="AF139">
        <f t="shared" si="81"/>
        <v>0.96279774288193576</v>
      </c>
      <c r="AG139" t="b">
        <f t="shared" si="89"/>
        <v>1</v>
      </c>
      <c r="AH139">
        <f t="shared" si="82"/>
        <v>36.774360892985243</v>
      </c>
      <c r="AI139">
        <f t="shared" si="90"/>
        <v>3</v>
      </c>
      <c r="AJ139" cm="1">
        <f t="array" ref="AJ139:AO139">INDEX(surface!$A$2:$I$40,AI139+1,COLUMN(surface!$B$1:$G$1))</f>
        <v>-500</v>
      </c>
      <c r="AK139">
        <v>1000</v>
      </c>
      <c r="AL139">
        <v>0</v>
      </c>
      <c r="AM139">
        <v>1000</v>
      </c>
      <c r="AN139">
        <v>-500</v>
      </c>
      <c r="AO139">
        <v>0</v>
      </c>
      <c r="AP139">
        <f t="shared" si="91"/>
        <v>-573.52770995497985</v>
      </c>
      <c r="AQ139">
        <f t="shared" si="92"/>
        <v>961.03980513376428</v>
      </c>
      <c r="AR139">
        <f t="shared" si="93"/>
        <v>11.950838202784636</v>
      </c>
      <c r="AS139">
        <f t="shared" si="83"/>
        <v>815.0096713960553</v>
      </c>
      <c r="AT139">
        <f t="shared" si="84"/>
        <v>1.556025959333764</v>
      </c>
      <c r="AU139" t="b">
        <f t="shared" si="94"/>
        <v>0</v>
      </c>
      <c r="AV139">
        <f t="shared" si="85"/>
        <v>25000</v>
      </c>
    </row>
    <row r="140" spans="1:48" x14ac:dyDescent="0.25">
      <c r="A140">
        <f t="shared" si="64"/>
        <v>13.799999999999967</v>
      </c>
      <c r="B140">
        <f t="shared" si="86"/>
        <v>0.1</v>
      </c>
      <c r="C140">
        <f>sim!C139+(sim!$G139*$B140*COS($E140))</f>
        <v>-548.58033554758038</v>
      </c>
      <c r="D140">
        <f>sim!D139+(sim!$G139*$B140*SIN($E140))</f>
        <v>990.11399372046844</v>
      </c>
      <c r="E140">
        <f t="shared" si="65"/>
        <v>-1085.2373091571353</v>
      </c>
      <c r="F140">
        <f t="shared" si="72"/>
        <v>25000</v>
      </c>
      <c r="G140">
        <v>100</v>
      </c>
      <c r="H140">
        <f t="shared" si="66"/>
        <v>-2172.9349187329403</v>
      </c>
      <c r="I140">
        <f t="shared" si="73"/>
        <v>-124500</v>
      </c>
      <c r="J140">
        <f t="shared" si="87"/>
        <v>0</v>
      </c>
      <c r="K140">
        <f t="shared" si="88"/>
        <v>0</v>
      </c>
      <c r="L140">
        <f t="shared" si="74"/>
        <v>0</v>
      </c>
      <c r="M140">
        <f t="shared" si="67"/>
        <v>-124500</v>
      </c>
      <c r="N140">
        <f t="shared" si="75"/>
        <v>-540.19195869339842</v>
      </c>
      <c r="O140">
        <f t="shared" si="76"/>
        <v>995.5578098224529</v>
      </c>
      <c r="P140">
        <f t="shared" si="68"/>
        <v>-456.30819015157903</v>
      </c>
      <c r="Q140">
        <f t="shared" si="69"/>
        <v>1049.9959708422971</v>
      </c>
      <c r="R140">
        <f t="shared" si="77"/>
        <v>0.54438161019844078</v>
      </c>
      <c r="S140">
        <f t="shared" si="78"/>
        <v>0.83883768541819392</v>
      </c>
      <c r="U140">
        <f t="shared" si="95"/>
        <v>2</v>
      </c>
      <c r="V140" cm="1">
        <f t="array" ref="V140:AA140">INDEX(surface!$A$2:$I$40,U140+1,COLUMN(surface!$B$1:$G$1))</f>
        <v>-500</v>
      </c>
      <c r="W140">
        <v>500</v>
      </c>
      <c r="X140">
        <v>-500</v>
      </c>
      <c r="Y140">
        <v>1000</v>
      </c>
      <c r="Z140">
        <v>0</v>
      </c>
      <c r="AA140">
        <v>-500</v>
      </c>
      <c r="AB140">
        <f t="shared" si="70"/>
        <v>-580.38391738679684</v>
      </c>
      <c r="AC140">
        <f t="shared" si="71"/>
        <v>1491.1156196449058</v>
      </c>
      <c r="AD140">
        <f t="shared" si="79"/>
        <v>-419.41884270909696</v>
      </c>
      <c r="AE140">
        <f t="shared" si="80"/>
        <v>47.913868668598418</v>
      </c>
      <c r="AF140">
        <f t="shared" si="81"/>
        <v>1.0432824775982021</v>
      </c>
      <c r="AG140" t="b">
        <f t="shared" si="89"/>
        <v>0</v>
      </c>
      <c r="AH140">
        <f t="shared" si="82"/>
        <v>25000</v>
      </c>
      <c r="AI140">
        <f t="shared" si="90"/>
        <v>3</v>
      </c>
      <c r="AJ140" cm="1">
        <f t="array" ref="AJ140:AO140">INDEX(surface!$A$2:$I$40,AI140+1,COLUMN(surface!$B$1:$G$1))</f>
        <v>-500</v>
      </c>
      <c r="AK140">
        <v>1000</v>
      </c>
      <c r="AL140">
        <v>0</v>
      </c>
      <c r="AM140">
        <v>1000</v>
      </c>
      <c r="AN140">
        <v>-500</v>
      </c>
      <c r="AO140">
        <v>0</v>
      </c>
      <c r="AP140">
        <f t="shared" si="91"/>
        <v>-580.38391738679684</v>
      </c>
      <c r="AQ140">
        <f t="shared" si="92"/>
        <v>991.11561964490579</v>
      </c>
      <c r="AR140">
        <f t="shared" si="93"/>
        <v>272.19080509922037</v>
      </c>
      <c r="AS140">
        <f t="shared" si="83"/>
        <v>8.1600665678765569</v>
      </c>
      <c r="AT140">
        <f t="shared" si="84"/>
        <v>-6.6693974681484927E-2</v>
      </c>
      <c r="AU140" t="b">
        <f t="shared" si="94"/>
        <v>0</v>
      </c>
      <c r="AV140">
        <f t="shared" si="85"/>
        <v>25000</v>
      </c>
    </row>
    <row r="141" spans="1:48" x14ac:dyDescent="0.25">
      <c r="A141">
        <f t="shared" si="64"/>
        <v>13.899999999999967</v>
      </c>
      <c r="B141">
        <f t="shared" si="86"/>
        <v>0.1</v>
      </c>
      <c r="C141">
        <f>sim!C140+(sim!$G140*$B141*COS($E141))</f>
        <v>-551.92129707496315</v>
      </c>
      <c r="D141">
        <f>sim!D140+(sim!$G140*$B141*SIN($E141))</f>
        <v>980.68860375121267</v>
      </c>
      <c r="E141">
        <f t="shared" si="65"/>
        <v>-1302.5308010304293</v>
      </c>
      <c r="F141">
        <f t="shared" si="72"/>
        <v>25000</v>
      </c>
      <c r="G141">
        <v>100</v>
      </c>
      <c r="H141">
        <f t="shared" si="66"/>
        <v>-2172.9349187329403</v>
      </c>
      <c r="I141">
        <f t="shared" si="73"/>
        <v>-124500</v>
      </c>
      <c r="J141">
        <f t="shared" si="87"/>
        <v>0</v>
      </c>
      <c r="K141">
        <f t="shared" si="88"/>
        <v>0</v>
      </c>
      <c r="L141">
        <f t="shared" si="74"/>
        <v>0</v>
      </c>
      <c r="M141">
        <f t="shared" si="67"/>
        <v>-124500</v>
      </c>
      <c r="N141">
        <f t="shared" si="75"/>
        <v>-561.90775257819428</v>
      </c>
      <c r="O141">
        <f t="shared" si="76"/>
        <v>980.16830914045397</v>
      </c>
      <c r="P141">
        <f t="shared" si="68"/>
        <v>-661.77230761050566</v>
      </c>
      <c r="Q141">
        <f t="shared" si="69"/>
        <v>974.96536303286643</v>
      </c>
      <c r="R141">
        <f t="shared" si="77"/>
        <v>-5.2029461075875194E-2</v>
      </c>
      <c r="S141">
        <f t="shared" si="78"/>
        <v>-0.99864555032311342</v>
      </c>
      <c r="U141">
        <f t="shared" si="95"/>
        <v>2</v>
      </c>
      <c r="V141" cm="1">
        <f t="array" ref="V141:AA141">INDEX(surface!$A$2:$I$40,U141+1,COLUMN(surface!$B$1:$G$1))</f>
        <v>-500</v>
      </c>
      <c r="W141">
        <v>500</v>
      </c>
      <c r="X141">
        <v>-500</v>
      </c>
      <c r="Y141">
        <v>1000</v>
      </c>
      <c r="Z141">
        <v>0</v>
      </c>
      <c r="AA141">
        <v>-500</v>
      </c>
      <c r="AB141">
        <f t="shared" si="70"/>
        <v>-623.81550515638855</v>
      </c>
      <c r="AC141">
        <f t="shared" si="71"/>
        <v>1460.3366182809079</v>
      </c>
      <c r="AD141">
        <f t="shared" si="79"/>
        <v>499.32277516155671</v>
      </c>
      <c r="AE141">
        <f t="shared" si="80"/>
        <v>-61.991717239579067</v>
      </c>
      <c r="AF141">
        <f t="shared" si="81"/>
        <v>0.96678740955919462</v>
      </c>
      <c r="AG141" t="b">
        <f t="shared" si="89"/>
        <v>0</v>
      </c>
      <c r="AH141">
        <f t="shared" si="82"/>
        <v>25000</v>
      </c>
      <c r="AI141">
        <f t="shared" si="90"/>
        <v>3</v>
      </c>
      <c r="AJ141" cm="1">
        <f t="array" ref="AJ141:AO141">INDEX(surface!$A$2:$I$40,AI141+1,COLUMN(surface!$B$1:$G$1))</f>
        <v>-500</v>
      </c>
      <c r="AK141">
        <v>1000</v>
      </c>
      <c r="AL141">
        <v>0</v>
      </c>
      <c r="AM141">
        <v>1000</v>
      </c>
      <c r="AN141">
        <v>-500</v>
      </c>
      <c r="AO141">
        <v>0</v>
      </c>
      <c r="AP141">
        <f t="shared" si="91"/>
        <v>-623.81550515638855</v>
      </c>
      <c r="AQ141">
        <f t="shared" si="92"/>
        <v>960.33661828090794</v>
      </c>
      <c r="AR141">
        <f t="shared" si="93"/>
        <v>-26.014730537937599</v>
      </c>
      <c r="AS141">
        <f t="shared" si="83"/>
        <v>-381.16271914916115</v>
      </c>
      <c r="AT141">
        <f t="shared" si="84"/>
        <v>0.6374774016983481</v>
      </c>
      <c r="AU141" t="b">
        <f t="shared" si="94"/>
        <v>0</v>
      </c>
      <c r="AV141">
        <f t="shared" si="85"/>
        <v>25000</v>
      </c>
    </row>
    <row r="142" spans="1:48" x14ac:dyDescent="0.25">
      <c r="A142">
        <f t="shared" si="64"/>
        <v>13.999999999999966</v>
      </c>
      <c r="B142">
        <f t="shared" si="86"/>
        <v>0.1</v>
      </c>
      <c r="C142">
        <f>sim!C141+(sim!$G141*$B142*COS($E142))</f>
        <v>-544.31524453455563</v>
      </c>
      <c r="D142">
        <f>sim!D141+(sim!$G141*$B142*SIN($E142))</f>
        <v>987.18075014147223</v>
      </c>
      <c r="E142">
        <f t="shared" si="65"/>
        <v>-1519.8242929037233</v>
      </c>
      <c r="F142">
        <f t="shared" si="72"/>
        <v>39.743942976182986</v>
      </c>
      <c r="G142">
        <v>100</v>
      </c>
      <c r="H142">
        <f t="shared" si="66"/>
        <v>5.2583329466753108</v>
      </c>
      <c r="I142">
        <f t="shared" si="73"/>
        <v>301.28028511908508</v>
      </c>
      <c r="J142">
        <f t="shared" si="87"/>
        <v>0</v>
      </c>
      <c r="K142">
        <f t="shared" si="88"/>
        <v>0</v>
      </c>
      <c r="L142">
        <f t="shared" si="74"/>
        <v>0</v>
      </c>
      <c r="M142">
        <f t="shared" si="67"/>
        <v>301.28028511908508</v>
      </c>
      <c r="N142">
        <f t="shared" si="75"/>
        <v>-535.40657306961498</v>
      </c>
      <c r="O142">
        <f t="shared" si="76"/>
        <v>982.63811074022624</v>
      </c>
      <c r="P142">
        <f t="shared" si="68"/>
        <v>-446.31985842020845</v>
      </c>
      <c r="Q142">
        <f t="shared" si="69"/>
        <v>937.21171672776666</v>
      </c>
      <c r="R142">
        <f t="shared" si="77"/>
        <v>-0.45426394012459542</v>
      </c>
      <c r="S142">
        <f t="shared" si="78"/>
        <v>0.89086714649406507</v>
      </c>
      <c r="U142">
        <f t="shared" si="95"/>
        <v>2</v>
      </c>
      <c r="V142" cm="1">
        <f t="array" ref="V142:AA142">INDEX(surface!$A$2:$I$40,U142+1,COLUMN(surface!$B$1:$G$1))</f>
        <v>-500</v>
      </c>
      <c r="W142">
        <v>500</v>
      </c>
      <c r="X142">
        <v>-500</v>
      </c>
      <c r="Y142">
        <v>1000</v>
      </c>
      <c r="Z142">
        <v>0</v>
      </c>
      <c r="AA142">
        <v>-500</v>
      </c>
      <c r="AB142">
        <f t="shared" si="70"/>
        <v>-570.81314613922996</v>
      </c>
      <c r="AC142">
        <f t="shared" si="71"/>
        <v>1465.2762214804525</v>
      </c>
      <c r="AD142">
        <f t="shared" si="79"/>
        <v>-445.43357324703254</v>
      </c>
      <c r="AE142">
        <f t="shared" si="80"/>
        <v>39.743942976182986</v>
      </c>
      <c r="AF142">
        <f t="shared" si="81"/>
        <v>0.92916774121555634</v>
      </c>
      <c r="AG142" t="b">
        <f t="shared" si="89"/>
        <v>1</v>
      </c>
      <c r="AH142">
        <f t="shared" si="82"/>
        <v>39.743942976182986</v>
      </c>
      <c r="AI142">
        <f t="shared" si="90"/>
        <v>3</v>
      </c>
      <c r="AJ142" cm="1">
        <f t="array" ref="AJ142:AO142">INDEX(surface!$A$2:$I$40,AI142+1,COLUMN(surface!$B$1:$G$1))</f>
        <v>-500</v>
      </c>
      <c r="AK142">
        <v>1000</v>
      </c>
      <c r="AL142">
        <v>0</v>
      </c>
      <c r="AM142">
        <v>1000</v>
      </c>
      <c r="AN142">
        <v>-500</v>
      </c>
      <c r="AO142">
        <v>0</v>
      </c>
      <c r="AP142">
        <f t="shared" si="91"/>
        <v>-570.81314613922996</v>
      </c>
      <c r="AQ142">
        <f t="shared" si="92"/>
        <v>965.27622148045248</v>
      </c>
      <c r="AR142">
        <f t="shared" si="93"/>
        <v>-227.13197006229771</v>
      </c>
      <c r="AS142">
        <f t="shared" si="83"/>
        <v>-38.219827122997579</v>
      </c>
      <c r="AT142">
        <f t="shared" si="84"/>
        <v>-0.13891072279635261</v>
      </c>
      <c r="AU142" t="b">
        <f t="shared" si="94"/>
        <v>0</v>
      </c>
      <c r="AV142">
        <f t="shared" si="85"/>
        <v>25000</v>
      </c>
    </row>
    <row r="143" spans="1:48" x14ac:dyDescent="0.25">
      <c r="A143">
        <f t="shared" si="64"/>
        <v>14.099999999999966</v>
      </c>
      <c r="B143">
        <f t="shared" si="86"/>
        <v>0.1</v>
      </c>
      <c r="C143">
        <f>sim!C142+(sim!$G142*$B143*COS($E143))</f>
        <v>-540.99535254410125</v>
      </c>
      <c r="D143">
        <f>sim!D142+(sim!$G142*$B143*SIN($E143))</f>
        <v>996.61358201592634</v>
      </c>
      <c r="E143">
        <f t="shared" si="65"/>
        <v>-1519.2984596090557</v>
      </c>
      <c r="F143">
        <f t="shared" si="72"/>
        <v>31.055836148005113</v>
      </c>
      <c r="G143">
        <v>100</v>
      </c>
      <c r="H143">
        <f t="shared" si="66"/>
        <v>6.0165132962588359</v>
      </c>
      <c r="I143">
        <f t="shared" si="73"/>
        <v>344.72081925997441</v>
      </c>
      <c r="J143">
        <f t="shared" si="87"/>
        <v>0</v>
      </c>
      <c r="K143">
        <f t="shared" si="88"/>
        <v>0</v>
      </c>
      <c r="L143">
        <f t="shared" si="74"/>
        <v>0</v>
      </c>
      <c r="M143">
        <f t="shared" si="67"/>
        <v>344.72081925997441</v>
      </c>
      <c r="N143">
        <f t="shared" si="75"/>
        <v>-531.01008457968464</v>
      </c>
      <c r="O143">
        <f t="shared" si="76"/>
        <v>997.1561902344373</v>
      </c>
      <c r="P143">
        <f t="shared" si="68"/>
        <v>-431.15740493551868</v>
      </c>
      <c r="Q143">
        <f t="shared" si="69"/>
        <v>1002.5822724195466</v>
      </c>
      <c r="R143">
        <f t="shared" si="77"/>
        <v>5.4260821851092975E-2</v>
      </c>
      <c r="S143">
        <f t="shared" si="78"/>
        <v>0.99852679644165987</v>
      </c>
      <c r="U143">
        <f t="shared" si="95"/>
        <v>2</v>
      </c>
      <c r="V143" cm="1">
        <f t="array" ref="V143:AA143">INDEX(surface!$A$2:$I$40,U143+1,COLUMN(surface!$B$1:$G$1))</f>
        <v>-500</v>
      </c>
      <c r="W143">
        <v>500</v>
      </c>
      <c r="X143">
        <v>-500</v>
      </c>
      <c r="Y143">
        <v>1000</v>
      </c>
      <c r="Z143">
        <v>0</v>
      </c>
      <c r="AA143">
        <v>-500</v>
      </c>
      <c r="AB143">
        <f t="shared" si="70"/>
        <v>-562.02016915936929</v>
      </c>
      <c r="AC143">
        <f t="shared" si="71"/>
        <v>1494.3123804688746</v>
      </c>
      <c r="AD143">
        <f t="shared" si="79"/>
        <v>-499.26339822082991</v>
      </c>
      <c r="AE143">
        <f t="shared" si="80"/>
        <v>31.055836148005113</v>
      </c>
      <c r="AF143">
        <f t="shared" si="81"/>
        <v>0.99768261085420185</v>
      </c>
      <c r="AG143" t="b">
        <f t="shared" si="89"/>
        <v>1</v>
      </c>
      <c r="AH143">
        <f t="shared" si="82"/>
        <v>31.055836148005113</v>
      </c>
      <c r="AI143">
        <f t="shared" si="90"/>
        <v>3</v>
      </c>
      <c r="AJ143" cm="1">
        <f t="array" ref="AJ143:AO143">INDEX(surface!$A$2:$I$40,AI143+1,COLUMN(surface!$B$1:$G$1))</f>
        <v>-500</v>
      </c>
      <c r="AK143">
        <v>1000</v>
      </c>
      <c r="AL143">
        <v>0</v>
      </c>
      <c r="AM143">
        <v>1000</v>
      </c>
      <c r="AN143">
        <v>-500</v>
      </c>
      <c r="AO143">
        <v>0</v>
      </c>
      <c r="AP143">
        <f t="shared" si="91"/>
        <v>-562.02016915936929</v>
      </c>
      <c r="AQ143">
        <f t="shared" si="92"/>
        <v>994.31238046887461</v>
      </c>
      <c r="AR143">
        <f t="shared" si="93"/>
        <v>27.130410925546489</v>
      </c>
      <c r="AS143">
        <f t="shared" si="83"/>
        <v>52.410001701907753</v>
      </c>
      <c r="AT143">
        <f t="shared" si="84"/>
        <v>4.2645413042446491E-2</v>
      </c>
      <c r="AU143" t="b">
        <f t="shared" si="94"/>
        <v>1</v>
      </c>
      <c r="AV143">
        <f t="shared" si="85"/>
        <v>52.410001701907753</v>
      </c>
    </row>
    <row r="144" spans="1:48" x14ac:dyDescent="0.25">
      <c r="A144">
        <f t="shared" si="64"/>
        <v>14.199999999999966</v>
      </c>
      <c r="B144">
        <f t="shared" si="86"/>
        <v>0.1</v>
      </c>
      <c r="C144">
        <f>sim!C143+(sim!$G143*$B144*COS($E144))</f>
        <v>-543.59745295483594</v>
      </c>
      <c r="D144">
        <f>sim!D143+(sim!$G143*$B144*SIN($E144))</f>
        <v>1006.2691023774839</v>
      </c>
      <c r="E144">
        <f t="shared" si="65"/>
        <v>-1518.6968082794299</v>
      </c>
      <c r="F144">
        <f t="shared" si="72"/>
        <v>25000</v>
      </c>
      <c r="G144">
        <v>100</v>
      </c>
      <c r="H144">
        <f t="shared" si="66"/>
        <v>-2172.9349187329403</v>
      </c>
      <c r="I144">
        <f t="shared" si="73"/>
        <v>-124500</v>
      </c>
      <c r="J144">
        <f t="shared" si="87"/>
        <v>0</v>
      </c>
      <c r="K144">
        <f t="shared" si="88"/>
        <v>0</v>
      </c>
      <c r="L144">
        <f t="shared" si="74"/>
        <v>0</v>
      </c>
      <c r="M144">
        <f t="shared" si="67"/>
        <v>-124500</v>
      </c>
      <c r="N144">
        <f t="shared" si="75"/>
        <v>-535.67269603358602</v>
      </c>
      <c r="O144">
        <f t="shared" si="76"/>
        <v>1012.3681373617336</v>
      </c>
      <c r="P144">
        <f t="shared" si="68"/>
        <v>-456.42512682108702</v>
      </c>
      <c r="Q144">
        <f t="shared" si="69"/>
        <v>1073.3584872042306</v>
      </c>
      <c r="R144">
        <f t="shared" si="77"/>
        <v>0.60990349842497071</v>
      </c>
      <c r="S144">
        <f t="shared" si="78"/>
        <v>0.79247569212498992</v>
      </c>
      <c r="U144">
        <f t="shared" si="95"/>
        <v>2</v>
      </c>
      <c r="V144" cm="1">
        <f t="array" ref="V144:AA144">INDEX(surface!$A$2:$I$40,U144+1,COLUMN(surface!$B$1:$G$1))</f>
        <v>-500</v>
      </c>
      <c r="W144">
        <v>500</v>
      </c>
      <c r="X144">
        <v>-500</v>
      </c>
      <c r="Y144">
        <v>1000</v>
      </c>
      <c r="Z144">
        <v>0</v>
      </c>
      <c r="AA144">
        <v>-500</v>
      </c>
      <c r="AB144">
        <f t="shared" si="70"/>
        <v>-571.34539206717204</v>
      </c>
      <c r="AC144">
        <f t="shared" si="71"/>
        <v>1524.7362747234672</v>
      </c>
      <c r="AD144">
        <f t="shared" si="79"/>
        <v>-396.23784606249495</v>
      </c>
      <c r="AE144">
        <f t="shared" si="80"/>
        <v>45.014246352378585</v>
      </c>
      <c r="AF144">
        <f t="shared" si="81"/>
        <v>1.0796449673820254</v>
      </c>
      <c r="AG144" t="b">
        <f t="shared" si="89"/>
        <v>0</v>
      </c>
      <c r="AH144">
        <f t="shared" si="82"/>
        <v>25000</v>
      </c>
      <c r="AI144">
        <f t="shared" si="90"/>
        <v>3</v>
      </c>
      <c r="AJ144" cm="1">
        <f t="array" ref="AJ144:AO144">INDEX(surface!$A$2:$I$40,AI144+1,COLUMN(surface!$B$1:$G$1))</f>
        <v>-500</v>
      </c>
      <c r="AK144">
        <v>1000</v>
      </c>
      <c r="AL144">
        <v>0</v>
      </c>
      <c r="AM144">
        <v>1000</v>
      </c>
      <c r="AN144">
        <v>-500</v>
      </c>
      <c r="AO144">
        <v>0</v>
      </c>
      <c r="AP144">
        <f t="shared" si="91"/>
        <v>-571.34539206717204</v>
      </c>
      <c r="AQ144">
        <f t="shared" si="92"/>
        <v>1024.7362747234672</v>
      </c>
      <c r="AR144">
        <f t="shared" si="93"/>
        <v>304.95174921248537</v>
      </c>
      <c r="AS144">
        <f t="shared" si="83"/>
        <v>-20.278843118088968</v>
      </c>
      <c r="AT144">
        <f t="shared" si="84"/>
        <v>-0.10348637253817533</v>
      </c>
      <c r="AU144" t="b">
        <f t="shared" si="94"/>
        <v>0</v>
      </c>
      <c r="AV144">
        <f t="shared" si="85"/>
        <v>25000</v>
      </c>
    </row>
    <row r="145" spans="1:48" x14ac:dyDescent="0.25">
      <c r="A145">
        <f t="shared" si="64"/>
        <v>14.299999999999965</v>
      </c>
      <c r="B145">
        <f t="shared" si="86"/>
        <v>0.1</v>
      </c>
      <c r="C145">
        <f>sim!C144+(sim!$G144*$B145*COS($E145))</f>
        <v>-546.17172807672023</v>
      </c>
      <c r="D145">
        <f>sim!D144+(sim!$G144*$B145*SIN($E145))</f>
        <v>996.60612625224962</v>
      </c>
      <c r="E145">
        <f t="shared" si="65"/>
        <v>-1735.9903001527239</v>
      </c>
      <c r="F145">
        <f t="shared" si="72"/>
        <v>25000</v>
      </c>
      <c r="G145">
        <v>100</v>
      </c>
      <c r="H145">
        <f t="shared" si="66"/>
        <v>-2172.9349187329403</v>
      </c>
      <c r="I145">
        <f t="shared" si="73"/>
        <v>-124500</v>
      </c>
      <c r="J145">
        <f t="shared" si="87"/>
        <v>0</v>
      </c>
      <c r="K145">
        <f t="shared" si="88"/>
        <v>0</v>
      </c>
      <c r="L145">
        <f t="shared" si="74"/>
        <v>0</v>
      </c>
      <c r="M145">
        <f t="shared" si="67"/>
        <v>-124500</v>
      </c>
      <c r="N145">
        <f t="shared" si="75"/>
        <v>-556.08428638146404</v>
      </c>
      <c r="O145">
        <f t="shared" si="76"/>
        <v>995.28658547794385</v>
      </c>
      <c r="P145">
        <f t="shared" si="68"/>
        <v>-655.2098694289017</v>
      </c>
      <c r="Q145">
        <f t="shared" si="69"/>
        <v>982.09117773488617</v>
      </c>
      <c r="R145">
        <f t="shared" si="77"/>
        <v>-0.13195407743057624</v>
      </c>
      <c r="S145">
        <f t="shared" si="78"/>
        <v>-0.99125583047437638</v>
      </c>
      <c r="U145">
        <f t="shared" si="95"/>
        <v>2</v>
      </c>
      <c r="V145" cm="1">
        <f t="array" ref="V145:AA145">INDEX(surface!$A$2:$I$40,U145+1,COLUMN(surface!$B$1:$G$1))</f>
        <v>-500</v>
      </c>
      <c r="W145">
        <v>500</v>
      </c>
      <c r="X145">
        <v>-500</v>
      </c>
      <c r="Y145">
        <v>1000</v>
      </c>
      <c r="Z145">
        <v>0</v>
      </c>
      <c r="AA145">
        <v>-500</v>
      </c>
      <c r="AB145">
        <f t="shared" si="70"/>
        <v>-612.16857276292808</v>
      </c>
      <c r="AC145">
        <f t="shared" si="71"/>
        <v>1490.5731709558877</v>
      </c>
      <c r="AD145">
        <f t="shared" si="79"/>
        <v>495.62791523718818</v>
      </c>
      <c r="AE145">
        <f t="shared" si="80"/>
        <v>-56.579022949730636</v>
      </c>
      <c r="AF145">
        <f t="shared" si="81"/>
        <v>1.0055048365063979</v>
      </c>
      <c r="AG145" t="b">
        <f t="shared" si="89"/>
        <v>0</v>
      </c>
      <c r="AH145">
        <f t="shared" si="82"/>
        <v>25000</v>
      </c>
      <c r="AI145">
        <f t="shared" si="90"/>
        <v>3</v>
      </c>
      <c r="AJ145" cm="1">
        <f t="array" ref="AJ145:AO145">INDEX(surface!$A$2:$I$40,AI145+1,COLUMN(surface!$B$1:$G$1))</f>
        <v>-500</v>
      </c>
      <c r="AK145">
        <v>1000</v>
      </c>
      <c r="AL145">
        <v>0</v>
      </c>
      <c r="AM145">
        <v>1000</v>
      </c>
      <c r="AN145">
        <v>-500</v>
      </c>
      <c r="AO145">
        <v>0</v>
      </c>
      <c r="AP145">
        <f t="shared" si="91"/>
        <v>-612.16857276292808</v>
      </c>
      <c r="AQ145">
        <f t="shared" si="92"/>
        <v>990.57317095588769</v>
      </c>
      <c r="AR145">
        <f t="shared" si="93"/>
        <v>-65.977038715288117</v>
      </c>
      <c r="AS145">
        <f t="shared" si="83"/>
        <v>-35.72011273797871</v>
      </c>
      <c r="AT145">
        <f t="shared" si="84"/>
        <v>-4.1353032729481216E-2</v>
      </c>
      <c r="AU145" t="b">
        <f t="shared" si="94"/>
        <v>0</v>
      </c>
      <c r="AV145">
        <f t="shared" si="85"/>
        <v>25000</v>
      </c>
    </row>
    <row r="146" spans="1:48" x14ac:dyDescent="0.25">
      <c r="A146">
        <f t="shared" si="64"/>
        <v>14.399999999999965</v>
      </c>
      <c r="B146">
        <f t="shared" si="86"/>
        <v>0.1</v>
      </c>
      <c r="C146">
        <f>sim!C145+(sim!$G145*$B146*COS($E146))</f>
        <v>-539.11085236222141</v>
      </c>
      <c r="D146">
        <f>sim!D145+(sim!$G145*$B146*SIN($E146))</f>
        <v>1003.6873714919233</v>
      </c>
      <c r="E146">
        <f t="shared" si="65"/>
        <v>-1953.2837920260179</v>
      </c>
      <c r="F146">
        <f t="shared" si="72"/>
        <v>32.308084021379962</v>
      </c>
      <c r="G146">
        <v>100</v>
      </c>
      <c r="H146">
        <f t="shared" si="66"/>
        <v>5.9072340540513961</v>
      </c>
      <c r="I146">
        <f t="shared" si="73"/>
        <v>338.45957989310023</v>
      </c>
      <c r="J146">
        <f t="shared" si="87"/>
        <v>0</v>
      </c>
      <c r="K146">
        <f t="shared" si="88"/>
        <v>0</v>
      </c>
      <c r="L146">
        <f t="shared" si="74"/>
        <v>0</v>
      </c>
      <c r="M146">
        <f t="shared" si="67"/>
        <v>338.45957989310023</v>
      </c>
      <c r="N146">
        <f t="shared" si="75"/>
        <v>-529.86655466666582</v>
      </c>
      <c r="O146">
        <f t="shared" si="76"/>
        <v>999.87384817142993</v>
      </c>
      <c r="P146">
        <f t="shared" si="68"/>
        <v>-437.42357771111023</v>
      </c>
      <c r="Q146">
        <f t="shared" si="69"/>
        <v>961.73861496649704</v>
      </c>
      <c r="R146">
        <f t="shared" si="77"/>
        <v>-0.38135233204932906</v>
      </c>
      <c r="S146">
        <f t="shared" si="78"/>
        <v>0.924429769555556</v>
      </c>
      <c r="U146">
        <f t="shared" si="95"/>
        <v>2</v>
      </c>
      <c r="V146" cm="1">
        <f t="array" ref="V146:AA146">INDEX(surface!$A$2:$I$40,U146+1,COLUMN(surface!$B$1:$G$1))</f>
        <v>-500</v>
      </c>
      <c r="W146">
        <v>500</v>
      </c>
      <c r="X146">
        <v>-500</v>
      </c>
      <c r="Y146">
        <v>1000</v>
      </c>
      <c r="Z146">
        <v>0</v>
      </c>
      <c r="AA146">
        <v>-500</v>
      </c>
      <c r="AB146">
        <f t="shared" si="70"/>
        <v>-559.73310933333164</v>
      </c>
      <c r="AC146">
        <f t="shared" si="71"/>
        <v>1499.7476963428599</v>
      </c>
      <c r="AD146">
        <f t="shared" si="79"/>
        <v>-462.21488477777802</v>
      </c>
      <c r="AE146">
        <f t="shared" si="80"/>
        <v>32.308084021379962</v>
      </c>
      <c r="AF146">
        <f t="shared" si="81"/>
        <v>0.97510616997166188</v>
      </c>
      <c r="AG146" t="b">
        <f t="shared" si="89"/>
        <v>1</v>
      </c>
      <c r="AH146">
        <f t="shared" si="82"/>
        <v>32.308084021379962</v>
      </c>
      <c r="AI146">
        <f t="shared" si="90"/>
        <v>3</v>
      </c>
      <c r="AJ146" cm="1">
        <f t="array" ref="AJ146:AO146">INDEX(surface!$A$2:$I$40,AI146+1,COLUMN(surface!$B$1:$G$1))</f>
        <v>-500</v>
      </c>
      <c r="AK146">
        <v>1000</v>
      </c>
      <c r="AL146">
        <v>0</v>
      </c>
      <c r="AM146">
        <v>1000</v>
      </c>
      <c r="AN146">
        <v>-500</v>
      </c>
      <c r="AO146">
        <v>0</v>
      </c>
      <c r="AP146">
        <f t="shared" si="91"/>
        <v>-559.73310933333164</v>
      </c>
      <c r="AQ146">
        <f t="shared" si="92"/>
        <v>999.74769634285985</v>
      </c>
      <c r="AR146">
        <f t="shared" si="93"/>
        <v>-190.67616602466452</v>
      </c>
      <c r="AS146">
        <f t="shared" si="83"/>
        <v>-0.33080125114786241</v>
      </c>
      <c r="AT146">
        <f t="shared" si="84"/>
        <v>-6.0344714382066254E-2</v>
      </c>
      <c r="AU146" t="b">
        <f t="shared" si="94"/>
        <v>0</v>
      </c>
      <c r="AV146">
        <f t="shared" si="85"/>
        <v>25000</v>
      </c>
    </row>
    <row r="147" spans="1:48" x14ac:dyDescent="0.25">
      <c r="A147">
        <f t="shared" si="64"/>
        <v>14.499999999999964</v>
      </c>
      <c r="B147">
        <f t="shared" si="86"/>
        <v>0.1</v>
      </c>
      <c r="C147">
        <f>sim!C146+(sim!$G146*$B147*COS($E147))</f>
        <v>-537.19051125858255</v>
      </c>
      <c r="D147">
        <f>sim!D146+(sim!$G146*$B147*SIN($E147))</f>
        <v>1013.5012540083219</v>
      </c>
      <c r="E147">
        <f t="shared" si="65"/>
        <v>-1952.6930686206126</v>
      </c>
      <c r="F147">
        <f t="shared" si="72"/>
        <v>25000</v>
      </c>
      <c r="G147">
        <v>100</v>
      </c>
      <c r="H147">
        <f t="shared" si="66"/>
        <v>-2172.9349187329403</v>
      </c>
      <c r="I147">
        <f t="shared" si="73"/>
        <v>-124500</v>
      </c>
      <c r="J147">
        <f t="shared" si="87"/>
        <v>0</v>
      </c>
      <c r="K147">
        <f t="shared" si="88"/>
        <v>0</v>
      </c>
      <c r="L147">
        <f t="shared" si="74"/>
        <v>0</v>
      </c>
      <c r="M147">
        <f t="shared" si="67"/>
        <v>-124500</v>
      </c>
      <c r="N147">
        <f t="shared" si="75"/>
        <v>-527.38878334235937</v>
      </c>
      <c r="O147">
        <f t="shared" si="76"/>
        <v>1015.482700413434</v>
      </c>
      <c r="P147">
        <f t="shared" si="68"/>
        <v>-429.37150418012783</v>
      </c>
      <c r="Q147">
        <f t="shared" si="69"/>
        <v>1035.2971644645552</v>
      </c>
      <c r="R147">
        <f t="shared" si="77"/>
        <v>0.19814464051121147</v>
      </c>
      <c r="S147">
        <f t="shared" si="78"/>
        <v>0.9801727916223153</v>
      </c>
      <c r="U147">
        <f t="shared" si="95"/>
        <v>2</v>
      </c>
      <c r="V147" cm="1">
        <f t="array" ref="V147:AA147">INDEX(surface!$A$2:$I$40,U147+1,COLUMN(surface!$B$1:$G$1))</f>
        <v>-500</v>
      </c>
      <c r="W147">
        <v>500</v>
      </c>
      <c r="X147">
        <v>-500</v>
      </c>
      <c r="Y147">
        <v>1000</v>
      </c>
      <c r="Z147">
        <v>0</v>
      </c>
      <c r="AA147">
        <v>-500</v>
      </c>
      <c r="AB147">
        <f t="shared" si="70"/>
        <v>-554.77756668471875</v>
      </c>
      <c r="AC147">
        <f t="shared" si="71"/>
        <v>1530.9654008268681</v>
      </c>
      <c r="AD147">
        <f t="shared" si="79"/>
        <v>-490.08639581115767</v>
      </c>
      <c r="AE147">
        <f t="shared" si="80"/>
        <v>27.942811284352551</v>
      </c>
      <c r="AF147">
        <f t="shared" si="81"/>
        <v>1.0420388374204894</v>
      </c>
      <c r="AG147" t="b">
        <f t="shared" si="89"/>
        <v>0</v>
      </c>
      <c r="AH147">
        <f t="shared" si="82"/>
        <v>25000</v>
      </c>
      <c r="AI147">
        <f t="shared" si="90"/>
        <v>3</v>
      </c>
      <c r="AJ147" cm="1">
        <f t="array" ref="AJ147:AO147">INDEX(surface!$A$2:$I$40,AI147+1,COLUMN(surface!$B$1:$G$1))</f>
        <v>-500</v>
      </c>
      <c r="AK147">
        <v>1000</v>
      </c>
      <c r="AL147">
        <v>0</v>
      </c>
      <c r="AM147">
        <v>1000</v>
      </c>
      <c r="AN147">
        <v>-500</v>
      </c>
      <c r="AO147">
        <v>0</v>
      </c>
      <c r="AP147">
        <f t="shared" si="91"/>
        <v>-554.77756668471875</v>
      </c>
      <c r="AQ147">
        <f t="shared" si="92"/>
        <v>1030.9654008268681</v>
      </c>
      <c r="AR147">
        <f t="shared" si="93"/>
        <v>99.072320255605732</v>
      </c>
      <c r="AS147">
        <f t="shared" si="83"/>
        <v>-78.138375953489316</v>
      </c>
      <c r="AT147">
        <f t="shared" si="84"/>
        <v>-0.20795578686704999</v>
      </c>
      <c r="AU147" t="b">
        <f t="shared" si="94"/>
        <v>0</v>
      </c>
      <c r="AV147">
        <f t="shared" si="85"/>
        <v>25000</v>
      </c>
    </row>
    <row r="148" spans="1:48" x14ac:dyDescent="0.25">
      <c r="A148">
        <f t="shared" si="64"/>
        <v>14.599999999999964</v>
      </c>
      <c r="B148">
        <f t="shared" si="86"/>
        <v>0.1</v>
      </c>
      <c r="C148">
        <f>sim!C147+(sim!$G147*$B148*COS($E148))</f>
        <v>-543.76051669646597</v>
      </c>
      <c r="D148">
        <f>sim!D147+(sim!$G147*$B148*SIN($E148))</f>
        <v>1005.9623529911853</v>
      </c>
      <c r="E148">
        <f t="shared" si="65"/>
        <v>-2169.9865604939068</v>
      </c>
      <c r="F148">
        <f t="shared" si="72"/>
        <v>25000</v>
      </c>
      <c r="G148">
        <v>100</v>
      </c>
      <c r="H148">
        <f t="shared" si="66"/>
        <v>-2172.9349187329403</v>
      </c>
      <c r="I148">
        <f t="shared" si="73"/>
        <v>-124500</v>
      </c>
      <c r="J148">
        <f t="shared" si="87"/>
        <v>0</v>
      </c>
      <c r="K148">
        <f t="shared" si="88"/>
        <v>0</v>
      </c>
      <c r="L148">
        <f t="shared" si="74"/>
        <v>0</v>
      </c>
      <c r="M148">
        <f t="shared" si="67"/>
        <v>-124500</v>
      </c>
      <c r="N148">
        <f t="shared" si="75"/>
        <v>-553.23978527545376</v>
      </c>
      <c r="O148">
        <f t="shared" si="76"/>
        <v>1009.1472340262342</v>
      </c>
      <c r="P148">
        <f t="shared" si="68"/>
        <v>-648.03247106533217</v>
      </c>
      <c r="Q148">
        <f t="shared" si="69"/>
        <v>1040.9960443767229</v>
      </c>
      <c r="R148">
        <f t="shared" si="77"/>
        <v>0.31848810350488654</v>
      </c>
      <c r="S148">
        <f t="shared" si="78"/>
        <v>-0.94792685789878361</v>
      </c>
      <c r="U148">
        <f t="shared" si="95"/>
        <v>2</v>
      </c>
      <c r="V148" cm="1">
        <f t="array" ref="V148:AA148">INDEX(surface!$A$2:$I$40,U148+1,COLUMN(surface!$B$1:$G$1))</f>
        <v>-500</v>
      </c>
      <c r="W148">
        <v>500</v>
      </c>
      <c r="X148">
        <v>-500</v>
      </c>
      <c r="Y148">
        <v>1000</v>
      </c>
      <c r="Z148">
        <v>0</v>
      </c>
      <c r="AA148">
        <v>-500</v>
      </c>
      <c r="AB148">
        <f t="shared" si="70"/>
        <v>-606.47957055090751</v>
      </c>
      <c r="AC148">
        <f t="shared" si="71"/>
        <v>1518.2944680524683</v>
      </c>
      <c r="AD148">
        <f t="shared" si="79"/>
        <v>473.96342894939181</v>
      </c>
      <c r="AE148">
        <f t="shared" si="80"/>
        <v>-56.164444368068018</v>
      </c>
      <c r="AF148">
        <f t="shared" si="81"/>
        <v>0.98251905331008493</v>
      </c>
      <c r="AG148" t="b">
        <f t="shared" si="89"/>
        <v>0</v>
      </c>
      <c r="AH148">
        <f t="shared" si="82"/>
        <v>25000</v>
      </c>
      <c r="AI148">
        <f t="shared" si="90"/>
        <v>3</v>
      </c>
      <c r="AJ148" cm="1">
        <f t="array" ref="AJ148:AO148">INDEX(surface!$A$2:$I$40,AI148+1,COLUMN(surface!$B$1:$G$1))</f>
        <v>-500</v>
      </c>
      <c r="AK148">
        <v>1000</v>
      </c>
      <c r="AL148">
        <v>0</v>
      </c>
      <c r="AM148">
        <v>1000</v>
      </c>
      <c r="AN148">
        <v>-500</v>
      </c>
      <c r="AO148">
        <v>0</v>
      </c>
      <c r="AP148">
        <f t="shared" si="91"/>
        <v>-606.47957055090751</v>
      </c>
      <c r="AQ148">
        <f t="shared" si="92"/>
        <v>1018.2944680524683</v>
      </c>
      <c r="AR148">
        <f t="shared" si="93"/>
        <v>159.24405175244328</v>
      </c>
      <c r="AS148">
        <f t="shared" si="83"/>
        <v>-28.720802835556547</v>
      </c>
      <c r="AT148">
        <f t="shared" si="84"/>
        <v>-5.202912977442832E-2</v>
      </c>
      <c r="AU148" t="b">
        <f t="shared" si="94"/>
        <v>0</v>
      </c>
      <c r="AV148">
        <f t="shared" si="85"/>
        <v>25000</v>
      </c>
    </row>
    <row r="149" spans="1:48" x14ac:dyDescent="0.25">
      <c r="A149">
        <f t="shared" si="64"/>
        <v>14.699999999999964</v>
      </c>
      <c r="B149">
        <f t="shared" si="86"/>
        <v>0.1</v>
      </c>
      <c r="C149">
        <f>sim!C148+(sim!$G148*$B149*COS($E149))</f>
        <v>-534.30127457568892</v>
      </c>
      <c r="D149">
        <f>sim!D148+(sim!$G148*$B149*SIN($E149))</f>
        <v>1009.2062300697006</v>
      </c>
      <c r="E149">
        <f t="shared" si="65"/>
        <v>-2387.2800523672008</v>
      </c>
      <c r="F149">
        <f t="shared" si="72"/>
        <v>41.83930532422702</v>
      </c>
      <c r="G149">
        <v>100</v>
      </c>
      <c r="H149">
        <f t="shared" si="66"/>
        <v>5.0754780866968723</v>
      </c>
      <c r="I149">
        <f t="shared" si="73"/>
        <v>290.80347337886491</v>
      </c>
      <c r="J149">
        <f t="shared" si="87"/>
        <v>0</v>
      </c>
      <c r="K149">
        <f t="shared" si="88"/>
        <v>0</v>
      </c>
      <c r="L149">
        <f t="shared" si="74"/>
        <v>0</v>
      </c>
      <c r="M149">
        <f t="shared" si="67"/>
        <v>290.80347337886491</v>
      </c>
      <c r="N149">
        <f t="shared" si="75"/>
        <v>-527.68442769451394</v>
      </c>
      <c r="O149">
        <f t="shared" si="76"/>
        <v>1001.7084078958234</v>
      </c>
      <c r="P149">
        <f t="shared" si="68"/>
        <v>-461.5159588827641</v>
      </c>
      <c r="Q149">
        <f t="shared" si="69"/>
        <v>926.73018615705121</v>
      </c>
      <c r="R149">
        <f t="shared" si="77"/>
        <v>-0.74978221738772177</v>
      </c>
      <c r="S149">
        <f t="shared" si="78"/>
        <v>0.66168468811749837</v>
      </c>
      <c r="U149">
        <f t="shared" si="95"/>
        <v>2</v>
      </c>
      <c r="V149" cm="1">
        <f t="array" ref="V149:AA149">INDEX(surface!$A$2:$I$40,U149+1,COLUMN(surface!$B$1:$G$1))</f>
        <v>-500</v>
      </c>
      <c r="W149">
        <v>500</v>
      </c>
      <c r="X149">
        <v>-500</v>
      </c>
      <c r="Y149">
        <v>1000</v>
      </c>
      <c r="Z149">
        <v>0</v>
      </c>
      <c r="AA149">
        <v>-500</v>
      </c>
      <c r="AB149">
        <f t="shared" si="70"/>
        <v>-555.36885538902789</v>
      </c>
      <c r="AC149">
        <f t="shared" si="71"/>
        <v>1503.4168157916467</v>
      </c>
      <c r="AD149">
        <f t="shared" si="79"/>
        <v>-330.84234405874918</v>
      </c>
      <c r="AE149">
        <f t="shared" si="80"/>
        <v>41.83930532422702</v>
      </c>
      <c r="AF149">
        <f t="shared" si="81"/>
        <v>0.94067608155172511</v>
      </c>
      <c r="AG149" t="b">
        <f t="shared" si="89"/>
        <v>1</v>
      </c>
      <c r="AH149">
        <f t="shared" si="82"/>
        <v>41.83930532422702</v>
      </c>
      <c r="AI149">
        <f t="shared" si="90"/>
        <v>3</v>
      </c>
      <c r="AJ149" cm="1">
        <f t="array" ref="AJ149:AO149">INDEX(surface!$A$2:$I$40,AI149+1,COLUMN(surface!$B$1:$G$1))</f>
        <v>-500</v>
      </c>
      <c r="AK149">
        <v>1000</v>
      </c>
      <c r="AL149">
        <v>0</v>
      </c>
      <c r="AM149">
        <v>1000</v>
      </c>
      <c r="AN149">
        <v>-500</v>
      </c>
      <c r="AO149">
        <v>0</v>
      </c>
      <c r="AP149">
        <f t="shared" si="91"/>
        <v>-555.36885538902789</v>
      </c>
      <c r="AQ149">
        <f t="shared" si="92"/>
        <v>1003.4168157916467</v>
      </c>
      <c r="AR149">
        <f t="shared" si="93"/>
        <v>-374.89110869386087</v>
      </c>
      <c r="AS149">
        <f t="shared" si="83"/>
        <v>2.2785388292823852</v>
      </c>
      <c r="AT149">
        <f t="shared" si="84"/>
        <v>-5.2353506879793232E-2</v>
      </c>
      <c r="AU149" t="b">
        <f t="shared" si="94"/>
        <v>0</v>
      </c>
      <c r="AV149">
        <f t="shared" si="85"/>
        <v>25000</v>
      </c>
    </row>
    <row r="150" spans="1:48" x14ac:dyDescent="0.25">
      <c r="A150">
        <f t="shared" si="64"/>
        <v>14.799999999999963</v>
      </c>
      <c r="B150">
        <f t="shared" si="86"/>
        <v>0.1</v>
      </c>
      <c r="C150">
        <f>sim!C149+(sim!$G149*$B150*COS($E150))</f>
        <v>-527.61111399143692</v>
      </c>
      <c r="D150">
        <f>sim!D149+(sim!$G149*$B150*SIN($E150))</f>
        <v>1016.6387095588699</v>
      </c>
      <c r="E150">
        <f t="shared" si="65"/>
        <v>-2386.7725045585312</v>
      </c>
      <c r="F150">
        <f t="shared" si="72"/>
        <v>39.86702455113992</v>
      </c>
      <c r="G150">
        <v>100</v>
      </c>
      <c r="H150">
        <f t="shared" si="66"/>
        <v>5.247592053017617</v>
      </c>
      <c r="I150">
        <f t="shared" si="73"/>
        <v>300.66487724430038</v>
      </c>
      <c r="J150">
        <f t="shared" si="87"/>
        <v>0</v>
      </c>
      <c r="K150">
        <f t="shared" si="88"/>
        <v>0</v>
      </c>
      <c r="L150">
        <f t="shared" si="74"/>
        <v>0</v>
      </c>
      <c r="M150">
        <f t="shared" si="67"/>
        <v>300.66487724430038</v>
      </c>
      <c r="N150">
        <f t="shared" si="75"/>
        <v>-518.18418470012796</v>
      </c>
      <c r="O150">
        <f t="shared" si="76"/>
        <v>1013.3020938877652</v>
      </c>
      <c r="P150">
        <f t="shared" si="68"/>
        <v>-423.91489178703875</v>
      </c>
      <c r="Q150">
        <f t="shared" si="69"/>
        <v>979.93593717671752</v>
      </c>
      <c r="R150">
        <f t="shared" si="77"/>
        <v>-0.33366156711047634</v>
      </c>
      <c r="S150">
        <f t="shared" si="78"/>
        <v>0.94269292913089209</v>
      </c>
      <c r="U150">
        <f t="shared" si="95"/>
        <v>2</v>
      </c>
      <c r="V150" cm="1">
        <f t="array" ref="V150:AA150">INDEX(surface!$A$2:$I$40,U150+1,COLUMN(surface!$B$1:$G$1))</f>
        <v>-500</v>
      </c>
      <c r="W150">
        <v>500</v>
      </c>
      <c r="X150">
        <v>-500</v>
      </c>
      <c r="Y150">
        <v>1000</v>
      </c>
      <c r="Z150">
        <v>0</v>
      </c>
      <c r="AA150">
        <v>-500</v>
      </c>
      <c r="AB150">
        <f t="shared" si="70"/>
        <v>-536.36836940025592</v>
      </c>
      <c r="AC150">
        <f t="shared" si="71"/>
        <v>1526.6041877755304</v>
      </c>
      <c r="AD150">
        <f t="shared" si="79"/>
        <v>-471.34646456544607</v>
      </c>
      <c r="AE150">
        <f t="shared" si="80"/>
        <v>19.289616096826688</v>
      </c>
      <c r="AF150">
        <f t="shared" si="81"/>
        <v>1.0137317807038768</v>
      </c>
      <c r="AG150" t="b">
        <f t="shared" si="89"/>
        <v>0</v>
      </c>
      <c r="AH150">
        <f t="shared" si="82"/>
        <v>25000</v>
      </c>
      <c r="AI150">
        <f t="shared" si="90"/>
        <v>3</v>
      </c>
      <c r="AJ150" cm="1">
        <f t="array" ref="AJ150:AO150">INDEX(surface!$A$2:$I$40,AI150+1,COLUMN(surface!$B$1:$G$1))</f>
        <v>-500</v>
      </c>
      <c r="AK150">
        <v>1000</v>
      </c>
      <c r="AL150">
        <v>0</v>
      </c>
      <c r="AM150">
        <v>1000</v>
      </c>
      <c r="AN150">
        <v>-500</v>
      </c>
      <c r="AO150">
        <v>0</v>
      </c>
      <c r="AP150">
        <f t="shared" si="91"/>
        <v>-536.36836940025592</v>
      </c>
      <c r="AQ150">
        <f t="shared" si="92"/>
        <v>1026.6041877755304</v>
      </c>
      <c r="AR150">
        <f t="shared" si="93"/>
        <v>-166.83078355523818</v>
      </c>
      <c r="AS150">
        <f t="shared" si="83"/>
        <v>39.86702455113992</v>
      </c>
      <c r="AT150">
        <f t="shared" si="84"/>
        <v>3.8796354899438647E-2</v>
      </c>
      <c r="AU150" t="b">
        <f t="shared" si="94"/>
        <v>1</v>
      </c>
      <c r="AV150">
        <f t="shared" si="85"/>
        <v>39.86702455113992</v>
      </c>
    </row>
    <row r="151" spans="1:48" x14ac:dyDescent="0.25">
      <c r="A151">
        <f t="shared" si="64"/>
        <v>14.899999999999963</v>
      </c>
      <c r="B151">
        <f t="shared" si="86"/>
        <v>0.1</v>
      </c>
      <c r="C151">
        <f>sim!C150+(sim!$G150*$B151*COS($E151))</f>
        <v>-525.54485719799698</v>
      </c>
      <c r="D151">
        <f>sim!D150+(sim!$G150*$B151*SIN($E151))</f>
        <v>1026.422910234631</v>
      </c>
      <c r="E151">
        <f t="shared" si="65"/>
        <v>-2386.2477453532292</v>
      </c>
      <c r="F151">
        <f t="shared" si="72"/>
        <v>25000</v>
      </c>
      <c r="G151">
        <v>100</v>
      </c>
      <c r="H151">
        <f t="shared" si="66"/>
        <v>-2172.9349187329403</v>
      </c>
      <c r="I151">
        <f t="shared" si="73"/>
        <v>-124500</v>
      </c>
      <c r="J151">
        <f t="shared" si="87"/>
        <v>0</v>
      </c>
      <c r="K151">
        <f t="shared" si="88"/>
        <v>0</v>
      </c>
      <c r="L151">
        <f t="shared" si="74"/>
        <v>0</v>
      </c>
      <c r="M151">
        <f t="shared" si="67"/>
        <v>-124500</v>
      </c>
      <c r="N151">
        <f t="shared" si="75"/>
        <v>-515.71471220981709</v>
      </c>
      <c r="O151">
        <f t="shared" si="76"/>
        <v>1028.2581893718095</v>
      </c>
      <c r="P151">
        <f t="shared" si="68"/>
        <v>-417.41326232801873</v>
      </c>
      <c r="Q151">
        <f t="shared" si="69"/>
        <v>1046.6109807435951</v>
      </c>
      <c r="R151">
        <f t="shared" si="77"/>
        <v>0.18352791371785596</v>
      </c>
      <c r="S151">
        <f t="shared" si="78"/>
        <v>0.98301449881798342</v>
      </c>
      <c r="U151">
        <f t="shared" si="95"/>
        <v>2</v>
      </c>
      <c r="V151" cm="1">
        <f t="array" ref="V151:AA151">INDEX(surface!$A$2:$I$40,U151+1,COLUMN(surface!$B$1:$G$1))</f>
        <v>-500</v>
      </c>
      <c r="W151">
        <v>500</v>
      </c>
      <c r="X151">
        <v>-500</v>
      </c>
      <c r="Y151">
        <v>1000</v>
      </c>
      <c r="Z151">
        <v>0</v>
      </c>
      <c r="AA151">
        <v>-500</v>
      </c>
      <c r="AB151">
        <f t="shared" si="70"/>
        <v>-531.42942441963419</v>
      </c>
      <c r="AC151">
        <f t="shared" si="71"/>
        <v>1556.516378743619</v>
      </c>
      <c r="AD151">
        <f t="shared" si="79"/>
        <v>-491.5072494089917</v>
      </c>
      <c r="AE151">
        <f t="shared" si="80"/>
        <v>15.986246620688814</v>
      </c>
      <c r="AF151">
        <f t="shared" si="81"/>
        <v>1.0623842237245673</v>
      </c>
      <c r="AG151" t="b">
        <f t="shared" si="89"/>
        <v>0</v>
      </c>
      <c r="AH151">
        <f t="shared" si="82"/>
        <v>25000</v>
      </c>
      <c r="AI151">
        <f t="shared" si="90"/>
        <v>3</v>
      </c>
      <c r="AJ151" cm="1">
        <f t="array" ref="AJ151:AO151">INDEX(surface!$A$2:$I$40,AI151+1,COLUMN(surface!$B$1:$G$1))</f>
        <v>-500</v>
      </c>
      <c r="AK151">
        <v>1000</v>
      </c>
      <c r="AL151">
        <v>0</v>
      </c>
      <c r="AM151">
        <v>1000</v>
      </c>
      <c r="AN151">
        <v>-500</v>
      </c>
      <c r="AO151">
        <v>0</v>
      </c>
      <c r="AP151">
        <f t="shared" si="91"/>
        <v>-531.42942441963419</v>
      </c>
      <c r="AQ151">
        <f t="shared" si="92"/>
        <v>1056.516378743619</v>
      </c>
      <c r="AR151">
        <f t="shared" si="93"/>
        <v>91.763956858927983</v>
      </c>
      <c r="AS151">
        <f t="shared" si="83"/>
        <v>-153.97216041616346</v>
      </c>
      <c r="AT151">
        <f t="shared" si="84"/>
        <v>-0.33414315662646826</v>
      </c>
      <c r="AU151" t="b">
        <f t="shared" si="94"/>
        <v>0</v>
      </c>
      <c r="AV151">
        <f t="shared" si="85"/>
        <v>25000</v>
      </c>
    </row>
    <row r="152" spans="1:48" x14ac:dyDescent="0.25">
      <c r="A152">
        <f t="shared" si="64"/>
        <v>14.999999999999963</v>
      </c>
      <c r="B152">
        <f t="shared" si="86"/>
        <v>0.1</v>
      </c>
      <c r="C152">
        <f>sim!C151+(sim!$G151*$B152*COS($E152))</f>
        <v>-532.22638840973832</v>
      </c>
      <c r="D152">
        <f>sim!D151+(sim!$G151*$B152*SIN($E152))</f>
        <v>1018.9826722904166</v>
      </c>
      <c r="E152">
        <f t="shared" si="65"/>
        <v>-2603.5412372265232</v>
      </c>
      <c r="F152">
        <f t="shared" si="72"/>
        <v>25000</v>
      </c>
      <c r="G152">
        <v>100</v>
      </c>
      <c r="H152">
        <f t="shared" si="66"/>
        <v>-2172.9349187329403</v>
      </c>
      <c r="I152">
        <f t="shared" si="73"/>
        <v>-124500</v>
      </c>
      <c r="J152">
        <f t="shared" si="87"/>
        <v>0</v>
      </c>
      <c r="K152">
        <f t="shared" si="88"/>
        <v>0</v>
      </c>
      <c r="L152">
        <f t="shared" si="74"/>
        <v>0</v>
      </c>
      <c r="M152">
        <f t="shared" si="67"/>
        <v>-124500</v>
      </c>
      <c r="N152">
        <f t="shared" si="75"/>
        <v>-541.65718326097578</v>
      </c>
      <c r="O152">
        <f t="shared" si="76"/>
        <v>1022.3083464286739</v>
      </c>
      <c r="P152">
        <f t="shared" si="68"/>
        <v>-635.96513177335021</v>
      </c>
      <c r="Q152">
        <f t="shared" si="69"/>
        <v>1055.5650878112467</v>
      </c>
      <c r="R152">
        <f t="shared" si="77"/>
        <v>0.33256741382572785</v>
      </c>
      <c r="S152">
        <f t="shared" si="78"/>
        <v>-0.94307948512374451</v>
      </c>
      <c r="U152">
        <f t="shared" si="95"/>
        <v>2</v>
      </c>
      <c r="V152" cm="1">
        <f t="array" ref="V152:AA152">INDEX(surface!$A$2:$I$40,U152+1,COLUMN(surface!$B$1:$G$1))</f>
        <v>-500</v>
      </c>
      <c r="W152">
        <v>500</v>
      </c>
      <c r="X152">
        <v>-500</v>
      </c>
      <c r="Y152">
        <v>1000</v>
      </c>
      <c r="Z152">
        <v>0</v>
      </c>
      <c r="AA152">
        <v>-500</v>
      </c>
      <c r="AB152">
        <f t="shared" si="70"/>
        <v>-583.31436652195157</v>
      </c>
      <c r="AC152">
        <f t="shared" si="71"/>
        <v>1544.6166928573477</v>
      </c>
      <c r="AD152">
        <f t="shared" si="79"/>
        <v>471.53974256187223</v>
      </c>
      <c r="AE152">
        <f t="shared" si="80"/>
        <v>-44.171444632272767</v>
      </c>
      <c r="AF152">
        <f t="shared" si="81"/>
        <v>1.0152367266447451</v>
      </c>
      <c r="AG152" t="b">
        <f t="shared" si="89"/>
        <v>0</v>
      </c>
      <c r="AH152">
        <f t="shared" si="82"/>
        <v>25000</v>
      </c>
      <c r="AI152">
        <f t="shared" si="90"/>
        <v>3</v>
      </c>
      <c r="AJ152" cm="1">
        <f t="array" ref="AJ152:AO152">INDEX(surface!$A$2:$I$40,AI152+1,COLUMN(surface!$B$1:$G$1))</f>
        <v>-500</v>
      </c>
      <c r="AK152">
        <v>1000</v>
      </c>
      <c r="AL152">
        <v>0</v>
      </c>
      <c r="AM152">
        <v>1000</v>
      </c>
      <c r="AN152">
        <v>-500</v>
      </c>
      <c r="AO152">
        <v>0</v>
      </c>
      <c r="AP152">
        <f t="shared" si="91"/>
        <v>-583.31436652195157</v>
      </c>
      <c r="AQ152">
        <f t="shared" si="92"/>
        <v>1044.6166928573477</v>
      </c>
      <c r="AR152">
        <f t="shared" si="93"/>
        <v>166.28370691286392</v>
      </c>
      <c r="AS152">
        <f t="shared" si="83"/>
        <v>-67.079171022943044</v>
      </c>
      <c r="AT152">
        <f t="shared" si="84"/>
        <v>4.3207613619737892E-2</v>
      </c>
      <c r="AU152" t="b">
        <f t="shared" si="94"/>
        <v>0</v>
      </c>
      <c r="AV152">
        <f t="shared" si="85"/>
        <v>25000</v>
      </c>
    </row>
    <row r="153" spans="1:48" x14ac:dyDescent="0.25">
      <c r="A153">
        <f t="shared" si="64"/>
        <v>15.099999999999962</v>
      </c>
      <c r="B153">
        <f t="shared" si="86"/>
        <v>0.1</v>
      </c>
      <c r="C153">
        <f>sim!C152+(sim!$G152*$B153*COS($E153))</f>
        <v>-522.71989367208471</v>
      </c>
      <c r="D153">
        <f>sim!D152+(sim!$G152*$B153*SIN($E153))</f>
        <v>1022.0853417544369</v>
      </c>
      <c r="E153">
        <f t="shared" si="65"/>
        <v>-2820.8347290998172</v>
      </c>
      <c r="F153">
        <f t="shared" si="72"/>
        <v>24.929657148597052</v>
      </c>
      <c r="G153">
        <v>100</v>
      </c>
      <c r="H153">
        <f t="shared" si="66"/>
        <v>6.5511232667898494</v>
      </c>
      <c r="I153">
        <f t="shared" si="73"/>
        <v>375.35171425701481</v>
      </c>
      <c r="J153">
        <f t="shared" si="87"/>
        <v>0</v>
      </c>
      <c r="K153">
        <f t="shared" si="88"/>
        <v>0</v>
      </c>
      <c r="L153">
        <f t="shared" si="74"/>
        <v>0</v>
      </c>
      <c r="M153">
        <f t="shared" si="67"/>
        <v>375.35171425701481</v>
      </c>
      <c r="N153">
        <f t="shared" si="75"/>
        <v>-516.21542282216194</v>
      </c>
      <c r="O153">
        <f t="shared" si="76"/>
        <v>1014.4898260403787</v>
      </c>
      <c r="P153">
        <f t="shared" si="68"/>
        <v>-451.1707143229338</v>
      </c>
      <c r="Q153">
        <f t="shared" si="69"/>
        <v>938.53466889979711</v>
      </c>
      <c r="R153">
        <f t="shared" si="77"/>
        <v>-0.75955157140581575</v>
      </c>
      <c r="S153">
        <f t="shared" si="78"/>
        <v>0.65044708499228132</v>
      </c>
      <c r="U153">
        <f t="shared" si="95"/>
        <v>2</v>
      </c>
      <c r="V153" cm="1">
        <f t="array" ref="V153:AA153">INDEX(surface!$A$2:$I$40,U153+1,COLUMN(surface!$B$1:$G$1))</f>
        <v>-500</v>
      </c>
      <c r="W153">
        <v>500</v>
      </c>
      <c r="X153">
        <v>-500</v>
      </c>
      <c r="Y153">
        <v>1000</v>
      </c>
      <c r="Z153">
        <v>0</v>
      </c>
      <c r="AA153">
        <v>-500</v>
      </c>
      <c r="AB153">
        <f t="shared" si="70"/>
        <v>-532.43084564432388</v>
      </c>
      <c r="AC153">
        <f t="shared" si="71"/>
        <v>1528.9796520807574</v>
      </c>
      <c r="AD153">
        <f t="shared" si="79"/>
        <v>-325.22354249614068</v>
      </c>
      <c r="AE153">
        <f t="shared" si="80"/>
        <v>24.929657148597052</v>
      </c>
      <c r="AF153">
        <f t="shared" si="81"/>
        <v>0.99110893155710722</v>
      </c>
      <c r="AG153" t="b">
        <f t="shared" si="89"/>
        <v>1</v>
      </c>
      <c r="AH153">
        <f t="shared" si="82"/>
        <v>24.929657148597052</v>
      </c>
      <c r="AI153">
        <f t="shared" si="90"/>
        <v>3</v>
      </c>
      <c r="AJ153" cm="1">
        <f t="array" ref="AJ153:AO153">INDEX(surface!$A$2:$I$40,AI153+1,COLUMN(surface!$B$1:$G$1))</f>
        <v>-500</v>
      </c>
      <c r="AK153">
        <v>1000</v>
      </c>
      <c r="AL153">
        <v>0</v>
      </c>
      <c r="AM153">
        <v>1000</v>
      </c>
      <c r="AN153">
        <v>-500</v>
      </c>
      <c r="AO153">
        <v>0</v>
      </c>
      <c r="AP153">
        <f t="shared" si="91"/>
        <v>-532.43084564432388</v>
      </c>
      <c r="AQ153">
        <f t="shared" si="92"/>
        <v>1028.9796520807574</v>
      </c>
      <c r="AR153">
        <f t="shared" si="93"/>
        <v>-379.77578570290785</v>
      </c>
      <c r="AS153">
        <f t="shared" si="83"/>
        <v>19.07681661899564</v>
      </c>
      <c r="AT153">
        <f t="shared" si="84"/>
        <v>-7.6139261228078412E-3</v>
      </c>
      <c r="AU153" t="b">
        <f t="shared" si="94"/>
        <v>0</v>
      </c>
      <c r="AV153">
        <f t="shared" si="85"/>
        <v>25000</v>
      </c>
    </row>
    <row r="154" spans="1:48" x14ac:dyDescent="0.25">
      <c r="A154">
        <f t="shared" si="64"/>
        <v>15.199999999999962</v>
      </c>
      <c r="B154">
        <f t="shared" si="86"/>
        <v>0.1</v>
      </c>
      <c r="C154">
        <f>sim!C153+(sim!$G153*$B154*COS($E154))</f>
        <v>-517.07173440301256</v>
      </c>
      <c r="D154">
        <f>sim!D153+(sim!$G153*$B154*SIN($E154))</f>
        <v>1030.3375109765987</v>
      </c>
      <c r="E154">
        <f t="shared" si="65"/>
        <v>-2820.1796167731382</v>
      </c>
      <c r="F154">
        <f t="shared" si="72"/>
        <v>137.25157878810353</v>
      </c>
      <c r="G154">
        <v>100</v>
      </c>
      <c r="H154">
        <f t="shared" si="66"/>
        <v>-3.2508135070924284</v>
      </c>
      <c r="I154">
        <f t="shared" si="73"/>
        <v>-186.25789394051765</v>
      </c>
      <c r="J154">
        <f t="shared" si="87"/>
        <v>0</v>
      </c>
      <c r="K154">
        <f t="shared" si="88"/>
        <v>0</v>
      </c>
      <c r="L154">
        <f t="shared" si="74"/>
        <v>0</v>
      </c>
      <c r="M154">
        <f t="shared" si="67"/>
        <v>-186.25789394051765</v>
      </c>
      <c r="N154">
        <f t="shared" si="75"/>
        <v>-507.28626718420429</v>
      </c>
      <c r="O154">
        <f t="shared" si="76"/>
        <v>1028.2772606739343</v>
      </c>
      <c r="P154">
        <f t="shared" si="68"/>
        <v>-409.43159499612136</v>
      </c>
      <c r="Q154">
        <f t="shared" si="69"/>
        <v>1007.6747576472914</v>
      </c>
      <c r="R154">
        <f t="shared" si="77"/>
        <v>-0.20602503026642963</v>
      </c>
      <c r="S154">
        <f t="shared" si="78"/>
        <v>0.97854672188082914</v>
      </c>
      <c r="U154">
        <f t="shared" si="95"/>
        <v>2</v>
      </c>
      <c r="V154" cm="1">
        <f t="array" ref="V154:AA154">INDEX(surface!$A$2:$I$40,U154+1,COLUMN(surface!$B$1:$G$1))</f>
        <v>-500</v>
      </c>
      <c r="W154">
        <v>500</v>
      </c>
      <c r="X154">
        <v>-500</v>
      </c>
      <c r="Y154">
        <v>1000</v>
      </c>
      <c r="Z154">
        <v>0</v>
      </c>
      <c r="AA154">
        <v>-500</v>
      </c>
      <c r="AB154">
        <f t="shared" si="70"/>
        <v>-514.57253436840858</v>
      </c>
      <c r="AC154">
        <f t="shared" si="71"/>
        <v>1556.5545213478686</v>
      </c>
      <c r="AD154">
        <f t="shared" si="79"/>
        <v>-489.27336094041459</v>
      </c>
      <c r="AE154">
        <f t="shared" si="80"/>
        <v>7.4460084748938922</v>
      </c>
      <c r="AF154">
        <f t="shared" si="81"/>
        <v>1.0534863931050602</v>
      </c>
      <c r="AG154" t="b">
        <f t="shared" si="89"/>
        <v>0</v>
      </c>
      <c r="AH154">
        <f t="shared" si="82"/>
        <v>25000</v>
      </c>
      <c r="AI154">
        <f t="shared" si="90"/>
        <v>3</v>
      </c>
      <c r="AJ154" cm="1">
        <f t="array" ref="AJ154:AO154">INDEX(surface!$A$2:$I$40,AI154+1,COLUMN(surface!$B$1:$G$1))</f>
        <v>-500</v>
      </c>
      <c r="AK154">
        <v>1000</v>
      </c>
      <c r="AL154">
        <v>0</v>
      </c>
      <c r="AM154">
        <v>1000</v>
      </c>
      <c r="AN154">
        <v>-500</v>
      </c>
      <c r="AO154">
        <v>0</v>
      </c>
      <c r="AP154">
        <f t="shared" si="91"/>
        <v>-514.57253436840858</v>
      </c>
      <c r="AQ154">
        <f t="shared" si="92"/>
        <v>1056.5545213478686</v>
      </c>
      <c r="AR154">
        <f t="shared" si="93"/>
        <v>-103.01251513321482</v>
      </c>
      <c r="AS154">
        <f t="shared" si="83"/>
        <v>137.25157878810353</v>
      </c>
      <c r="AT154">
        <f t="shared" si="84"/>
        <v>0.25404163062372553</v>
      </c>
      <c r="AU154" t="b">
        <f t="shared" si="94"/>
        <v>1</v>
      </c>
      <c r="AV154">
        <f t="shared" si="85"/>
        <v>137.25157878810353</v>
      </c>
    </row>
    <row r="155" spans="1:48" x14ac:dyDescent="0.25">
      <c r="A155">
        <f t="shared" si="64"/>
        <v>15.299999999999962</v>
      </c>
      <c r="B155">
        <f t="shared" si="86"/>
        <v>0.1</v>
      </c>
      <c r="C155">
        <f>sim!C154+(sim!$G154*$B155*COS($E155))</f>
        <v>-509.08377260003476</v>
      </c>
      <c r="D155">
        <f>sim!D154+(sim!$G154*$B155*SIN($E155))</f>
        <v>1036.3535284494928</v>
      </c>
      <c r="E155">
        <f t="shared" si="65"/>
        <v>-2820.5046981238474</v>
      </c>
      <c r="F155">
        <f t="shared" si="72"/>
        <v>61.594701469435677</v>
      </c>
      <c r="G155">
        <v>100</v>
      </c>
      <c r="H155">
        <f t="shared" si="66"/>
        <v>3.3514945478484379</v>
      </c>
      <c r="I155">
        <f t="shared" si="73"/>
        <v>192.02649265282162</v>
      </c>
      <c r="J155">
        <f t="shared" si="87"/>
        <v>0</v>
      </c>
      <c r="K155">
        <f t="shared" si="88"/>
        <v>0</v>
      </c>
      <c r="L155">
        <f t="shared" si="74"/>
        <v>0</v>
      </c>
      <c r="M155">
        <f t="shared" si="67"/>
        <v>192.02649265282162</v>
      </c>
      <c r="N155">
        <f t="shared" si="75"/>
        <v>-500.46883654923226</v>
      </c>
      <c r="O155">
        <f t="shared" si="76"/>
        <v>1031.2758442489362</v>
      </c>
      <c r="P155">
        <f t="shared" si="68"/>
        <v>-414.31947604120728</v>
      </c>
      <c r="Q155">
        <f t="shared" si="69"/>
        <v>980.49900224336886</v>
      </c>
      <c r="R155">
        <f t="shared" si="77"/>
        <v>-0.50776842005567324</v>
      </c>
      <c r="S155">
        <f t="shared" si="78"/>
        <v>0.86149360508024986</v>
      </c>
      <c r="U155">
        <f t="shared" si="95"/>
        <v>2</v>
      </c>
      <c r="V155" cm="1">
        <f t="array" ref="V155:AA155">INDEX(surface!$A$2:$I$40,U155+1,COLUMN(surface!$B$1:$G$1))</f>
        <v>-500</v>
      </c>
      <c r="W155">
        <v>500</v>
      </c>
      <c r="X155">
        <v>-500</v>
      </c>
      <c r="Y155">
        <v>1000</v>
      </c>
      <c r="Z155">
        <v>0</v>
      </c>
      <c r="AA155">
        <v>-500</v>
      </c>
      <c r="AB155">
        <f t="shared" si="70"/>
        <v>-500.93767309846453</v>
      </c>
      <c r="AC155">
        <f t="shared" si="71"/>
        <v>1562.5516884978724</v>
      </c>
      <c r="AD155">
        <f t="shared" si="79"/>
        <v>-430.74680254012492</v>
      </c>
      <c r="AE155">
        <f t="shared" si="80"/>
        <v>0.54421361513019184</v>
      </c>
      <c r="AF155">
        <f t="shared" si="81"/>
        <v>1.0619990195228175</v>
      </c>
      <c r="AG155" t="b">
        <f t="shared" si="89"/>
        <v>0</v>
      </c>
      <c r="AH155">
        <f t="shared" si="82"/>
        <v>25000</v>
      </c>
      <c r="AI155">
        <f t="shared" si="90"/>
        <v>3</v>
      </c>
      <c r="AJ155" cm="1">
        <f t="array" ref="AJ155:AO155">INDEX(surface!$A$2:$I$40,AI155+1,COLUMN(surface!$B$1:$G$1))</f>
        <v>-500</v>
      </c>
      <c r="AK155">
        <v>1000</v>
      </c>
      <c r="AL155">
        <v>0</v>
      </c>
      <c r="AM155">
        <v>1000</v>
      </c>
      <c r="AN155">
        <v>-500</v>
      </c>
      <c r="AO155">
        <v>0</v>
      </c>
      <c r="AP155">
        <f t="shared" si="91"/>
        <v>-500.93767309846453</v>
      </c>
      <c r="AQ155">
        <f t="shared" si="92"/>
        <v>1062.5516884978724</v>
      </c>
      <c r="AR155">
        <f t="shared" si="93"/>
        <v>-253.88421002783662</v>
      </c>
      <c r="AS155">
        <f t="shared" si="83"/>
        <v>61.594701469435677</v>
      </c>
      <c r="AT155">
        <f t="shared" si="84"/>
        <v>0.10518920974702728</v>
      </c>
      <c r="AU155" t="b">
        <f t="shared" si="94"/>
        <v>1</v>
      </c>
      <c r="AV155">
        <f t="shared" si="85"/>
        <v>61.594701469435677</v>
      </c>
    </row>
    <row r="156" spans="1:48" x14ac:dyDescent="0.25">
      <c r="A156">
        <f t="shared" si="64"/>
        <v>15.399999999999961</v>
      </c>
      <c r="B156">
        <f t="shared" si="86"/>
        <v>0.1</v>
      </c>
      <c r="C156">
        <f>sim!C155+(sim!$G155*$B156*COS($E156))</f>
        <v>-503.51898189116258</v>
      </c>
      <c r="D156">
        <f>sim!D155+(sim!$G155*$B156*SIN($E156))</f>
        <v>1044.6621447221612</v>
      </c>
      <c r="E156">
        <f t="shared" si="65"/>
        <v>-2820.1695486690628</v>
      </c>
      <c r="F156">
        <f t="shared" si="72"/>
        <v>217.67915283419487</v>
      </c>
      <c r="G156">
        <v>100</v>
      </c>
      <c r="H156">
        <f t="shared" si="66"/>
        <v>-10.269443389571585</v>
      </c>
      <c r="I156">
        <f t="shared" si="73"/>
        <v>-588.3957641709743</v>
      </c>
      <c r="J156">
        <f t="shared" si="87"/>
        <v>0</v>
      </c>
      <c r="K156">
        <f t="shared" si="88"/>
        <v>0</v>
      </c>
      <c r="L156">
        <f t="shared" si="74"/>
        <v>0</v>
      </c>
      <c r="M156">
        <f t="shared" si="67"/>
        <v>-588.3957641709743</v>
      </c>
      <c r="N156">
        <f t="shared" si="75"/>
        <v>-493.71326816448925</v>
      </c>
      <c r="O156">
        <f t="shared" si="76"/>
        <v>1042.7005182769553</v>
      </c>
      <c r="P156">
        <f t="shared" si="68"/>
        <v>-395.65613089775621</v>
      </c>
      <c r="Q156">
        <f t="shared" si="69"/>
        <v>1023.0842538248972</v>
      </c>
      <c r="R156">
        <f t="shared" si="77"/>
        <v>-0.19616264452058074</v>
      </c>
      <c r="S156">
        <f t="shared" si="78"/>
        <v>0.9805713726673303</v>
      </c>
      <c r="U156">
        <f t="shared" si="95"/>
        <v>2</v>
      </c>
      <c r="V156" cm="1">
        <f t="array" ref="V156:AA156">INDEX(surface!$A$2:$I$40,U156+1,COLUMN(surface!$B$1:$G$1))</f>
        <v>-500</v>
      </c>
      <c r="W156">
        <v>500</v>
      </c>
      <c r="X156">
        <v>-500</v>
      </c>
      <c r="Y156">
        <v>1000</v>
      </c>
      <c r="Z156">
        <v>0</v>
      </c>
      <c r="AA156">
        <v>-500</v>
      </c>
      <c r="AB156">
        <f t="shared" si="70"/>
        <v>-487.4265363289785</v>
      </c>
      <c r="AC156">
        <f t="shared" si="71"/>
        <v>1585.4010365539107</v>
      </c>
      <c r="AD156">
        <f t="shared" si="79"/>
        <v>-490.28568633366513</v>
      </c>
      <c r="AE156">
        <f t="shared" si="80"/>
        <v>-6.4112944868150805</v>
      </c>
      <c r="AF156">
        <f t="shared" si="81"/>
        <v>1.0879163495165785</v>
      </c>
      <c r="AG156" t="b">
        <f t="shared" si="89"/>
        <v>0</v>
      </c>
      <c r="AH156">
        <f t="shared" si="82"/>
        <v>25000</v>
      </c>
      <c r="AI156">
        <f t="shared" si="90"/>
        <v>3</v>
      </c>
      <c r="AJ156" cm="1">
        <f t="array" ref="AJ156:AO156">INDEX(surface!$A$2:$I$40,AI156+1,COLUMN(surface!$B$1:$G$1))</f>
        <v>-500</v>
      </c>
      <c r="AK156">
        <v>1000</v>
      </c>
      <c r="AL156">
        <v>0</v>
      </c>
      <c r="AM156">
        <v>1000</v>
      </c>
      <c r="AN156">
        <v>-500</v>
      </c>
      <c r="AO156">
        <v>0</v>
      </c>
      <c r="AP156">
        <f t="shared" si="91"/>
        <v>-487.4265363289785</v>
      </c>
      <c r="AQ156">
        <f t="shared" si="92"/>
        <v>1085.4010365539107</v>
      </c>
      <c r="AR156">
        <f t="shared" si="93"/>
        <v>-98.081322260290378</v>
      </c>
      <c r="AS156">
        <f t="shared" si="83"/>
        <v>217.67915283419487</v>
      </c>
      <c r="AT156">
        <f t="shared" si="84"/>
        <v>0.4394733550623976</v>
      </c>
      <c r="AU156" t="b">
        <f t="shared" si="94"/>
        <v>1</v>
      </c>
      <c r="AV156">
        <f t="shared" si="85"/>
        <v>217.67915283419487</v>
      </c>
    </row>
    <row r="157" spans="1:48" x14ac:dyDescent="0.25">
      <c r="A157">
        <f t="shared" si="64"/>
        <v>15.499999999999961</v>
      </c>
      <c r="B157">
        <f t="shared" si="86"/>
        <v>0.1</v>
      </c>
      <c r="C157">
        <f>sim!C156+(sim!$G156*$B157*COS($E157))</f>
        <v>-493.5296938377482</v>
      </c>
      <c r="D157">
        <f>sim!D156+(sim!$G156*$B157*SIN($E157))</f>
        <v>1044.1994091757497</v>
      </c>
      <c r="E157">
        <f t="shared" si="65"/>
        <v>-2821.1964930080198</v>
      </c>
      <c r="F157">
        <f t="shared" si="72"/>
        <v>36.990753920958305</v>
      </c>
      <c r="G157">
        <v>100</v>
      </c>
      <c r="H157">
        <f t="shared" si="66"/>
        <v>5.4985940163930236</v>
      </c>
      <c r="I157">
        <f t="shared" si="73"/>
        <v>315.04623039520845</v>
      </c>
      <c r="J157">
        <f t="shared" si="87"/>
        <v>0</v>
      </c>
      <c r="K157">
        <f t="shared" si="88"/>
        <v>0</v>
      </c>
      <c r="L157">
        <f t="shared" si="74"/>
        <v>0</v>
      </c>
      <c r="M157">
        <f t="shared" si="67"/>
        <v>315.04623039520845</v>
      </c>
      <c r="N157">
        <f t="shared" si="75"/>
        <v>-490.13447069887798</v>
      </c>
      <c r="O157">
        <f t="shared" si="76"/>
        <v>1034.7934291716629</v>
      </c>
      <c r="P157">
        <f t="shared" si="68"/>
        <v>-456.18223931017604</v>
      </c>
      <c r="Q157">
        <f t="shared" si="69"/>
        <v>940.73362913079507</v>
      </c>
      <c r="R157">
        <f t="shared" si="77"/>
        <v>-0.94059800040867847</v>
      </c>
      <c r="S157">
        <f t="shared" si="78"/>
        <v>0.33952231388701931</v>
      </c>
      <c r="U157">
        <f t="shared" si="95"/>
        <v>2</v>
      </c>
      <c r="V157" cm="1">
        <f t="array" ref="V157:AA157">INDEX(surface!$A$2:$I$40,U157+1,COLUMN(surface!$B$1:$G$1))</f>
        <v>-500</v>
      </c>
      <c r="W157">
        <v>500</v>
      </c>
      <c r="X157">
        <v>-500</v>
      </c>
      <c r="Y157">
        <v>1000</v>
      </c>
      <c r="Z157">
        <v>0</v>
      </c>
      <c r="AA157">
        <v>-500</v>
      </c>
      <c r="AB157">
        <f t="shared" si="70"/>
        <v>-480.26894139775595</v>
      </c>
      <c r="AC157">
        <f t="shared" si="71"/>
        <v>1569.5868583433257</v>
      </c>
      <c r="AD157">
        <f t="shared" si="79"/>
        <v>-169.76115694350966</v>
      </c>
      <c r="AE157">
        <f t="shared" si="80"/>
        <v>-29.057086670317972</v>
      </c>
      <c r="AF157">
        <f t="shared" si="81"/>
        <v>1.1242489335829311</v>
      </c>
      <c r="AG157" t="b">
        <f t="shared" si="89"/>
        <v>0</v>
      </c>
      <c r="AH157">
        <f t="shared" si="82"/>
        <v>25000</v>
      </c>
      <c r="AI157">
        <f t="shared" si="90"/>
        <v>3</v>
      </c>
      <c r="AJ157" cm="1">
        <f t="array" ref="AJ157:AO157">INDEX(surface!$A$2:$I$40,AI157+1,COLUMN(surface!$B$1:$G$1))</f>
        <v>-500</v>
      </c>
      <c r="AK157">
        <v>1000</v>
      </c>
      <c r="AL157">
        <v>0</v>
      </c>
      <c r="AM157">
        <v>1000</v>
      </c>
      <c r="AN157">
        <v>-500</v>
      </c>
      <c r="AO157">
        <v>0</v>
      </c>
      <c r="AP157">
        <f t="shared" si="91"/>
        <v>-480.26894139775595</v>
      </c>
      <c r="AQ157">
        <f t="shared" si="92"/>
        <v>1069.5868583433257</v>
      </c>
      <c r="AR157">
        <f t="shared" si="93"/>
        <v>-470.29900020433922</v>
      </c>
      <c r="AS157">
        <f t="shared" si="83"/>
        <v>36.990753920958305</v>
      </c>
      <c r="AT157">
        <f t="shared" si="84"/>
        <v>4.4849431329582246E-2</v>
      </c>
      <c r="AU157" t="b">
        <f t="shared" si="94"/>
        <v>1</v>
      </c>
      <c r="AV157">
        <f t="shared" si="85"/>
        <v>36.990753920958305</v>
      </c>
    </row>
    <row r="158" spans="1:48" x14ac:dyDescent="0.25">
      <c r="A158">
        <f t="shared" si="64"/>
        <v>15.599999999999961</v>
      </c>
      <c r="B158">
        <f t="shared" si="86"/>
        <v>0.1</v>
      </c>
      <c r="C158">
        <f>sim!C157+(sim!$G157*$B158*COS($E158))</f>
        <v>-484.77103630304094</v>
      </c>
      <c r="D158">
        <f>sim!D157+(sim!$G157*$B158*SIN($E158))</f>
        <v>1049.0249576616438</v>
      </c>
      <c r="E158">
        <f t="shared" si="65"/>
        <v>-2820.6466336063804</v>
      </c>
      <c r="F158">
        <f t="shared" si="72"/>
        <v>68.4991272451811</v>
      </c>
      <c r="G158">
        <v>100</v>
      </c>
      <c r="H158">
        <f t="shared" si="66"/>
        <v>2.7489697341168311</v>
      </c>
      <c r="I158">
        <f t="shared" si="73"/>
        <v>157.50436377409449</v>
      </c>
      <c r="J158">
        <f t="shared" si="87"/>
        <v>0</v>
      </c>
      <c r="K158">
        <f t="shared" si="88"/>
        <v>0</v>
      </c>
      <c r="L158">
        <f t="shared" si="74"/>
        <v>0</v>
      </c>
      <c r="M158">
        <f t="shared" si="67"/>
        <v>157.50436377409449</v>
      </c>
      <c r="N158">
        <f t="shared" si="75"/>
        <v>-476.96101769548966</v>
      </c>
      <c r="O158">
        <f t="shared" si="76"/>
        <v>1042.779670690679</v>
      </c>
      <c r="P158">
        <f t="shared" si="68"/>
        <v>-398.86083161997692</v>
      </c>
      <c r="Q158">
        <f t="shared" si="69"/>
        <v>980.32680098103094</v>
      </c>
      <c r="R158">
        <f t="shared" si="77"/>
        <v>-0.6245286970964814</v>
      </c>
      <c r="S158">
        <f t="shared" si="78"/>
        <v>0.78100186075512734</v>
      </c>
      <c r="U158">
        <f t="shared" si="95"/>
        <v>2</v>
      </c>
      <c r="V158" cm="1">
        <f t="array" ref="V158:AA158">INDEX(surface!$A$2:$I$40,U158+1,COLUMN(surface!$B$1:$G$1))</f>
        <v>-500</v>
      </c>
      <c r="W158">
        <v>500</v>
      </c>
      <c r="X158">
        <v>-500</v>
      </c>
      <c r="Y158">
        <v>1000</v>
      </c>
      <c r="Z158">
        <v>0</v>
      </c>
      <c r="AA158">
        <v>-500</v>
      </c>
      <c r="AB158">
        <f t="shared" si="70"/>
        <v>-453.92203539097932</v>
      </c>
      <c r="AC158">
        <f t="shared" si="71"/>
        <v>1585.5593413813581</v>
      </c>
      <c r="AD158">
        <f t="shared" si="79"/>
        <v>-390.50093037756369</v>
      </c>
      <c r="AE158">
        <f t="shared" si="80"/>
        <v>-29.499266854799341</v>
      </c>
      <c r="AF158">
        <f t="shared" si="81"/>
        <v>1.1224056187696165</v>
      </c>
      <c r="AG158" t="b">
        <f t="shared" si="89"/>
        <v>0</v>
      </c>
      <c r="AH158">
        <f t="shared" si="82"/>
        <v>25000</v>
      </c>
      <c r="AI158">
        <f t="shared" si="90"/>
        <v>3</v>
      </c>
      <c r="AJ158" cm="1">
        <f t="array" ref="AJ158:AO158">INDEX(surface!$A$2:$I$40,AI158+1,COLUMN(surface!$B$1:$G$1))</f>
        <v>-500</v>
      </c>
      <c r="AK158">
        <v>1000</v>
      </c>
      <c r="AL158">
        <v>0</v>
      </c>
      <c r="AM158">
        <v>1000</v>
      </c>
      <c r="AN158">
        <v>-500</v>
      </c>
      <c r="AO158">
        <v>0</v>
      </c>
      <c r="AP158">
        <f t="shared" si="91"/>
        <v>-453.92203539097932</v>
      </c>
      <c r="AQ158">
        <f t="shared" si="92"/>
        <v>1085.5593413813581</v>
      </c>
      <c r="AR158">
        <f t="shared" si="93"/>
        <v>-312.26434854824072</v>
      </c>
      <c r="AS158">
        <f t="shared" si="83"/>
        <v>68.4991272451811</v>
      </c>
      <c r="AT158">
        <f t="shared" si="84"/>
        <v>0.15307385628619805</v>
      </c>
      <c r="AU158" t="b">
        <f t="shared" si="94"/>
        <v>1</v>
      </c>
      <c r="AV158">
        <f t="shared" si="85"/>
        <v>68.4991272451811</v>
      </c>
    </row>
    <row r="159" spans="1:48" x14ac:dyDescent="0.25">
      <c r="A159">
        <f t="shared" si="64"/>
        <v>15.69999999999996</v>
      </c>
      <c r="B159">
        <f t="shared" si="86"/>
        <v>0.1</v>
      </c>
      <c r="C159">
        <f>sim!C158+(sim!$G158*$B159*COS($E159))</f>
        <v>-477.65112302632826</v>
      </c>
      <c r="D159">
        <f>sim!D158+(sim!$G158*$B159*SIN($E159))</f>
        <v>1056.0468402391361</v>
      </c>
      <c r="E159">
        <f t="shared" si="65"/>
        <v>-2820.3717366329688</v>
      </c>
      <c r="F159">
        <f t="shared" si="72"/>
        <v>134.05024772664171</v>
      </c>
      <c r="G159">
        <v>100</v>
      </c>
      <c r="H159">
        <f t="shared" si="66"/>
        <v>-2.9714446697480601</v>
      </c>
      <c r="I159">
        <f t="shared" si="73"/>
        <v>-170.25123863320857</v>
      </c>
      <c r="J159">
        <f t="shared" si="87"/>
        <v>0</v>
      </c>
      <c r="K159">
        <f t="shared" si="88"/>
        <v>0</v>
      </c>
      <c r="L159">
        <f t="shared" si="74"/>
        <v>0</v>
      </c>
      <c r="M159">
        <f t="shared" si="67"/>
        <v>-170.25123863320857</v>
      </c>
      <c r="N159">
        <f t="shared" si="75"/>
        <v>-468.43907658241091</v>
      </c>
      <c r="O159">
        <f t="shared" si="76"/>
        <v>1052.1560562159464</v>
      </c>
      <c r="P159">
        <f t="shared" si="68"/>
        <v>-376.31861214323737</v>
      </c>
      <c r="Q159">
        <f t="shared" si="69"/>
        <v>1013.2482159840475</v>
      </c>
      <c r="R159">
        <f t="shared" si="77"/>
        <v>-0.38907840231898844</v>
      </c>
      <c r="S159">
        <f t="shared" si="78"/>
        <v>0.92120464439173522</v>
      </c>
      <c r="U159">
        <f t="shared" si="95"/>
        <v>2</v>
      </c>
      <c r="V159" cm="1">
        <f t="array" ref="V159:AA159">INDEX(surface!$A$2:$I$40,U159+1,COLUMN(surface!$B$1:$G$1))</f>
        <v>-500</v>
      </c>
      <c r="W159">
        <v>500</v>
      </c>
      <c r="X159">
        <v>-500</v>
      </c>
      <c r="Y159">
        <v>1000</v>
      </c>
      <c r="Z159">
        <v>0</v>
      </c>
      <c r="AA159">
        <v>-500</v>
      </c>
      <c r="AB159">
        <f t="shared" si="70"/>
        <v>-436.87815316482181</v>
      </c>
      <c r="AC159">
        <f t="shared" si="71"/>
        <v>1604.3121124318927</v>
      </c>
      <c r="AD159">
        <f t="shared" si="79"/>
        <v>-460.6023221958676</v>
      </c>
      <c r="AE159">
        <f t="shared" si="80"/>
        <v>-34.260490988328165</v>
      </c>
      <c r="AF159">
        <f t="shared" si="81"/>
        <v>1.1309721466246985</v>
      </c>
      <c r="AG159" t="b">
        <f t="shared" si="89"/>
        <v>0</v>
      </c>
      <c r="AH159">
        <f t="shared" si="82"/>
        <v>25000</v>
      </c>
      <c r="AI159">
        <f t="shared" si="90"/>
        <v>3</v>
      </c>
      <c r="AJ159" cm="1">
        <f t="array" ref="AJ159:AO159">INDEX(surface!$A$2:$I$40,AI159+1,COLUMN(surface!$B$1:$G$1))</f>
        <v>-500</v>
      </c>
      <c r="AK159">
        <v>1000</v>
      </c>
      <c r="AL159">
        <v>0</v>
      </c>
      <c r="AM159">
        <v>1000</v>
      </c>
      <c r="AN159">
        <v>-500</v>
      </c>
      <c r="AO159">
        <v>0</v>
      </c>
      <c r="AP159">
        <f t="shared" si="91"/>
        <v>-436.87815316482181</v>
      </c>
      <c r="AQ159">
        <f t="shared" si="92"/>
        <v>1104.3121124318927</v>
      </c>
      <c r="AR159">
        <f t="shared" si="93"/>
        <v>-194.53920115949421</v>
      </c>
      <c r="AS159">
        <f t="shared" si="83"/>
        <v>134.05024772664171</v>
      </c>
      <c r="AT159">
        <f t="shared" si="84"/>
        <v>0.31009726841046814</v>
      </c>
      <c r="AU159" t="b">
        <f t="shared" si="94"/>
        <v>1</v>
      </c>
      <c r="AV159">
        <f t="shared" si="85"/>
        <v>134.05024772664171</v>
      </c>
    </row>
    <row r="160" spans="1:48" x14ac:dyDescent="0.25">
      <c r="A160">
        <f t="shared" si="64"/>
        <v>15.79999999999996</v>
      </c>
      <c r="B160">
        <f t="shared" si="86"/>
        <v>0.1</v>
      </c>
      <c r="C160">
        <f>sim!C159+(sim!$G159*$B160*COS($E160))</f>
        <v>-468.78728545216524</v>
      </c>
      <c r="D160">
        <f>sim!D159+(sim!$G159*$B160*SIN($E160))</f>
        <v>1060.6763524660187</v>
      </c>
      <c r="E160">
        <f t="shared" si="65"/>
        <v>-2820.6688810999435</v>
      </c>
      <c r="F160">
        <f t="shared" si="72"/>
        <v>84.548557812945489</v>
      </c>
      <c r="G160">
        <v>100</v>
      </c>
      <c r="H160">
        <f t="shared" si="66"/>
        <v>1.3483927017282737</v>
      </c>
      <c r="I160">
        <f t="shared" si="73"/>
        <v>77.257210935272553</v>
      </c>
      <c r="J160">
        <f t="shared" si="87"/>
        <v>0</v>
      </c>
      <c r="K160">
        <f t="shared" si="88"/>
        <v>0</v>
      </c>
      <c r="L160">
        <f t="shared" si="74"/>
        <v>0</v>
      </c>
      <c r="M160">
        <f t="shared" si="67"/>
        <v>77.257210935272553</v>
      </c>
      <c r="N160">
        <f t="shared" si="75"/>
        <v>-461.1181300734296</v>
      </c>
      <c r="O160">
        <f t="shared" si="76"/>
        <v>1054.2588719809053</v>
      </c>
      <c r="P160">
        <f t="shared" si="68"/>
        <v>-384.42657628607321</v>
      </c>
      <c r="Q160">
        <f t="shared" si="69"/>
        <v>990.08406712977217</v>
      </c>
      <c r="R160">
        <f t="shared" si="77"/>
        <v>-0.6417480485113316</v>
      </c>
      <c r="S160">
        <f t="shared" si="78"/>
        <v>0.76691553787356381</v>
      </c>
      <c r="U160">
        <f t="shared" si="95"/>
        <v>2</v>
      </c>
      <c r="V160" cm="1">
        <f t="array" ref="V160:AA160">INDEX(surface!$A$2:$I$40,U160+1,COLUMN(surface!$B$1:$G$1))</f>
        <v>-500</v>
      </c>
      <c r="W160">
        <v>500</v>
      </c>
      <c r="X160">
        <v>-500</v>
      </c>
      <c r="Y160">
        <v>1000</v>
      </c>
      <c r="Z160">
        <v>0</v>
      </c>
      <c r="AA160">
        <v>-500</v>
      </c>
      <c r="AB160">
        <f t="shared" si="70"/>
        <v>-422.23626014685919</v>
      </c>
      <c r="AC160">
        <f t="shared" si="71"/>
        <v>1608.5177439618105</v>
      </c>
      <c r="AD160">
        <f t="shared" si="79"/>
        <v>-383.45776893678192</v>
      </c>
      <c r="AE160">
        <f t="shared" si="80"/>
        <v>-50.699024868342924</v>
      </c>
      <c r="AF160">
        <f t="shared" si="81"/>
        <v>1.1735897445031835</v>
      </c>
      <c r="AG160" t="b">
        <f t="shared" si="89"/>
        <v>0</v>
      </c>
      <c r="AH160">
        <f t="shared" si="82"/>
        <v>25000</v>
      </c>
      <c r="AI160">
        <f t="shared" si="90"/>
        <v>3</v>
      </c>
      <c r="AJ160" cm="1">
        <f t="array" ref="AJ160:AO160">INDEX(surface!$A$2:$I$40,AI160+1,COLUMN(surface!$B$1:$G$1))</f>
        <v>-500</v>
      </c>
      <c r="AK160">
        <v>1000</v>
      </c>
      <c r="AL160">
        <v>0</v>
      </c>
      <c r="AM160">
        <v>1000</v>
      </c>
      <c r="AN160">
        <v>-500</v>
      </c>
      <c r="AO160">
        <v>0</v>
      </c>
      <c r="AP160">
        <f t="shared" si="91"/>
        <v>-422.23626014685919</v>
      </c>
      <c r="AQ160">
        <f t="shared" si="92"/>
        <v>1108.5177439618105</v>
      </c>
      <c r="AR160">
        <f t="shared" si="93"/>
        <v>-320.8740242556658</v>
      </c>
      <c r="AS160">
        <f t="shared" si="83"/>
        <v>84.548557812945489</v>
      </c>
      <c r="AT160">
        <f t="shared" si="84"/>
        <v>0.20744694523623922</v>
      </c>
      <c r="AU160" t="b">
        <f t="shared" si="94"/>
        <v>1</v>
      </c>
      <c r="AV160">
        <f t="shared" si="85"/>
        <v>84.548557812945489</v>
      </c>
    </row>
    <row r="161" spans="1:48" x14ac:dyDescent="0.25">
      <c r="A161">
        <f t="shared" si="64"/>
        <v>15.899999999999959</v>
      </c>
      <c r="B161">
        <f t="shared" si="86"/>
        <v>0.1</v>
      </c>
      <c r="C161">
        <f>sim!C160+(sim!$G160*$B161*COS($E161))</f>
        <v>-460.62625551727047</v>
      </c>
      <c r="D161">
        <f>sim!D160+(sim!$G160*$B161*SIN($E161))</f>
        <v>1066.4554173040137</v>
      </c>
      <c r="E161">
        <f t="shared" si="65"/>
        <v>-2820.5340418297706</v>
      </c>
      <c r="F161">
        <f t="shared" si="72"/>
        <v>114.72263982024874</v>
      </c>
      <c r="G161">
        <v>100</v>
      </c>
      <c r="H161">
        <f t="shared" si="66"/>
        <v>-1.2847926972428336</v>
      </c>
      <c r="I161">
        <f t="shared" si="73"/>
        <v>-73.613199101243723</v>
      </c>
      <c r="J161">
        <f t="shared" si="87"/>
        <v>0</v>
      </c>
      <c r="K161">
        <f t="shared" si="88"/>
        <v>0</v>
      </c>
      <c r="L161">
        <f t="shared" si="74"/>
        <v>0</v>
      </c>
      <c r="M161">
        <f t="shared" si="67"/>
        <v>-73.613199101243723</v>
      </c>
      <c r="N161">
        <f t="shared" si="75"/>
        <v>-452.16400484927078</v>
      </c>
      <c r="O161">
        <f t="shared" si="76"/>
        <v>1061.1271611510178</v>
      </c>
      <c r="P161">
        <f t="shared" si="68"/>
        <v>-367.54149816927412</v>
      </c>
      <c r="Q161">
        <f t="shared" si="69"/>
        <v>1007.8445996210584</v>
      </c>
      <c r="R161">
        <f t="shared" si="77"/>
        <v>-0.53282561529959493</v>
      </c>
      <c r="S161">
        <f t="shared" si="78"/>
        <v>0.84622506679996667</v>
      </c>
      <c r="U161">
        <f t="shared" si="95"/>
        <v>2</v>
      </c>
      <c r="V161" cm="1">
        <f t="array" ref="V161:AA161">INDEX(surface!$A$2:$I$40,U161+1,COLUMN(surface!$B$1:$G$1))</f>
        <v>-500</v>
      </c>
      <c r="W161">
        <v>500</v>
      </c>
      <c r="X161">
        <v>-500</v>
      </c>
      <c r="Y161">
        <v>1000</v>
      </c>
      <c r="Z161">
        <v>0</v>
      </c>
      <c r="AA161">
        <v>-500</v>
      </c>
      <c r="AB161">
        <f t="shared" si="70"/>
        <v>-404.32800969854156</v>
      </c>
      <c r="AC161">
        <f t="shared" si="71"/>
        <v>1622.2543223020357</v>
      </c>
      <c r="AD161">
        <f t="shared" si="79"/>
        <v>-423.11253339998336</v>
      </c>
      <c r="AE161">
        <f t="shared" si="80"/>
        <v>-56.528690802817877</v>
      </c>
      <c r="AF161">
        <f t="shared" si="81"/>
        <v>1.1824941912202196</v>
      </c>
      <c r="AG161" t="b">
        <f t="shared" si="89"/>
        <v>0</v>
      </c>
      <c r="AH161">
        <f t="shared" si="82"/>
        <v>25000</v>
      </c>
      <c r="AI161">
        <f t="shared" si="90"/>
        <v>3</v>
      </c>
      <c r="AJ161" cm="1">
        <f t="array" ref="AJ161:AO161">INDEX(surface!$A$2:$I$40,AI161+1,COLUMN(surface!$B$1:$G$1))</f>
        <v>-500</v>
      </c>
      <c r="AK161">
        <v>1000</v>
      </c>
      <c r="AL161">
        <v>0</v>
      </c>
      <c r="AM161">
        <v>1000</v>
      </c>
      <c r="AN161">
        <v>-500</v>
      </c>
      <c r="AO161">
        <v>0</v>
      </c>
      <c r="AP161">
        <f t="shared" si="91"/>
        <v>-404.32800969854156</v>
      </c>
      <c r="AQ161">
        <f t="shared" si="92"/>
        <v>1122.2543223020357</v>
      </c>
      <c r="AR161">
        <f t="shared" si="93"/>
        <v>-266.41280764979746</v>
      </c>
      <c r="AS161">
        <f t="shared" si="83"/>
        <v>114.72263982024874</v>
      </c>
      <c r="AT161">
        <f t="shared" si="84"/>
        <v>0.2898343373921754</v>
      </c>
      <c r="AU161" t="b">
        <f t="shared" si="94"/>
        <v>1</v>
      </c>
      <c r="AV161">
        <f t="shared" si="85"/>
        <v>114.72263982024874</v>
      </c>
    </row>
    <row r="162" spans="1:48" x14ac:dyDescent="0.25">
      <c r="A162">
        <f t="shared" si="64"/>
        <v>15.999999999999959</v>
      </c>
      <c r="B162">
        <f t="shared" si="86"/>
        <v>0.1</v>
      </c>
      <c r="C162">
        <f>sim!C161+(sim!$G161*$B162*COS($E162))</f>
        <v>-451.79204071321357</v>
      </c>
      <c r="D162">
        <f>sim!D161+(sim!$G161*$B162*SIN($E162))</f>
        <v>1071.1412095311384</v>
      </c>
      <c r="E162">
        <f t="shared" si="65"/>
        <v>-2820.6625210994948</v>
      </c>
      <c r="F162">
        <f t="shared" si="72"/>
        <v>101.70663359336639</v>
      </c>
      <c r="G162">
        <v>100</v>
      </c>
      <c r="H162">
        <f t="shared" si="66"/>
        <v>-0.14893187664692789</v>
      </c>
      <c r="I162">
        <f t="shared" si="73"/>
        <v>-8.5331679668319538</v>
      </c>
      <c r="J162">
        <f t="shared" si="87"/>
        <v>0</v>
      </c>
      <c r="K162">
        <f t="shared" si="88"/>
        <v>0</v>
      </c>
      <c r="L162">
        <f t="shared" si="74"/>
        <v>0</v>
      </c>
      <c r="M162">
        <f t="shared" si="67"/>
        <v>-8.5331679668319538</v>
      </c>
      <c r="N162">
        <f t="shared" si="75"/>
        <v>-444.08222553750494</v>
      </c>
      <c r="O162">
        <f t="shared" si="76"/>
        <v>1064.7726343406887</v>
      </c>
      <c r="P162">
        <f t="shared" si="68"/>
        <v>-366.98407378041895</v>
      </c>
      <c r="Q162">
        <f t="shared" si="69"/>
        <v>1001.0868824361902</v>
      </c>
      <c r="R162">
        <f t="shared" si="77"/>
        <v>-0.63685751904498533</v>
      </c>
      <c r="S162">
        <f t="shared" si="78"/>
        <v>0.77098151757085998</v>
      </c>
      <c r="U162">
        <f t="shared" si="95"/>
        <v>2</v>
      </c>
      <c r="V162" cm="1">
        <f t="array" ref="V162:AA162">INDEX(surface!$A$2:$I$40,U162+1,COLUMN(surface!$B$1:$G$1))</f>
        <v>-500</v>
      </c>
      <c r="W162">
        <v>500</v>
      </c>
      <c r="X162">
        <v>-500</v>
      </c>
      <c r="Y162">
        <v>1000</v>
      </c>
      <c r="Z162">
        <v>0</v>
      </c>
      <c r="AA162">
        <v>-500</v>
      </c>
      <c r="AB162">
        <f t="shared" si="70"/>
        <v>-388.16445107500988</v>
      </c>
      <c r="AC162">
        <f t="shared" si="71"/>
        <v>1629.5452686813774</v>
      </c>
      <c r="AD162">
        <f t="shared" si="79"/>
        <v>-385.49075878542999</v>
      </c>
      <c r="AE162">
        <f t="shared" si="80"/>
        <v>-72.528034963374751</v>
      </c>
      <c r="AF162">
        <f t="shared" si="81"/>
        <v>1.221925317497343</v>
      </c>
      <c r="AG162" t="b">
        <f t="shared" si="89"/>
        <v>0</v>
      </c>
      <c r="AH162">
        <f t="shared" si="82"/>
        <v>25000</v>
      </c>
      <c r="AI162">
        <f t="shared" si="90"/>
        <v>3</v>
      </c>
      <c r="AJ162" cm="1">
        <f t="array" ref="AJ162:AO162">INDEX(surface!$A$2:$I$40,AI162+1,COLUMN(surface!$B$1:$G$1))</f>
        <v>-500</v>
      </c>
      <c r="AK162">
        <v>1000</v>
      </c>
      <c r="AL162">
        <v>0</v>
      </c>
      <c r="AM162">
        <v>1000</v>
      </c>
      <c r="AN162">
        <v>-500</v>
      </c>
      <c r="AO162">
        <v>0</v>
      </c>
      <c r="AP162">
        <f t="shared" si="91"/>
        <v>-388.16445107500988</v>
      </c>
      <c r="AQ162">
        <f t="shared" si="92"/>
        <v>1129.5452686813774</v>
      </c>
      <c r="AR162">
        <f t="shared" si="93"/>
        <v>-318.42875952249267</v>
      </c>
      <c r="AS162">
        <f t="shared" si="83"/>
        <v>101.70663359336639</v>
      </c>
      <c r="AT162">
        <f t="shared" si="84"/>
        <v>0.26866341835466417</v>
      </c>
      <c r="AU162" t="b">
        <f t="shared" si="94"/>
        <v>1</v>
      </c>
      <c r="AV162">
        <f t="shared" si="85"/>
        <v>101.70663359336639</v>
      </c>
    </row>
    <row r="163" spans="1:48" x14ac:dyDescent="0.25">
      <c r="A163">
        <f t="shared" si="64"/>
        <v>16.099999999999959</v>
      </c>
      <c r="B163">
        <f t="shared" si="86"/>
        <v>0.1</v>
      </c>
      <c r="C163">
        <f>sim!C162+(sim!$G162*$B163*COS($E163))</f>
        <v>-442.88902183338706</v>
      </c>
      <c r="D163">
        <f>sim!D162+(sim!$G162*$B163*SIN($E163))</f>
        <v>1075.6949173418629</v>
      </c>
      <c r="E163">
        <f t="shared" si="65"/>
        <v>-2820.6774142871595</v>
      </c>
      <c r="F163">
        <f t="shared" si="72"/>
        <v>106.76470136922656</v>
      </c>
      <c r="G163">
        <v>100</v>
      </c>
      <c r="H163">
        <f t="shared" si="66"/>
        <v>-0.59033155903586021</v>
      </c>
      <c r="I163">
        <f t="shared" si="73"/>
        <v>-33.823506846132787</v>
      </c>
      <c r="J163">
        <f t="shared" si="87"/>
        <v>0</v>
      </c>
      <c r="K163">
        <f t="shared" si="88"/>
        <v>0</v>
      </c>
      <c r="L163">
        <f t="shared" si="74"/>
        <v>0</v>
      </c>
      <c r="M163">
        <f t="shared" si="67"/>
        <v>-33.823506846132787</v>
      </c>
      <c r="N163">
        <f t="shared" si="75"/>
        <v>-435.27490656667811</v>
      </c>
      <c r="O163">
        <f t="shared" si="76"/>
        <v>1069.2122289562262</v>
      </c>
      <c r="P163">
        <f t="shared" si="68"/>
        <v>-359.13375389958867</v>
      </c>
      <c r="Q163">
        <f t="shared" si="69"/>
        <v>1004.3853450998586</v>
      </c>
      <c r="R163">
        <f t="shared" si="77"/>
        <v>-0.64826883856367623</v>
      </c>
      <c r="S163">
        <f t="shared" si="78"/>
        <v>0.76141152667089451</v>
      </c>
      <c r="U163">
        <f t="shared" si="95"/>
        <v>2</v>
      </c>
      <c r="V163" cm="1">
        <f t="array" ref="V163:AA163">INDEX(surface!$A$2:$I$40,U163+1,COLUMN(surface!$B$1:$G$1))</f>
        <v>-500</v>
      </c>
      <c r="W163">
        <v>500</v>
      </c>
      <c r="X163">
        <v>-500</v>
      </c>
      <c r="Y163">
        <v>1000</v>
      </c>
      <c r="Z163">
        <v>0</v>
      </c>
      <c r="AA163">
        <v>-500</v>
      </c>
      <c r="AB163">
        <f t="shared" si="70"/>
        <v>-370.54981313335622</v>
      </c>
      <c r="AC163">
        <f t="shared" si="71"/>
        <v>1638.4244579124525</v>
      </c>
      <c r="AD163">
        <f t="shared" si="79"/>
        <v>-380.70576333544727</v>
      </c>
      <c r="AE163">
        <f t="shared" si="80"/>
        <v>-85.006716034781107</v>
      </c>
      <c r="AF163">
        <f t="shared" si="81"/>
        <v>1.2486388680604119</v>
      </c>
      <c r="AG163" t="b">
        <f t="shared" si="89"/>
        <v>0</v>
      </c>
      <c r="AH163">
        <f t="shared" si="82"/>
        <v>25000</v>
      </c>
      <c r="AI163">
        <f t="shared" si="90"/>
        <v>3</v>
      </c>
      <c r="AJ163" cm="1">
        <f t="array" ref="AJ163:AO163">INDEX(surface!$A$2:$I$40,AI163+1,COLUMN(surface!$B$1:$G$1))</f>
        <v>-500</v>
      </c>
      <c r="AK163">
        <v>1000</v>
      </c>
      <c r="AL163">
        <v>0</v>
      </c>
      <c r="AM163">
        <v>1000</v>
      </c>
      <c r="AN163">
        <v>-500</v>
      </c>
      <c r="AO163">
        <v>0</v>
      </c>
      <c r="AP163">
        <f t="shared" si="91"/>
        <v>-370.54981313335622</v>
      </c>
      <c r="AQ163">
        <f t="shared" si="92"/>
        <v>1138.4244579124525</v>
      </c>
      <c r="AR163">
        <f t="shared" si="93"/>
        <v>-324.13441928183812</v>
      </c>
      <c r="AS163">
        <f t="shared" si="83"/>
        <v>106.76470136922656</v>
      </c>
      <c r="AT163">
        <f t="shared" si="84"/>
        <v>0.29203393539485362</v>
      </c>
      <c r="AU163" t="b">
        <f t="shared" si="94"/>
        <v>1</v>
      </c>
      <c r="AV163">
        <f t="shared" si="85"/>
        <v>106.76470136922656</v>
      </c>
    </row>
    <row r="164" spans="1:48" x14ac:dyDescent="0.25">
      <c r="A164">
        <f t="shared" si="64"/>
        <v>16.19999999999996</v>
      </c>
      <c r="B164">
        <f t="shared" si="86"/>
        <v>0.1</v>
      </c>
      <c r="C164">
        <f>sim!C163+(sim!$G163*$B164*COS($E164))</f>
        <v>-433.73284793950751</v>
      </c>
      <c r="D164">
        <f>sim!D163+(sim!$G163*$B164*SIN($E164))</f>
        <v>1079.7154247258927</v>
      </c>
      <c r="E164">
        <f t="shared" si="65"/>
        <v>-2820.7364474430633</v>
      </c>
      <c r="F164">
        <f t="shared" si="72"/>
        <v>105.18537887727571</v>
      </c>
      <c r="G164">
        <v>100</v>
      </c>
      <c r="H164">
        <f t="shared" si="66"/>
        <v>-0.45250967185914054</v>
      </c>
      <c r="I164">
        <f t="shared" si="73"/>
        <v>-25.926894386378549</v>
      </c>
      <c r="J164">
        <f t="shared" si="87"/>
        <v>0</v>
      </c>
      <c r="K164">
        <f t="shared" si="88"/>
        <v>0</v>
      </c>
      <c r="L164">
        <f t="shared" si="74"/>
        <v>0</v>
      </c>
      <c r="M164">
        <f t="shared" si="67"/>
        <v>-25.926894386378549</v>
      </c>
      <c r="N164">
        <f t="shared" si="75"/>
        <v>-426.5144674040497</v>
      </c>
      <c r="O164">
        <f t="shared" si="76"/>
        <v>1072.7948046347938</v>
      </c>
      <c r="P164">
        <f t="shared" si="68"/>
        <v>-354.33066204947141</v>
      </c>
      <c r="Q164">
        <f t="shared" si="69"/>
        <v>1003.5886037238034</v>
      </c>
      <c r="R164">
        <f t="shared" si="77"/>
        <v>-0.6920620091099029</v>
      </c>
      <c r="S164">
        <f t="shared" si="78"/>
        <v>0.7218380535457829</v>
      </c>
      <c r="U164">
        <f t="shared" si="95"/>
        <v>2</v>
      </c>
      <c r="V164" cm="1">
        <f t="array" ref="V164:AA164">INDEX(surface!$A$2:$I$40,U164+1,COLUMN(surface!$B$1:$G$1))</f>
        <v>-500</v>
      </c>
      <c r="W164">
        <v>500</v>
      </c>
      <c r="X164">
        <v>-500</v>
      </c>
      <c r="Y164">
        <v>1000</v>
      </c>
      <c r="Z164">
        <v>0</v>
      </c>
      <c r="AA164">
        <v>-500</v>
      </c>
      <c r="AB164">
        <f t="shared" si="70"/>
        <v>-353.02893480809939</v>
      </c>
      <c r="AC164">
        <f t="shared" si="71"/>
        <v>1645.5896092695875</v>
      </c>
      <c r="AD164">
        <f t="shared" si="79"/>
        <v>-360.91902677289147</v>
      </c>
      <c r="AE164">
        <f t="shared" si="80"/>
        <v>-101.80335081390864</v>
      </c>
      <c r="AF164">
        <f t="shared" si="81"/>
        <v>1.2864980722663752</v>
      </c>
      <c r="AG164" t="b">
        <f t="shared" si="89"/>
        <v>0</v>
      </c>
      <c r="AH164">
        <f t="shared" si="82"/>
        <v>25000</v>
      </c>
      <c r="AI164">
        <f t="shared" si="90"/>
        <v>3</v>
      </c>
      <c r="AJ164" cm="1">
        <f t="array" ref="AJ164:AO164">INDEX(surface!$A$2:$I$40,AI164+1,COLUMN(surface!$B$1:$G$1))</f>
        <v>-500</v>
      </c>
      <c r="AK164">
        <v>1000</v>
      </c>
      <c r="AL164">
        <v>0</v>
      </c>
      <c r="AM164">
        <v>1000</v>
      </c>
      <c r="AN164">
        <v>-500</v>
      </c>
      <c r="AO164">
        <v>0</v>
      </c>
      <c r="AP164">
        <f t="shared" si="91"/>
        <v>-353.02893480809939</v>
      </c>
      <c r="AQ164">
        <f t="shared" si="92"/>
        <v>1145.5896092695875</v>
      </c>
      <c r="AR164">
        <f t="shared" si="93"/>
        <v>-346.03100455495144</v>
      </c>
      <c r="AS164">
        <f t="shared" si="83"/>
        <v>105.18537887727571</v>
      </c>
      <c r="AT164">
        <f t="shared" si="84"/>
        <v>0.29882468349239744</v>
      </c>
      <c r="AU164" t="b">
        <f t="shared" si="94"/>
        <v>1</v>
      </c>
      <c r="AV164">
        <f t="shared" si="85"/>
        <v>105.18537887727571</v>
      </c>
    </row>
    <row r="165" spans="1:48" x14ac:dyDescent="0.25">
      <c r="A165">
        <f t="shared" si="64"/>
        <v>16.299999999999962</v>
      </c>
      <c r="B165">
        <f t="shared" si="86"/>
        <v>0.1</v>
      </c>
      <c r="C165">
        <f>sim!C164+(sim!$G164*$B165*COS($E165))</f>
        <v>-424.40417700073698</v>
      </c>
      <c r="D165">
        <f>sim!D164+(sim!$G164*$B165*SIN($E165))</f>
        <v>1083.3176321763513</v>
      </c>
      <c r="E165">
        <f t="shared" si="65"/>
        <v>-2820.7816984102492</v>
      </c>
      <c r="F165">
        <f t="shared" si="72"/>
        <v>105.07860052852847</v>
      </c>
      <c r="G165">
        <v>100</v>
      </c>
      <c r="H165">
        <f t="shared" si="66"/>
        <v>-0.44319150308172994</v>
      </c>
      <c r="I165">
        <f t="shared" si="73"/>
        <v>-25.393002642642344</v>
      </c>
      <c r="J165">
        <f t="shared" si="87"/>
        <v>0</v>
      </c>
      <c r="K165">
        <f t="shared" si="88"/>
        <v>0</v>
      </c>
      <c r="L165">
        <f t="shared" si="74"/>
        <v>0</v>
      </c>
      <c r="M165">
        <f t="shared" si="67"/>
        <v>-25.393002642642344</v>
      </c>
      <c r="N165">
        <f t="shared" si="75"/>
        <v>-417.50624345114483</v>
      </c>
      <c r="O165">
        <f t="shared" si="76"/>
        <v>1076.0775691417216</v>
      </c>
      <c r="P165">
        <f t="shared" si="68"/>
        <v>-348.52690795522324</v>
      </c>
      <c r="Q165">
        <f t="shared" si="69"/>
        <v>1003.6769387954249</v>
      </c>
      <c r="R165">
        <f t="shared" si="77"/>
        <v>-0.72400630346296635</v>
      </c>
      <c r="S165">
        <f t="shared" si="78"/>
        <v>0.68979335495921601</v>
      </c>
      <c r="U165">
        <f t="shared" si="95"/>
        <v>2</v>
      </c>
      <c r="V165" cm="1">
        <f t="array" ref="V165:AA165">INDEX(surface!$A$2:$I$40,U165+1,COLUMN(surface!$B$1:$G$1))</f>
        <v>-500</v>
      </c>
      <c r="W165">
        <v>500</v>
      </c>
      <c r="X165">
        <v>-500</v>
      </c>
      <c r="Y165">
        <v>1000</v>
      </c>
      <c r="Z165">
        <v>0</v>
      </c>
      <c r="AA165">
        <v>-500</v>
      </c>
      <c r="AB165">
        <f t="shared" si="70"/>
        <v>-335.01248690228965</v>
      </c>
      <c r="AC165">
        <f t="shared" si="71"/>
        <v>1652.1551382834432</v>
      </c>
      <c r="AD165">
        <f t="shared" si="79"/>
        <v>-344.896677479608</v>
      </c>
      <c r="AE165">
        <f t="shared" si="80"/>
        <v>-119.59198498473883</v>
      </c>
      <c r="AF165">
        <f t="shared" si="81"/>
        <v>1.3253258402286416</v>
      </c>
      <c r="AG165" t="b">
        <f t="shared" si="89"/>
        <v>0</v>
      </c>
      <c r="AH165">
        <f t="shared" si="82"/>
        <v>25000</v>
      </c>
      <c r="AI165">
        <f t="shared" si="90"/>
        <v>3</v>
      </c>
      <c r="AJ165" cm="1">
        <f t="array" ref="AJ165:AO165">INDEX(surface!$A$2:$I$40,AI165+1,COLUMN(surface!$B$1:$G$1))</f>
        <v>-500</v>
      </c>
      <c r="AK165">
        <v>1000</v>
      </c>
      <c r="AL165">
        <v>0</v>
      </c>
      <c r="AM165">
        <v>1000</v>
      </c>
      <c r="AN165">
        <v>-500</v>
      </c>
      <c r="AO165">
        <v>0</v>
      </c>
      <c r="AP165">
        <f t="shared" si="91"/>
        <v>-335.01248690228965</v>
      </c>
      <c r="AQ165">
        <f t="shared" si="92"/>
        <v>1152.1551382834432</v>
      </c>
      <c r="AR165">
        <f t="shared" si="93"/>
        <v>-362.00315173148317</v>
      </c>
      <c r="AS165">
        <f t="shared" si="83"/>
        <v>105.07860052852847</v>
      </c>
      <c r="AT165">
        <f t="shared" si="84"/>
        <v>0.30995255388369614</v>
      </c>
      <c r="AU165" t="b">
        <f t="shared" si="94"/>
        <v>1</v>
      </c>
      <c r="AV165">
        <f t="shared" si="85"/>
        <v>105.07860052852847</v>
      </c>
    </row>
    <row r="166" spans="1:48" x14ac:dyDescent="0.25">
      <c r="A166">
        <f t="shared" si="64"/>
        <v>16.399999999999963</v>
      </c>
      <c r="B166">
        <f t="shared" si="86"/>
        <v>0.1</v>
      </c>
      <c r="C166">
        <f>sim!C165+(sim!$G165*$B166*COS($E166))</f>
        <v>-414.92507167407121</v>
      </c>
      <c r="D166">
        <f>sim!D165+(sim!$G165*$B166*SIN($E166))</f>
        <v>1086.5029990635364</v>
      </c>
      <c r="E166">
        <f t="shared" si="65"/>
        <v>-2820.8260175605574</v>
      </c>
      <c r="F166">
        <f t="shared" si="72"/>
        <v>104.74731266209901</v>
      </c>
      <c r="G166">
        <v>100</v>
      </c>
      <c r="H166">
        <f t="shared" si="66"/>
        <v>-0.41428118287622334</v>
      </c>
      <c r="I166">
        <f t="shared" si="73"/>
        <v>-23.736563310495029</v>
      </c>
      <c r="J166">
        <f t="shared" si="87"/>
        <v>0</v>
      </c>
      <c r="K166">
        <f t="shared" si="88"/>
        <v>0</v>
      </c>
      <c r="L166">
        <f t="shared" si="74"/>
        <v>0</v>
      </c>
      <c r="M166">
        <f t="shared" si="67"/>
        <v>-23.736563310495029</v>
      </c>
      <c r="N166">
        <f t="shared" si="75"/>
        <v>-408.35467984130207</v>
      </c>
      <c r="O166">
        <f t="shared" si="76"/>
        <v>1078.964434799442</v>
      </c>
      <c r="P166">
        <f t="shared" si="68"/>
        <v>-342.6507615136108</v>
      </c>
      <c r="Q166">
        <f t="shared" si="69"/>
        <v>1003.5787921584982</v>
      </c>
      <c r="R166">
        <f t="shared" si="77"/>
        <v>-0.7538564264094374</v>
      </c>
      <c r="S166">
        <f t="shared" si="78"/>
        <v>0.65703918327691269</v>
      </c>
      <c r="U166">
        <f t="shared" si="95"/>
        <v>2</v>
      </c>
      <c r="V166" cm="1">
        <f t="array" ref="V166:AA166">INDEX(surface!$A$2:$I$40,U166+1,COLUMN(surface!$B$1:$G$1))</f>
        <v>-500</v>
      </c>
      <c r="W166">
        <v>500</v>
      </c>
      <c r="X166">
        <v>-500</v>
      </c>
      <c r="Y166">
        <v>1000</v>
      </c>
      <c r="Z166">
        <v>0</v>
      </c>
      <c r="AA166">
        <v>-500</v>
      </c>
      <c r="AB166">
        <f t="shared" si="70"/>
        <v>-316.70935968260414</v>
      </c>
      <c r="AC166">
        <f t="shared" si="71"/>
        <v>1657.9288695988839</v>
      </c>
      <c r="AD166">
        <f t="shared" si="79"/>
        <v>-328.51959163845635</v>
      </c>
      <c r="AE166">
        <f t="shared" si="80"/>
        <v>-139.48227516908</v>
      </c>
      <c r="AF166">
        <f t="shared" si="81"/>
        <v>1.3682280886117248</v>
      </c>
      <c r="AG166" t="b">
        <f t="shared" si="89"/>
        <v>0</v>
      </c>
      <c r="AH166">
        <f t="shared" si="82"/>
        <v>25000</v>
      </c>
      <c r="AI166">
        <f t="shared" si="90"/>
        <v>3</v>
      </c>
      <c r="AJ166" cm="1">
        <f t="array" ref="AJ166:AO166">INDEX(surface!$A$2:$I$40,AI166+1,COLUMN(surface!$B$1:$G$1))</f>
        <v>-500</v>
      </c>
      <c r="AK166">
        <v>1000</v>
      </c>
      <c r="AL166">
        <v>0</v>
      </c>
      <c r="AM166">
        <v>1000</v>
      </c>
      <c r="AN166">
        <v>-500</v>
      </c>
      <c r="AO166">
        <v>0</v>
      </c>
      <c r="AP166">
        <f t="shared" si="91"/>
        <v>-316.70935968260414</v>
      </c>
      <c r="AQ166">
        <f t="shared" si="92"/>
        <v>1157.9288695988839</v>
      </c>
      <c r="AR166">
        <f t="shared" si="93"/>
        <v>-376.9282132047187</v>
      </c>
      <c r="AS166">
        <f t="shared" si="83"/>
        <v>104.74731266209901</v>
      </c>
      <c r="AT166">
        <f t="shared" si="84"/>
        <v>0.32093681784130973</v>
      </c>
      <c r="AU166" t="b">
        <f t="shared" si="94"/>
        <v>1</v>
      </c>
      <c r="AV166">
        <f t="shared" si="85"/>
        <v>104.74731266209901</v>
      </c>
    </row>
    <row r="167" spans="1:48" x14ac:dyDescent="0.25">
      <c r="A167">
        <f t="shared" si="64"/>
        <v>16.499999999999964</v>
      </c>
      <c r="B167">
        <f t="shared" si="86"/>
        <v>0.1</v>
      </c>
      <c r="C167">
        <f>sim!C166+(sim!$G166*$B167*COS($E167))</f>
        <v>-405.32217361463961</v>
      </c>
      <c r="D167">
        <f>sim!D166+(sim!$G166*$B167*SIN($E167))</f>
        <v>1089.2930436617758</v>
      </c>
      <c r="E167">
        <f t="shared" si="65"/>
        <v>-2820.8674456788449</v>
      </c>
      <c r="F167">
        <f t="shared" si="72"/>
        <v>104.41640104744086</v>
      </c>
      <c r="G167">
        <v>100</v>
      </c>
      <c r="H167">
        <f t="shared" si="66"/>
        <v>-0.38540369683184622</v>
      </c>
      <c r="I167">
        <f t="shared" si="73"/>
        <v>-22.082005237204285</v>
      </c>
      <c r="J167">
        <f t="shared" si="87"/>
        <v>0</v>
      </c>
      <c r="K167">
        <f t="shared" si="88"/>
        <v>0</v>
      </c>
      <c r="L167">
        <f t="shared" si="74"/>
        <v>0</v>
      </c>
      <c r="M167">
        <f t="shared" si="67"/>
        <v>-22.082005237204285</v>
      </c>
      <c r="N167">
        <f t="shared" si="75"/>
        <v>-399.06963852549637</v>
      </c>
      <c r="O167">
        <f t="shared" si="76"/>
        <v>1081.488826535181</v>
      </c>
      <c r="P167">
        <f t="shared" si="68"/>
        <v>-336.54428763406418</v>
      </c>
      <c r="Q167">
        <f t="shared" si="69"/>
        <v>1003.4466552692348</v>
      </c>
      <c r="R167">
        <f t="shared" si="77"/>
        <v>-0.78042171265946192</v>
      </c>
      <c r="S167">
        <f t="shared" si="78"/>
        <v>0.62525350891432208</v>
      </c>
      <c r="U167">
        <f t="shared" si="95"/>
        <v>2</v>
      </c>
      <c r="V167" cm="1">
        <f t="array" ref="V167:AA167">INDEX(surface!$A$2:$I$40,U167+1,COLUMN(surface!$B$1:$G$1))</f>
        <v>-500</v>
      </c>
      <c r="W167">
        <v>500</v>
      </c>
      <c r="X167">
        <v>-500</v>
      </c>
      <c r="Y167">
        <v>1000</v>
      </c>
      <c r="Z167">
        <v>0</v>
      </c>
      <c r="AA167">
        <v>-500</v>
      </c>
      <c r="AB167">
        <f t="shared" si="70"/>
        <v>-298.13927705099275</v>
      </c>
      <c r="AC167">
        <f t="shared" si="71"/>
        <v>1662.9776530703621</v>
      </c>
      <c r="AD167">
        <f t="shared" si="79"/>
        <v>-312.62675445716104</v>
      </c>
      <c r="AE167">
        <f t="shared" si="80"/>
        <v>-161.42310284632728</v>
      </c>
      <c r="AF167">
        <f t="shared" si="81"/>
        <v>1.4149338418426325</v>
      </c>
      <c r="AG167" t="b">
        <f t="shared" si="89"/>
        <v>0</v>
      </c>
      <c r="AH167">
        <f t="shared" si="82"/>
        <v>25000</v>
      </c>
      <c r="AI167">
        <f t="shared" si="90"/>
        <v>3</v>
      </c>
      <c r="AJ167" cm="1">
        <f t="array" ref="AJ167:AO167">INDEX(surface!$A$2:$I$40,AI167+1,COLUMN(surface!$B$1:$G$1))</f>
        <v>-500</v>
      </c>
      <c r="AK167">
        <v>1000</v>
      </c>
      <c r="AL167">
        <v>0</v>
      </c>
      <c r="AM167">
        <v>1000</v>
      </c>
      <c r="AN167">
        <v>-500</v>
      </c>
      <c r="AO167">
        <v>0</v>
      </c>
      <c r="AP167">
        <f t="shared" si="91"/>
        <v>-298.13927705099275</v>
      </c>
      <c r="AQ167">
        <f t="shared" si="92"/>
        <v>1162.9776530703621</v>
      </c>
      <c r="AR167">
        <f t="shared" si="93"/>
        <v>-390.21085632973097</v>
      </c>
      <c r="AS167">
        <f t="shared" si="83"/>
        <v>104.41640104744086</v>
      </c>
      <c r="AT167">
        <f t="shared" si="84"/>
        <v>0.33243416523524222</v>
      </c>
      <c r="AU167" t="b">
        <f t="shared" si="94"/>
        <v>1</v>
      </c>
      <c r="AV167">
        <f t="shared" si="85"/>
        <v>104.41640104744086</v>
      </c>
    </row>
    <row r="168" spans="1:48" x14ac:dyDescent="0.25">
      <c r="A168">
        <f t="shared" si="64"/>
        <v>16.599999999999966</v>
      </c>
      <c r="B168">
        <f t="shared" si="86"/>
        <v>0.1</v>
      </c>
      <c r="C168">
        <f>sim!C167+(sim!$G167*$B168*COS($E168))</f>
        <v>-395.61890382099779</v>
      </c>
      <c r="D168">
        <f>sim!D167+(sim!$G167*$B168*SIN($E168))</f>
        <v>1091.7110087797619</v>
      </c>
      <c r="E168">
        <f t="shared" si="65"/>
        <v>-2820.9059860485281</v>
      </c>
      <c r="F168">
        <f t="shared" si="72"/>
        <v>104.07782363074391</v>
      </c>
      <c r="G168">
        <v>100</v>
      </c>
      <c r="H168">
        <f t="shared" si="66"/>
        <v>-0.35585724336055324</v>
      </c>
      <c r="I168">
        <f t="shared" si="73"/>
        <v>-20.389118153719537</v>
      </c>
      <c r="J168">
        <f t="shared" si="87"/>
        <v>0</v>
      </c>
      <c r="K168">
        <f t="shared" si="88"/>
        <v>0</v>
      </c>
      <c r="L168">
        <f t="shared" si="74"/>
        <v>0</v>
      </c>
      <c r="M168">
        <f t="shared" si="67"/>
        <v>-20.389118153719537</v>
      </c>
      <c r="N168">
        <f t="shared" si="75"/>
        <v>-389.67171474836789</v>
      </c>
      <c r="O168">
        <f t="shared" si="76"/>
        <v>1083.6716716096719</v>
      </c>
      <c r="P168">
        <f t="shared" si="68"/>
        <v>-330.19982402206921</v>
      </c>
      <c r="Q168">
        <f t="shared" si="69"/>
        <v>1003.2782999087711</v>
      </c>
      <c r="R168">
        <f t="shared" si="77"/>
        <v>-0.80393371700900751</v>
      </c>
      <c r="S168">
        <f t="shared" si="78"/>
        <v>0.59471890726298682</v>
      </c>
      <c r="U168">
        <f t="shared" si="95"/>
        <v>2</v>
      </c>
      <c r="V168" cm="1">
        <f t="array" ref="V168:AA168">INDEX(surface!$A$2:$I$40,U168+1,COLUMN(surface!$B$1:$G$1))</f>
        <v>-500</v>
      </c>
      <c r="W168">
        <v>500</v>
      </c>
      <c r="X168">
        <v>-500</v>
      </c>
      <c r="Y168">
        <v>1000</v>
      </c>
      <c r="Z168">
        <v>0</v>
      </c>
      <c r="AA168">
        <v>-500</v>
      </c>
      <c r="AB168">
        <f t="shared" si="70"/>
        <v>-279.34342949673578</v>
      </c>
      <c r="AC168">
        <f t="shared" si="71"/>
        <v>1667.3433432193438</v>
      </c>
      <c r="AD168">
        <f t="shared" si="79"/>
        <v>-297.35945363149341</v>
      </c>
      <c r="AE168">
        <f t="shared" si="80"/>
        <v>-185.51333059072317</v>
      </c>
      <c r="AF168">
        <f t="shared" si="81"/>
        <v>1.4656241860523855</v>
      </c>
      <c r="AG168" t="b">
        <f t="shared" si="89"/>
        <v>0</v>
      </c>
      <c r="AH168">
        <f t="shared" si="82"/>
        <v>25000</v>
      </c>
      <c r="AI168">
        <f t="shared" si="90"/>
        <v>3</v>
      </c>
      <c r="AJ168" cm="1">
        <f t="array" ref="AJ168:AO168">INDEX(surface!$A$2:$I$40,AI168+1,COLUMN(surface!$B$1:$G$1))</f>
        <v>-500</v>
      </c>
      <c r="AK168">
        <v>1000</v>
      </c>
      <c r="AL168">
        <v>0</v>
      </c>
      <c r="AM168">
        <v>1000</v>
      </c>
      <c r="AN168">
        <v>-500</v>
      </c>
      <c r="AO168">
        <v>0</v>
      </c>
      <c r="AP168">
        <f t="shared" si="91"/>
        <v>-279.34342949673578</v>
      </c>
      <c r="AQ168">
        <f t="shared" si="92"/>
        <v>1167.3433432193438</v>
      </c>
      <c r="AR168">
        <f t="shared" si="93"/>
        <v>-401.96685850450376</v>
      </c>
      <c r="AS168">
        <f t="shared" si="83"/>
        <v>104.07782363074391</v>
      </c>
      <c r="AT168">
        <f t="shared" si="84"/>
        <v>0.344450669583236</v>
      </c>
      <c r="AU168" t="b">
        <f t="shared" si="94"/>
        <v>1</v>
      </c>
      <c r="AV168">
        <f t="shared" si="85"/>
        <v>104.07782363074391</v>
      </c>
    </row>
    <row r="169" spans="1:48" x14ac:dyDescent="0.25">
      <c r="A169">
        <f t="shared" si="64"/>
        <v>16.699999999999967</v>
      </c>
      <c r="B169">
        <f t="shared" si="86"/>
        <v>0.1</v>
      </c>
      <c r="C169">
        <f>sim!C168+(sim!$G168*$B169*COS($E169))</f>
        <v>-385.83575033583048</v>
      </c>
      <c r="D169">
        <f>sim!D168+(sim!$G168*$B169*SIN($E169))</f>
        <v>1093.7822180607518</v>
      </c>
      <c r="E169">
        <f t="shared" si="65"/>
        <v>-2820.9415717728643</v>
      </c>
      <c r="F169">
        <f t="shared" si="72"/>
        <v>103.73279517658058</v>
      </c>
      <c r="G169">
        <v>100</v>
      </c>
      <c r="H169">
        <f t="shared" si="66"/>
        <v>-0.32574783066947133</v>
      </c>
      <c r="I169">
        <f t="shared" si="73"/>
        <v>-18.663975882902903</v>
      </c>
      <c r="J169">
        <f t="shared" si="87"/>
        <v>0</v>
      </c>
      <c r="K169">
        <f t="shared" si="88"/>
        <v>0</v>
      </c>
      <c r="L169">
        <f t="shared" si="74"/>
        <v>0</v>
      </c>
      <c r="M169">
        <f t="shared" si="67"/>
        <v>-18.663975882902903</v>
      </c>
      <c r="N169">
        <f t="shared" si="75"/>
        <v>-380.17835171851732</v>
      </c>
      <c r="O169">
        <f t="shared" si="76"/>
        <v>1085.5363802691854</v>
      </c>
      <c r="P169">
        <f t="shared" si="68"/>
        <v>-323.60436554538558</v>
      </c>
      <c r="Q169">
        <f t="shared" si="69"/>
        <v>1003.0780023535225</v>
      </c>
      <c r="R169">
        <f t="shared" si="77"/>
        <v>-0.82458377915662984</v>
      </c>
      <c r="S169">
        <f t="shared" si="78"/>
        <v>0.56573986173131752</v>
      </c>
      <c r="U169">
        <f t="shared" si="95"/>
        <v>2</v>
      </c>
      <c r="V169" cm="1">
        <f t="array" ref="V169:AA169">INDEX(surface!$A$2:$I$40,U169+1,COLUMN(surface!$B$1:$G$1))</f>
        <v>-500</v>
      </c>
      <c r="W169">
        <v>500</v>
      </c>
      <c r="X169">
        <v>-500</v>
      </c>
      <c r="Y169">
        <v>1000</v>
      </c>
      <c r="Z169">
        <v>0</v>
      </c>
      <c r="AA169">
        <v>-500</v>
      </c>
      <c r="AB169">
        <f t="shared" si="70"/>
        <v>-260.35670343703464</v>
      </c>
      <c r="AC169">
        <f t="shared" si="71"/>
        <v>1671.0727605383709</v>
      </c>
      <c r="AD169">
        <f t="shared" si="79"/>
        <v>-282.86993086565877</v>
      </c>
      <c r="AE169">
        <f t="shared" si="80"/>
        <v>-211.79636859031976</v>
      </c>
      <c r="AF169">
        <f t="shared" si="81"/>
        <v>1.5203604605860837</v>
      </c>
      <c r="AG169" t="b">
        <f t="shared" si="89"/>
        <v>0</v>
      </c>
      <c r="AH169">
        <f t="shared" si="82"/>
        <v>25000</v>
      </c>
      <c r="AI169">
        <f t="shared" si="90"/>
        <v>3</v>
      </c>
      <c r="AJ169" cm="1">
        <f t="array" ref="AJ169:AO169">INDEX(surface!$A$2:$I$40,AI169+1,COLUMN(surface!$B$1:$G$1))</f>
        <v>-500</v>
      </c>
      <c r="AK169">
        <v>1000</v>
      </c>
      <c r="AL169">
        <v>0</v>
      </c>
      <c r="AM169">
        <v>1000</v>
      </c>
      <c r="AN169">
        <v>-500</v>
      </c>
      <c r="AO169">
        <v>0</v>
      </c>
      <c r="AP169">
        <f t="shared" si="91"/>
        <v>-260.35670343703464</v>
      </c>
      <c r="AQ169">
        <f t="shared" si="92"/>
        <v>1171.0727605383709</v>
      </c>
      <c r="AR169">
        <f t="shared" si="93"/>
        <v>-412.29188957831491</v>
      </c>
      <c r="AS169">
        <f t="shared" si="83"/>
        <v>103.73279517658058</v>
      </c>
      <c r="AT169">
        <f t="shared" si="84"/>
        <v>0.35701485096336893</v>
      </c>
      <c r="AU169" t="b">
        <f t="shared" si="94"/>
        <v>1</v>
      </c>
      <c r="AV169">
        <f t="shared" si="85"/>
        <v>103.73279517658058</v>
      </c>
    </row>
    <row r="170" spans="1:48" x14ac:dyDescent="0.25">
      <c r="A170">
        <f t="shared" si="64"/>
        <v>16.799999999999969</v>
      </c>
      <c r="B170">
        <f t="shared" si="86"/>
        <v>0.1</v>
      </c>
      <c r="C170">
        <f>sim!C169+(sim!$G169*$B170*COS($E170))</f>
        <v>-375.99032966291668</v>
      </c>
      <c r="D170">
        <f>sim!D169+(sim!$G169*$B170*SIN($E170))</f>
        <v>1095.5337007964251</v>
      </c>
      <c r="E170">
        <f t="shared" si="65"/>
        <v>-2820.9741465559314</v>
      </c>
      <c r="F170">
        <f t="shared" si="72"/>
        <v>103.38343737855217</v>
      </c>
      <c r="G170">
        <v>100</v>
      </c>
      <c r="H170">
        <f t="shared" si="66"/>
        <v>-0.29526061145390603</v>
      </c>
      <c r="I170">
        <f t="shared" si="73"/>
        <v>-16.917186892760867</v>
      </c>
      <c r="J170">
        <f t="shared" si="87"/>
        <v>0</v>
      </c>
      <c r="K170">
        <f t="shared" si="88"/>
        <v>0</v>
      </c>
      <c r="L170">
        <f t="shared" si="74"/>
        <v>0</v>
      </c>
      <c r="M170">
        <f t="shared" si="67"/>
        <v>-16.917186892760867</v>
      </c>
      <c r="N170">
        <f t="shared" si="75"/>
        <v>-370.60449123569157</v>
      </c>
      <c r="O170">
        <f t="shared" si="76"/>
        <v>1087.1079815727728</v>
      </c>
      <c r="P170">
        <f t="shared" si="68"/>
        <v>-316.74610696344024</v>
      </c>
      <c r="Q170">
        <f t="shared" si="69"/>
        <v>1002.8507893362491</v>
      </c>
      <c r="R170">
        <f t="shared" si="77"/>
        <v>-0.84257192236523715</v>
      </c>
      <c r="S170">
        <f t="shared" si="78"/>
        <v>0.53858384272251325</v>
      </c>
      <c r="U170">
        <f t="shared" si="95"/>
        <v>2</v>
      </c>
      <c r="V170" cm="1">
        <f t="array" ref="V170:AA170">INDEX(surface!$A$2:$I$40,U170+1,COLUMN(surface!$B$1:$G$1))</f>
        <v>-500</v>
      </c>
      <c r="W170">
        <v>500</v>
      </c>
      <c r="X170">
        <v>-500</v>
      </c>
      <c r="Y170">
        <v>1000</v>
      </c>
      <c r="Z170">
        <v>0</v>
      </c>
      <c r="AA170">
        <v>-500</v>
      </c>
      <c r="AB170">
        <f t="shared" si="70"/>
        <v>-241.20898247138314</v>
      </c>
      <c r="AC170">
        <f t="shared" si="71"/>
        <v>1674.2159631455456</v>
      </c>
      <c r="AD170">
        <f t="shared" si="79"/>
        <v>-269.29192136125664</v>
      </c>
      <c r="AE170">
        <f t="shared" si="80"/>
        <v>-240.2513749952484</v>
      </c>
      <c r="AF170">
        <f t="shared" si="81"/>
        <v>1.5790740889068213</v>
      </c>
      <c r="AG170" t="b">
        <f t="shared" si="89"/>
        <v>0</v>
      </c>
      <c r="AH170">
        <f t="shared" si="82"/>
        <v>25000</v>
      </c>
      <c r="AI170">
        <f t="shared" si="90"/>
        <v>3</v>
      </c>
      <c r="AJ170" cm="1">
        <f t="array" ref="AJ170:AO170">INDEX(surface!$A$2:$I$40,AI170+1,COLUMN(surface!$B$1:$G$1))</f>
        <v>-500</v>
      </c>
      <c r="AK170">
        <v>1000</v>
      </c>
      <c r="AL170">
        <v>0</v>
      </c>
      <c r="AM170">
        <v>1000</v>
      </c>
      <c r="AN170">
        <v>-500</v>
      </c>
      <c r="AO170">
        <v>0</v>
      </c>
      <c r="AP170">
        <f t="shared" si="91"/>
        <v>-241.20898247138314</v>
      </c>
      <c r="AQ170">
        <f t="shared" si="92"/>
        <v>1174.2159631455456</v>
      </c>
      <c r="AR170">
        <f t="shared" si="93"/>
        <v>-421.28596118261856</v>
      </c>
      <c r="AS170">
        <f t="shared" si="83"/>
        <v>103.38343737855217</v>
      </c>
      <c r="AT170">
        <f t="shared" si="84"/>
        <v>0.3701523154830228</v>
      </c>
      <c r="AU170" t="b">
        <f t="shared" si="94"/>
        <v>1</v>
      </c>
      <c r="AV170">
        <f t="shared" si="85"/>
        <v>103.38343737855217</v>
      </c>
    </row>
    <row r="171" spans="1:48" x14ac:dyDescent="0.25">
      <c r="A171">
        <f t="shared" si="64"/>
        <v>16.89999999999997</v>
      </c>
      <c r="B171">
        <f t="shared" si="86"/>
        <v>0.1</v>
      </c>
      <c r="C171">
        <f>sim!C170+(sim!$G170*$B171*COS($E171))</f>
        <v>-366.09749336676759</v>
      </c>
      <c r="D171">
        <f>sim!D170+(sim!$G170*$B171*SIN($E171))</f>
        <v>1096.9937658694942</v>
      </c>
      <c r="E171">
        <f t="shared" si="65"/>
        <v>-2821.003672617077</v>
      </c>
      <c r="F171">
        <f t="shared" si="72"/>
        <v>103.03256379648421</v>
      </c>
      <c r="G171">
        <v>100</v>
      </c>
      <c r="H171">
        <f t="shared" si="66"/>
        <v>-0.26464111512714367</v>
      </c>
      <c r="I171">
        <f t="shared" si="73"/>
        <v>-15.162818982421058</v>
      </c>
      <c r="J171">
        <f t="shared" si="87"/>
        <v>0</v>
      </c>
      <c r="K171">
        <f t="shared" si="88"/>
        <v>0</v>
      </c>
      <c r="L171">
        <f t="shared" si="74"/>
        <v>0</v>
      </c>
      <c r="M171">
        <f t="shared" si="67"/>
        <v>-15.162818982421058</v>
      </c>
      <c r="N171">
        <f t="shared" si="75"/>
        <v>-360.96274457998743</v>
      </c>
      <c r="O171">
        <f t="shared" si="76"/>
        <v>1088.4127196106363</v>
      </c>
      <c r="P171">
        <f t="shared" si="68"/>
        <v>-309.61525671218595</v>
      </c>
      <c r="Q171">
        <f t="shared" si="69"/>
        <v>1002.6022570220568</v>
      </c>
      <c r="R171">
        <f t="shared" si="77"/>
        <v>-0.85810462588579361</v>
      </c>
      <c r="S171">
        <f t="shared" si="78"/>
        <v>0.513474878678015</v>
      </c>
      <c r="U171">
        <f t="shared" si="95"/>
        <v>2</v>
      </c>
      <c r="V171" cm="1">
        <f t="array" ref="V171:AA171">INDEX(surface!$A$2:$I$40,U171+1,COLUMN(surface!$B$1:$G$1))</f>
        <v>-500</v>
      </c>
      <c r="W171">
        <v>500</v>
      </c>
      <c r="X171">
        <v>-500</v>
      </c>
      <c r="Y171">
        <v>1000</v>
      </c>
      <c r="Z171">
        <v>0</v>
      </c>
      <c r="AA171">
        <v>-500</v>
      </c>
      <c r="AB171">
        <f t="shared" si="70"/>
        <v>-221.92548915997486</v>
      </c>
      <c r="AC171">
        <f t="shared" si="71"/>
        <v>1676.8254392212725</v>
      </c>
      <c r="AD171">
        <f t="shared" si="79"/>
        <v>-256.73743933900749</v>
      </c>
      <c r="AE171">
        <f t="shared" si="80"/>
        <v>-270.77713281314925</v>
      </c>
      <c r="AF171">
        <f t="shared" si="81"/>
        <v>1.6415356597233832</v>
      </c>
      <c r="AG171" t="b">
        <f t="shared" si="89"/>
        <v>0</v>
      </c>
      <c r="AH171">
        <f t="shared" si="82"/>
        <v>25000</v>
      </c>
      <c r="AI171">
        <f t="shared" si="90"/>
        <v>3</v>
      </c>
      <c r="AJ171" cm="1">
        <f t="array" ref="AJ171:AO171">INDEX(surface!$A$2:$I$40,AI171+1,COLUMN(surface!$B$1:$G$1))</f>
        <v>-500</v>
      </c>
      <c r="AK171">
        <v>1000</v>
      </c>
      <c r="AL171">
        <v>0</v>
      </c>
      <c r="AM171">
        <v>1000</v>
      </c>
      <c r="AN171">
        <v>-500</v>
      </c>
      <c r="AO171">
        <v>0</v>
      </c>
      <c r="AP171">
        <f t="shared" si="91"/>
        <v>-221.92548915997486</v>
      </c>
      <c r="AQ171">
        <f t="shared" si="92"/>
        <v>1176.8254392212725</v>
      </c>
      <c r="AR171">
        <f t="shared" si="93"/>
        <v>-429.05231294289683</v>
      </c>
      <c r="AS171">
        <f t="shared" si="83"/>
        <v>103.03256379648421</v>
      </c>
      <c r="AT171">
        <f t="shared" si="84"/>
        <v>0.38388377723059425</v>
      </c>
      <c r="AU171" t="b">
        <f t="shared" si="94"/>
        <v>1</v>
      </c>
      <c r="AV171">
        <f t="shared" si="85"/>
        <v>103.03256379648421</v>
      </c>
    </row>
    <row r="172" spans="1:48" x14ac:dyDescent="0.25">
      <c r="A172">
        <f t="shared" si="64"/>
        <v>16.999999999999972</v>
      </c>
      <c r="B172">
        <f t="shared" si="86"/>
        <v>0.1</v>
      </c>
      <c r="C172">
        <f>sim!C171+(sim!$G171*$B172*COS($E172))</f>
        <v>-356.16948627352929</v>
      </c>
      <c r="D172">
        <f>sim!D171+(sim!$G171*$B172*SIN($E172))</f>
        <v>1098.1915451298796</v>
      </c>
      <c r="E172">
        <f t="shared" si="65"/>
        <v>-2821.0301367285897</v>
      </c>
      <c r="F172">
        <f t="shared" si="72"/>
        <v>102.68365120981693</v>
      </c>
      <c r="G172">
        <v>100</v>
      </c>
      <c r="H172">
        <f t="shared" si="66"/>
        <v>-0.23419274793217296</v>
      </c>
      <c r="I172">
        <f t="shared" si="73"/>
        <v>-13.418256049084647</v>
      </c>
      <c r="J172">
        <f t="shared" si="87"/>
        <v>0</v>
      </c>
      <c r="K172">
        <f t="shared" si="88"/>
        <v>0</v>
      </c>
      <c r="L172">
        <f t="shared" si="74"/>
        <v>0</v>
      </c>
      <c r="M172">
        <f t="shared" si="67"/>
        <v>-13.418256049084647</v>
      </c>
      <c r="N172">
        <f t="shared" si="75"/>
        <v>-351.26359869940626</v>
      </c>
      <c r="O172">
        <f t="shared" si="76"/>
        <v>1089.4776328563905</v>
      </c>
      <c r="P172">
        <f t="shared" si="68"/>
        <v>-302.20472295817598</v>
      </c>
      <c r="Q172">
        <f t="shared" si="69"/>
        <v>1002.3385101214988</v>
      </c>
      <c r="R172">
        <f t="shared" si="77"/>
        <v>-0.8713912273489175</v>
      </c>
      <c r="S172">
        <f t="shared" si="78"/>
        <v>0.49058875741230279</v>
      </c>
      <c r="U172">
        <f t="shared" si="95"/>
        <v>2</v>
      </c>
      <c r="V172" cm="1">
        <f t="array" ref="V172:AA172">INDEX(surface!$A$2:$I$40,U172+1,COLUMN(surface!$B$1:$G$1))</f>
        <v>-500</v>
      </c>
      <c r="W172">
        <v>500</v>
      </c>
      <c r="X172">
        <v>-500</v>
      </c>
      <c r="Y172">
        <v>1000</v>
      </c>
      <c r="Z172">
        <v>0</v>
      </c>
      <c r="AA172">
        <v>-500</v>
      </c>
      <c r="AB172">
        <f t="shared" si="70"/>
        <v>-202.52719739881252</v>
      </c>
      <c r="AC172">
        <f t="shared" si="71"/>
        <v>1678.9552657127811</v>
      </c>
      <c r="AD172">
        <f t="shared" si="79"/>
        <v>-245.29437870615141</v>
      </c>
      <c r="AE172">
        <f t="shared" si="80"/>
        <v>-303.17939221667086</v>
      </c>
      <c r="AF172">
        <f t="shared" si="81"/>
        <v>1.7073309910939485</v>
      </c>
      <c r="AG172" t="b">
        <f t="shared" si="89"/>
        <v>0</v>
      </c>
      <c r="AH172">
        <f t="shared" si="82"/>
        <v>25000</v>
      </c>
      <c r="AI172">
        <f t="shared" si="90"/>
        <v>3</v>
      </c>
      <c r="AJ172" cm="1">
        <f t="array" ref="AJ172:AO172">INDEX(surface!$A$2:$I$40,AI172+1,COLUMN(surface!$B$1:$G$1))</f>
        <v>-500</v>
      </c>
      <c r="AK172">
        <v>1000</v>
      </c>
      <c r="AL172">
        <v>0</v>
      </c>
      <c r="AM172">
        <v>1000</v>
      </c>
      <c r="AN172">
        <v>-500</v>
      </c>
      <c r="AO172">
        <v>0</v>
      </c>
      <c r="AP172">
        <f t="shared" si="91"/>
        <v>-202.52719739881252</v>
      </c>
      <c r="AQ172">
        <f t="shared" si="92"/>
        <v>1178.9552657127811</v>
      </c>
      <c r="AR172">
        <f t="shared" si="93"/>
        <v>-435.69561367445874</v>
      </c>
      <c r="AS172">
        <f t="shared" si="83"/>
        <v>102.68365120981693</v>
      </c>
      <c r="AT172">
        <f t="shared" si="84"/>
        <v>0.39822369230835225</v>
      </c>
      <c r="AU172" t="b">
        <f t="shared" si="94"/>
        <v>1</v>
      </c>
      <c r="AV172">
        <f t="shared" si="85"/>
        <v>102.68365120981693</v>
      </c>
    </row>
    <row r="173" spans="1:48" x14ac:dyDescent="0.25">
      <c r="A173">
        <f t="shared" si="64"/>
        <v>17.099999999999973</v>
      </c>
      <c r="B173">
        <f t="shared" si="86"/>
        <v>0.1</v>
      </c>
      <c r="C173">
        <f>sim!C172+(sim!$G172*$B173*COS($E173))</f>
        <v>-346.21615306776818</v>
      </c>
      <c r="D173">
        <f>sim!D172+(sim!$G172*$B173*SIN($E173))</f>
        <v>1099.1565104635024</v>
      </c>
      <c r="E173">
        <f t="shared" si="65"/>
        <v>-2821.0535560033827</v>
      </c>
      <c r="F173">
        <f t="shared" si="72"/>
        <v>102.34077197588313</v>
      </c>
      <c r="G173">
        <v>100</v>
      </c>
      <c r="H173">
        <f t="shared" si="66"/>
        <v>-0.20427089008786953</v>
      </c>
      <c r="I173">
        <f t="shared" si="73"/>
        <v>-11.703859879415646</v>
      </c>
      <c r="J173">
        <f t="shared" si="87"/>
        <v>0</v>
      </c>
      <c r="K173">
        <f t="shared" si="88"/>
        <v>0</v>
      </c>
      <c r="L173">
        <f t="shared" si="74"/>
        <v>0</v>
      </c>
      <c r="M173">
        <f t="shared" si="67"/>
        <v>-11.703859879415646</v>
      </c>
      <c r="N173">
        <f t="shared" si="75"/>
        <v>-341.5156656317962</v>
      </c>
      <c r="O173">
        <f t="shared" si="76"/>
        <v>1090.3301058804193</v>
      </c>
      <c r="P173">
        <f t="shared" si="68"/>
        <v>-294.51079127207646</v>
      </c>
      <c r="Q173">
        <f t="shared" si="69"/>
        <v>1002.0660600495887</v>
      </c>
      <c r="R173">
        <f t="shared" si="77"/>
        <v>-0.88264045830830584</v>
      </c>
      <c r="S173">
        <f t="shared" si="78"/>
        <v>0.47004874359719745</v>
      </c>
      <c r="U173">
        <f t="shared" si="95"/>
        <v>2</v>
      </c>
      <c r="V173" cm="1">
        <f t="array" ref="V173:AA173">INDEX(surface!$A$2:$I$40,U173+1,COLUMN(surface!$B$1:$G$1))</f>
        <v>-500</v>
      </c>
      <c r="W173">
        <v>500</v>
      </c>
      <c r="X173">
        <v>-500</v>
      </c>
      <c r="Y173">
        <v>1000</v>
      </c>
      <c r="Z173">
        <v>0</v>
      </c>
      <c r="AA173">
        <v>-500</v>
      </c>
      <c r="AB173">
        <f t="shared" si="70"/>
        <v>-183.03133126359239</v>
      </c>
      <c r="AC173">
        <f t="shared" si="71"/>
        <v>1680.6602117608386</v>
      </c>
      <c r="AD173">
        <f t="shared" si="79"/>
        <v>-235.02437179859874</v>
      </c>
      <c r="AE173">
        <f t="shared" si="80"/>
        <v>-337.16574403614408</v>
      </c>
      <c r="AF173">
        <f t="shared" si="81"/>
        <v>1.7758524654446848</v>
      </c>
      <c r="AG173" t="b">
        <f t="shared" si="89"/>
        <v>0</v>
      </c>
      <c r="AH173">
        <f t="shared" si="82"/>
        <v>25000</v>
      </c>
      <c r="AI173">
        <f t="shared" si="90"/>
        <v>3</v>
      </c>
      <c r="AJ173" cm="1">
        <f t="array" ref="AJ173:AO173">INDEX(surface!$A$2:$I$40,AI173+1,COLUMN(surface!$B$1:$G$1))</f>
        <v>-500</v>
      </c>
      <c r="AK173">
        <v>1000</v>
      </c>
      <c r="AL173">
        <v>0</v>
      </c>
      <c r="AM173">
        <v>1000</v>
      </c>
      <c r="AN173">
        <v>-500</v>
      </c>
      <c r="AO173">
        <v>0</v>
      </c>
      <c r="AP173">
        <f t="shared" si="91"/>
        <v>-183.03133126359239</v>
      </c>
      <c r="AQ173">
        <f t="shared" si="92"/>
        <v>1180.6602117608386</v>
      </c>
      <c r="AR173">
        <f t="shared" si="93"/>
        <v>-441.32022915415291</v>
      </c>
      <c r="AS173">
        <f t="shared" si="83"/>
        <v>102.34077197588313</v>
      </c>
      <c r="AT173">
        <f t="shared" si="84"/>
        <v>0.41317897130846987</v>
      </c>
      <c r="AU173" t="b">
        <f t="shared" si="94"/>
        <v>1</v>
      </c>
      <c r="AV173">
        <f t="shared" si="85"/>
        <v>102.34077197588313</v>
      </c>
    </row>
    <row r="174" spans="1:48" x14ac:dyDescent="0.25">
      <c r="A174">
        <f t="shared" si="64"/>
        <v>17.199999999999974</v>
      </c>
      <c r="B174">
        <f t="shared" si="86"/>
        <v>0.1</v>
      </c>
      <c r="C174">
        <f>sim!C173+(sim!$G173*$B174*COS($E174))</f>
        <v>-336.24518632142411</v>
      </c>
      <c r="D174">
        <f>sim!D173+(sim!$G173*$B174*SIN($E174))</f>
        <v>1099.9179709964919</v>
      </c>
      <c r="E174">
        <f t="shared" si="65"/>
        <v>-2821.0739830923917</v>
      </c>
      <c r="F174">
        <f t="shared" si="72"/>
        <v>102.00845777228919</v>
      </c>
      <c r="G174">
        <v>100</v>
      </c>
      <c r="H174">
        <f t="shared" si="66"/>
        <v>-0.17527100506858453</v>
      </c>
      <c r="I174">
        <f t="shared" si="73"/>
        <v>-10.042288861445954</v>
      </c>
      <c r="J174">
        <f t="shared" si="87"/>
        <v>0</v>
      </c>
      <c r="K174">
        <f t="shared" si="88"/>
        <v>0</v>
      </c>
      <c r="L174">
        <f t="shared" si="74"/>
        <v>0</v>
      </c>
      <c r="M174">
        <f t="shared" si="67"/>
        <v>-10.042288861445954</v>
      </c>
      <c r="N174">
        <f t="shared" si="75"/>
        <v>-331.72596474168989</v>
      </c>
      <c r="O174">
        <f t="shared" si="76"/>
        <v>1090.9973972305695</v>
      </c>
      <c r="P174">
        <f t="shared" si="68"/>
        <v>-286.53374894434768</v>
      </c>
      <c r="Q174">
        <f t="shared" si="69"/>
        <v>1001.7916595713446</v>
      </c>
      <c r="R174">
        <f t="shared" si="77"/>
        <v>-0.89205737659224893</v>
      </c>
      <c r="S174">
        <f t="shared" si="78"/>
        <v>0.45192215797342206</v>
      </c>
      <c r="U174">
        <f t="shared" si="95"/>
        <v>2</v>
      </c>
      <c r="V174" cm="1">
        <f t="array" ref="V174:AA174">INDEX(surface!$A$2:$I$40,U174+1,COLUMN(surface!$B$1:$G$1))</f>
        <v>-500</v>
      </c>
      <c r="W174">
        <v>500</v>
      </c>
      <c r="X174">
        <v>-500</v>
      </c>
      <c r="Y174">
        <v>1000</v>
      </c>
      <c r="Z174">
        <v>0</v>
      </c>
      <c r="AA174">
        <v>-500</v>
      </c>
      <c r="AB174">
        <f t="shared" si="70"/>
        <v>-163.45192948337979</v>
      </c>
      <c r="AC174">
        <f t="shared" si="71"/>
        <v>1681.994794461139</v>
      </c>
      <c r="AD174">
        <f t="shared" si="79"/>
        <v>-225.96107898671102</v>
      </c>
      <c r="AE174">
        <f t="shared" si="80"/>
        <v>-372.35181388960899</v>
      </c>
      <c r="AF174">
        <f t="shared" si="81"/>
        <v>1.8463131589965989</v>
      </c>
      <c r="AG174" t="b">
        <f t="shared" si="89"/>
        <v>0</v>
      </c>
      <c r="AH174">
        <f t="shared" si="82"/>
        <v>25000</v>
      </c>
      <c r="AI174">
        <f t="shared" si="90"/>
        <v>3</v>
      </c>
      <c r="AJ174" cm="1">
        <f t="array" ref="AJ174:AO174">INDEX(surface!$A$2:$I$40,AI174+1,COLUMN(surface!$B$1:$G$1))</f>
        <v>-500</v>
      </c>
      <c r="AK174">
        <v>1000</v>
      </c>
      <c r="AL174">
        <v>0</v>
      </c>
      <c r="AM174">
        <v>1000</v>
      </c>
      <c r="AN174">
        <v>-500</v>
      </c>
      <c r="AO174">
        <v>0</v>
      </c>
      <c r="AP174">
        <f t="shared" si="91"/>
        <v>-163.45192948337979</v>
      </c>
      <c r="AQ174">
        <f t="shared" si="92"/>
        <v>1181.994794461139</v>
      </c>
      <c r="AR174">
        <f t="shared" si="93"/>
        <v>-446.02868829612447</v>
      </c>
      <c r="AS174">
        <f t="shared" si="83"/>
        <v>102.00845777228919</v>
      </c>
      <c r="AT174">
        <f t="shared" si="84"/>
        <v>0.42874783525260746</v>
      </c>
      <c r="AU174" t="b">
        <f t="shared" si="94"/>
        <v>1</v>
      </c>
      <c r="AV174">
        <f t="shared" si="85"/>
        <v>102.00845777228919</v>
      </c>
    </row>
    <row r="175" spans="1:48" x14ac:dyDescent="0.25">
      <c r="A175">
        <f t="shared" si="64"/>
        <v>17.299999999999976</v>
      </c>
      <c r="B175">
        <f t="shared" si="86"/>
        <v>0.1</v>
      </c>
      <c r="C175">
        <f>sim!C174+(sim!$G174*$B175*COS($E175))</f>
        <v>-326.26240556065648</v>
      </c>
      <c r="D175">
        <f>sim!D174+(sim!$G174*$B175*SIN($E175))</f>
        <v>1100.5045613837708</v>
      </c>
      <c r="E175">
        <f t="shared" si="65"/>
        <v>-2821.0915101928986</v>
      </c>
      <c r="F175">
        <f t="shared" si="72"/>
        <v>101.69148689447236</v>
      </c>
      <c r="G175">
        <v>100</v>
      </c>
      <c r="H175">
        <f t="shared" si="66"/>
        <v>-0.14761007781438296</v>
      </c>
      <c r="I175">
        <f t="shared" si="73"/>
        <v>-8.4574344723618111</v>
      </c>
      <c r="J175">
        <f t="shared" si="87"/>
        <v>0</v>
      </c>
      <c r="K175">
        <f t="shared" si="88"/>
        <v>0</v>
      </c>
      <c r="L175">
        <f t="shared" si="74"/>
        <v>0</v>
      </c>
      <c r="M175">
        <f t="shared" si="67"/>
        <v>-8.4574344723618111</v>
      </c>
      <c r="N175">
        <f t="shared" si="75"/>
        <v>-321.90022190180196</v>
      </c>
      <c r="O175">
        <f t="shared" si="76"/>
        <v>1091.5061529841469</v>
      </c>
      <c r="P175">
        <f t="shared" si="68"/>
        <v>-278.27838531325699</v>
      </c>
      <c r="Q175">
        <f t="shared" si="69"/>
        <v>1001.5220689879073</v>
      </c>
      <c r="R175">
        <f t="shared" si="77"/>
        <v>-0.89984083996239472</v>
      </c>
      <c r="S175">
        <f t="shared" si="78"/>
        <v>0.43621836588544954</v>
      </c>
      <c r="U175">
        <f t="shared" si="95"/>
        <v>2</v>
      </c>
      <c r="V175" cm="1">
        <f t="array" ref="V175:AA175">INDEX(surface!$A$2:$I$40,U175+1,COLUMN(surface!$B$1:$G$1))</f>
        <v>-500</v>
      </c>
      <c r="W175">
        <v>500</v>
      </c>
      <c r="X175">
        <v>-500</v>
      </c>
      <c r="Y175">
        <v>1000</v>
      </c>
      <c r="Z175">
        <v>0</v>
      </c>
      <c r="AA175">
        <v>-500</v>
      </c>
      <c r="AB175">
        <f t="shared" si="70"/>
        <v>-143.80044380360391</v>
      </c>
      <c r="AC175">
        <f t="shared" si="71"/>
        <v>1683.0123059682937</v>
      </c>
      <c r="AD175">
        <f t="shared" si="79"/>
        <v>-218.10918294272477</v>
      </c>
      <c r="AE175">
        <f t="shared" si="80"/>
        <v>-408.28124633561816</v>
      </c>
      <c r="AF175">
        <f t="shared" si="81"/>
        <v>1.9177885852553658</v>
      </c>
      <c r="AG175" t="b">
        <f t="shared" si="89"/>
        <v>0</v>
      </c>
      <c r="AH175">
        <f t="shared" si="82"/>
        <v>25000</v>
      </c>
      <c r="AI175">
        <f t="shared" si="90"/>
        <v>3</v>
      </c>
      <c r="AJ175" cm="1">
        <f t="array" ref="AJ175:AO175">INDEX(surface!$A$2:$I$40,AI175+1,COLUMN(surface!$B$1:$G$1))</f>
        <v>-500</v>
      </c>
      <c r="AK175">
        <v>1000</v>
      </c>
      <c r="AL175">
        <v>0</v>
      </c>
      <c r="AM175">
        <v>1000</v>
      </c>
      <c r="AN175">
        <v>-500</v>
      </c>
      <c r="AO175">
        <v>0</v>
      </c>
      <c r="AP175">
        <f t="shared" si="91"/>
        <v>-143.80044380360391</v>
      </c>
      <c r="AQ175">
        <f t="shared" si="92"/>
        <v>1183.0123059682937</v>
      </c>
      <c r="AR175">
        <f t="shared" si="93"/>
        <v>-449.92041998119737</v>
      </c>
      <c r="AS175">
        <f t="shared" si="83"/>
        <v>101.69148689447236</v>
      </c>
      <c r="AT175">
        <f t="shared" si="84"/>
        <v>0.44491894467153276</v>
      </c>
      <c r="AU175" t="b">
        <f t="shared" si="94"/>
        <v>1</v>
      </c>
      <c r="AV175">
        <f t="shared" si="85"/>
        <v>101.69148689447236</v>
      </c>
    </row>
    <row r="176" spans="1:48" x14ac:dyDescent="0.25">
      <c r="A176">
        <f t="shared" si="64"/>
        <v>17.399999999999977</v>
      </c>
      <c r="B176">
        <f t="shared" si="86"/>
        <v>0.1</v>
      </c>
      <c r="C176">
        <f>sim!C175+(sim!$G175*$B176*COS($E176))</f>
        <v>-316.27205399012928</v>
      </c>
      <c r="D176">
        <f>sim!D175+(sim!$G175*$B176*SIN($E176))</f>
        <v>1100.9437373135124</v>
      </c>
      <c r="E176">
        <f t="shared" si="65"/>
        <v>-2821.1062712006801</v>
      </c>
      <c r="F176">
        <f t="shared" si="72"/>
        <v>101.39460066840248</v>
      </c>
      <c r="G176">
        <v>100</v>
      </c>
      <c r="H176">
        <f t="shared" si="66"/>
        <v>-0.1217018670706842</v>
      </c>
      <c r="I176">
        <f t="shared" si="73"/>
        <v>-6.973003342012376</v>
      </c>
      <c r="J176">
        <f t="shared" si="87"/>
        <v>0</v>
      </c>
      <c r="K176">
        <f t="shared" si="88"/>
        <v>0</v>
      </c>
      <c r="L176">
        <f t="shared" si="74"/>
        <v>0</v>
      </c>
      <c r="M176">
        <f t="shared" si="67"/>
        <v>-6.973003342012376</v>
      </c>
      <c r="N176">
        <f t="shared" si="75"/>
        <v>-312.04316630792511</v>
      </c>
      <c r="O176">
        <f t="shared" si="76"/>
        <v>1091.8819213271165</v>
      </c>
      <c r="P176">
        <f t="shared" si="68"/>
        <v>-269.75428948588308</v>
      </c>
      <c r="Q176">
        <f t="shared" si="69"/>
        <v>1001.2637614631568</v>
      </c>
      <c r="R176">
        <f t="shared" si="77"/>
        <v>-0.90618159863959713</v>
      </c>
      <c r="S176">
        <f t="shared" si="78"/>
        <v>0.42288876822041999</v>
      </c>
      <c r="U176">
        <f t="shared" si="95"/>
        <v>2</v>
      </c>
      <c r="V176" cm="1">
        <f t="array" ref="V176:AA176">INDEX(surface!$A$2:$I$40,U176+1,COLUMN(surface!$B$1:$G$1))</f>
        <v>-500</v>
      </c>
      <c r="W176">
        <v>500</v>
      </c>
      <c r="X176">
        <v>-500</v>
      </c>
      <c r="Y176">
        <v>1000</v>
      </c>
      <c r="Z176">
        <v>0</v>
      </c>
      <c r="AA176">
        <v>-500</v>
      </c>
      <c r="AB176">
        <f t="shared" si="70"/>
        <v>-124.08633261585021</v>
      </c>
      <c r="AC176">
        <f t="shared" si="71"/>
        <v>1683.763842654233</v>
      </c>
      <c r="AD176">
        <f t="shared" si="79"/>
        <v>-211.44438411021</v>
      </c>
      <c r="AE176">
        <f t="shared" si="80"/>
        <v>-444.45927112944082</v>
      </c>
      <c r="AF176">
        <f t="shared" si="81"/>
        <v>1.9892854683387664</v>
      </c>
      <c r="AG176" t="b">
        <f t="shared" si="89"/>
        <v>0</v>
      </c>
      <c r="AH176">
        <f t="shared" si="82"/>
        <v>25000</v>
      </c>
      <c r="AI176">
        <f t="shared" si="90"/>
        <v>3</v>
      </c>
      <c r="AJ176" cm="1">
        <f t="array" ref="AJ176:AO176">INDEX(surface!$A$2:$I$40,AI176+1,COLUMN(surface!$B$1:$G$1))</f>
        <v>-500</v>
      </c>
      <c r="AK176">
        <v>1000</v>
      </c>
      <c r="AL176">
        <v>0</v>
      </c>
      <c r="AM176">
        <v>1000</v>
      </c>
      <c r="AN176">
        <v>-500</v>
      </c>
      <c r="AO176">
        <v>0</v>
      </c>
      <c r="AP176">
        <f t="shared" si="91"/>
        <v>-124.08633261585021</v>
      </c>
      <c r="AQ176">
        <f t="shared" si="92"/>
        <v>1183.763842654233</v>
      </c>
      <c r="AR176">
        <f t="shared" si="93"/>
        <v>-453.09079931979858</v>
      </c>
      <c r="AS176">
        <f t="shared" si="83"/>
        <v>101.39460066840248</v>
      </c>
      <c r="AT176">
        <f t="shared" si="84"/>
        <v>0.46167094294587391</v>
      </c>
      <c r="AU176" t="b">
        <f t="shared" si="94"/>
        <v>1</v>
      </c>
      <c r="AV176">
        <f t="shared" si="85"/>
        <v>101.39460066840248</v>
      </c>
    </row>
    <row r="177" spans="1:48" x14ac:dyDescent="0.25">
      <c r="A177">
        <f t="shared" si="64"/>
        <v>17.499999999999979</v>
      </c>
      <c r="B177">
        <f t="shared" si="86"/>
        <v>0.1</v>
      </c>
      <c r="C177">
        <f>sim!C176+(sim!$G176*$B177*COS($E177))</f>
        <v>-306.27709754203926</v>
      </c>
      <c r="D177">
        <f>sim!D176+(sim!$G176*$B177*SIN($E177))</f>
        <v>1101.2612992772038</v>
      </c>
      <c r="E177">
        <f t="shared" si="65"/>
        <v>-2821.1184413873871</v>
      </c>
      <c r="F177">
        <f t="shared" si="72"/>
        <v>101.12216961467975</v>
      </c>
      <c r="G177">
        <v>100</v>
      </c>
      <c r="H177">
        <f t="shared" si="66"/>
        <v>-9.7927772709988509E-2</v>
      </c>
      <c r="I177">
        <f t="shared" si="73"/>
        <v>-5.610848073398742</v>
      </c>
      <c r="J177">
        <f t="shared" si="87"/>
        <v>0</v>
      </c>
      <c r="K177">
        <f t="shared" si="88"/>
        <v>0</v>
      </c>
      <c r="L177">
        <f t="shared" si="74"/>
        <v>0</v>
      </c>
      <c r="M177">
        <f t="shared" si="67"/>
        <v>-5.610848073398742</v>
      </c>
      <c r="N177">
        <f t="shared" si="75"/>
        <v>-302.15880430358504</v>
      </c>
      <c r="O177">
        <f t="shared" si="76"/>
        <v>1092.148689288726</v>
      </c>
      <c r="P177">
        <f t="shared" si="68"/>
        <v>-260.97587191904296</v>
      </c>
      <c r="Q177">
        <f t="shared" si="69"/>
        <v>1001.0225894039497</v>
      </c>
      <c r="R177">
        <f t="shared" si="77"/>
        <v>-0.91126099884776346</v>
      </c>
      <c r="S177">
        <f t="shared" si="78"/>
        <v>0.4118293238454207</v>
      </c>
      <c r="U177">
        <f t="shared" si="95"/>
        <v>2</v>
      </c>
      <c r="V177" cm="1">
        <f t="array" ref="V177:AA177">INDEX(surface!$A$2:$I$40,U177+1,COLUMN(surface!$B$1:$G$1))</f>
        <v>-500</v>
      </c>
      <c r="W177">
        <v>500</v>
      </c>
      <c r="X177">
        <v>-500</v>
      </c>
      <c r="Y177">
        <v>1000</v>
      </c>
      <c r="Z177">
        <v>0</v>
      </c>
      <c r="AA177">
        <v>-500</v>
      </c>
      <c r="AB177">
        <f t="shared" si="70"/>
        <v>-104.31760860717009</v>
      </c>
      <c r="AC177">
        <f t="shared" si="71"/>
        <v>1684.297378577452</v>
      </c>
      <c r="AD177">
        <f t="shared" si="79"/>
        <v>-205.91466192271037</v>
      </c>
      <c r="AE177">
        <f t="shared" si="80"/>
        <v>-480.39608702238559</v>
      </c>
      <c r="AF177">
        <f t="shared" si="81"/>
        <v>2.0598298147826046</v>
      </c>
      <c r="AG177" t="b">
        <f t="shared" si="89"/>
        <v>0</v>
      </c>
      <c r="AH177">
        <f t="shared" si="82"/>
        <v>25000</v>
      </c>
      <c r="AI177">
        <f t="shared" si="90"/>
        <v>3</v>
      </c>
      <c r="AJ177" cm="1">
        <f t="array" ref="AJ177:AO177">INDEX(surface!$A$2:$I$40,AI177+1,COLUMN(surface!$B$1:$G$1))</f>
        <v>-500</v>
      </c>
      <c r="AK177">
        <v>1000</v>
      </c>
      <c r="AL177">
        <v>0</v>
      </c>
      <c r="AM177">
        <v>1000</v>
      </c>
      <c r="AN177">
        <v>-500</v>
      </c>
      <c r="AO177">
        <v>0</v>
      </c>
      <c r="AP177">
        <f t="shared" si="91"/>
        <v>-104.31760860717009</v>
      </c>
      <c r="AQ177">
        <f t="shared" si="92"/>
        <v>1184.297378577452</v>
      </c>
      <c r="AR177">
        <f t="shared" si="93"/>
        <v>-455.6304994238817</v>
      </c>
      <c r="AS177">
        <f t="shared" si="83"/>
        <v>101.12216961467975</v>
      </c>
      <c r="AT177">
        <f t="shared" si="84"/>
        <v>0.47897254086922098</v>
      </c>
      <c r="AU177" t="b">
        <f t="shared" si="94"/>
        <v>1</v>
      </c>
      <c r="AV177">
        <f t="shared" si="85"/>
        <v>101.12216961467975</v>
      </c>
    </row>
    <row r="178" spans="1:48" x14ac:dyDescent="0.25">
      <c r="A178">
        <f t="shared" ref="A178:A241" si="96">A177+B178</f>
        <v>17.59999999999998</v>
      </c>
      <c r="B178">
        <f t="shared" si="86"/>
        <v>0.1</v>
      </c>
      <c r="C178">
        <f>sim!C177+(sim!$G177*$B178*COS($E178))</f>
        <v>-296.2795105768422</v>
      </c>
      <c r="D178">
        <f>sim!D177+(sim!$G177*$B178*SIN($E178))</f>
        <v>1101.4809691962239</v>
      </c>
      <c r="E178">
        <f t="shared" ref="E178:E241" si="97">E177+H177*B178</f>
        <v>-2821.1282341646579</v>
      </c>
      <c r="F178">
        <f t="shared" si="72"/>
        <v>100.87784513848156</v>
      </c>
      <c r="G178">
        <v>100</v>
      </c>
      <c r="H178">
        <f t="shared" ref="H178:H241" si="98">RADIANS(M178)</f>
        <v>-7.6606439945644089E-2</v>
      </c>
      <c r="I178">
        <f t="shared" si="73"/>
        <v>-4.3892256924078055</v>
      </c>
      <c r="J178">
        <f t="shared" si="87"/>
        <v>0</v>
      </c>
      <c r="K178">
        <f t="shared" si="88"/>
        <v>0</v>
      </c>
      <c r="L178">
        <f t="shared" si="74"/>
        <v>0</v>
      </c>
      <c r="M178">
        <f t="shared" ref="M178:M241" si="99">I178+J178+L178</f>
        <v>-4.3892256924078055</v>
      </c>
      <c r="N178">
        <f t="shared" si="75"/>
        <v>-292.25065113954014</v>
      </c>
      <c r="O178">
        <f t="shared" si="76"/>
        <v>1092.3284672631751</v>
      </c>
      <c r="P178">
        <f t="shared" ref="P178:P241" si="100">N178+S178*100</f>
        <v>-251.96205676651959</v>
      </c>
      <c r="Q178">
        <f t="shared" ref="Q178:Q241" si="101">O178+R178*100</f>
        <v>1000.803447932687</v>
      </c>
      <c r="R178">
        <f t="shared" si="77"/>
        <v>-0.91525019330488078</v>
      </c>
      <c r="S178">
        <f t="shared" si="78"/>
        <v>0.40288594373020548</v>
      </c>
      <c r="U178">
        <f t="shared" si="95"/>
        <v>2</v>
      </c>
      <c r="V178" cm="1">
        <f t="array" ref="V178:AA178">INDEX(surface!$A$2:$I$40,U178+1,COLUMN(surface!$B$1:$G$1))</f>
        <v>-500</v>
      </c>
      <c r="W178">
        <v>500</v>
      </c>
      <c r="X178">
        <v>-500</v>
      </c>
      <c r="Y178">
        <v>1000</v>
      </c>
      <c r="Z178">
        <v>0</v>
      </c>
      <c r="AA178">
        <v>-500</v>
      </c>
      <c r="AB178">
        <f t="shared" ref="AB178:AB241" si="102">2*$N178-V178</f>
        <v>-84.501302279080278</v>
      </c>
      <c r="AC178">
        <f t="shared" ref="AC178:AC241" si="103">2*$O178-W178</f>
        <v>1684.6569345263501</v>
      </c>
      <c r="AD178">
        <f t="shared" si="79"/>
        <v>-201.44297186510275</v>
      </c>
      <c r="AE178">
        <f t="shared" si="80"/>
        <v>-515.6530082359493</v>
      </c>
      <c r="AF178">
        <f t="shared" si="81"/>
        <v>2.1285599654587419</v>
      </c>
      <c r="AG178" t="b">
        <f t="shared" si="89"/>
        <v>0</v>
      </c>
      <c r="AH178">
        <f t="shared" si="82"/>
        <v>25000</v>
      </c>
      <c r="AI178">
        <f t="shared" si="90"/>
        <v>3</v>
      </c>
      <c r="AJ178" cm="1">
        <f t="array" ref="AJ178:AO178">INDEX(surface!$A$2:$I$40,AI178+1,COLUMN(surface!$B$1:$G$1))</f>
        <v>-500</v>
      </c>
      <c r="AK178">
        <v>1000</v>
      </c>
      <c r="AL178">
        <v>0</v>
      </c>
      <c r="AM178">
        <v>1000</v>
      </c>
      <c r="AN178">
        <v>-500</v>
      </c>
      <c r="AO178">
        <v>0</v>
      </c>
      <c r="AP178">
        <f t="shared" si="91"/>
        <v>-84.501302279080278</v>
      </c>
      <c r="AQ178">
        <f t="shared" si="92"/>
        <v>1184.6569345263501</v>
      </c>
      <c r="AR178">
        <f t="shared" si="93"/>
        <v>-457.62509665244039</v>
      </c>
      <c r="AS178">
        <f t="shared" si="83"/>
        <v>100.87784513848156</v>
      </c>
      <c r="AT178">
        <f t="shared" si="84"/>
        <v>0.4967832294010931</v>
      </c>
      <c r="AU178" t="b">
        <f t="shared" si="94"/>
        <v>1</v>
      </c>
      <c r="AV178">
        <f t="shared" si="85"/>
        <v>100.87784513848156</v>
      </c>
    </row>
    <row r="179" spans="1:48" x14ac:dyDescent="0.25">
      <c r="A179">
        <f t="shared" si="96"/>
        <v>17.699999999999982</v>
      </c>
      <c r="B179">
        <f t="shared" si="86"/>
        <v>0.1</v>
      </c>
      <c r="C179">
        <f>sim!C178+(sim!$G178*$B179*COS($E179))</f>
        <v>-286.28053417015099</v>
      </c>
      <c r="D179">
        <f>sim!D178+(sim!$G178*$B179*SIN($E179))</f>
        <v>1101.6240454641104</v>
      </c>
      <c r="E179">
        <f t="shared" si="97"/>
        <v>-2821.1358948086527</v>
      </c>
      <c r="F179">
        <f t="shared" si="72"/>
        <v>100.66424370978831</v>
      </c>
      <c r="G179">
        <v>100</v>
      </c>
      <c r="H179">
        <f t="shared" si="98"/>
        <v>-5.7966198857338384E-2</v>
      </c>
      <c r="I179">
        <f t="shared" si="73"/>
        <v>-3.3212185489415447</v>
      </c>
      <c r="J179">
        <f t="shared" si="87"/>
        <v>0</v>
      </c>
      <c r="K179">
        <f t="shared" si="88"/>
        <v>0</v>
      </c>
      <c r="L179">
        <f t="shared" si="74"/>
        <v>0</v>
      </c>
      <c r="M179">
        <f t="shared" si="99"/>
        <v>-3.3212185489415447</v>
      </c>
      <c r="N179">
        <f t="shared" si="75"/>
        <v>-282.32190632321152</v>
      </c>
      <c r="O179">
        <f t="shared" si="76"/>
        <v>1092.4409487331902</v>
      </c>
      <c r="P179">
        <f t="shared" si="100"/>
        <v>-242.73562785381711</v>
      </c>
      <c r="Q179">
        <f t="shared" si="101"/>
        <v>1000.6099814239891</v>
      </c>
      <c r="R179">
        <f t="shared" si="77"/>
        <v>-0.91830967309201095</v>
      </c>
      <c r="S179">
        <f t="shared" si="78"/>
        <v>0.39586278469394426</v>
      </c>
      <c r="U179">
        <f t="shared" si="95"/>
        <v>2</v>
      </c>
      <c r="V179" cm="1">
        <f t="array" ref="V179:AA179">INDEX(surface!$A$2:$I$40,U179+1,COLUMN(surface!$B$1:$G$1))</f>
        <v>-500</v>
      </c>
      <c r="W179">
        <v>500</v>
      </c>
      <c r="X179">
        <v>-500</v>
      </c>
      <c r="Y179">
        <v>1000</v>
      </c>
      <c r="Z179">
        <v>0</v>
      </c>
      <c r="AA179">
        <v>-500</v>
      </c>
      <c r="AB179">
        <f t="shared" si="102"/>
        <v>-64.643812646423044</v>
      </c>
      <c r="AC179">
        <f t="shared" si="103"/>
        <v>1684.8818974663805</v>
      </c>
      <c r="AD179">
        <f t="shared" si="79"/>
        <v>-197.93139234697213</v>
      </c>
      <c r="AE179">
        <f t="shared" si="80"/>
        <v>-549.88269191579411</v>
      </c>
      <c r="AF179">
        <f t="shared" si="81"/>
        <v>2.194807087570676</v>
      </c>
      <c r="AG179" t="b">
        <f t="shared" si="89"/>
        <v>0</v>
      </c>
      <c r="AH179">
        <f t="shared" si="82"/>
        <v>25000</v>
      </c>
      <c r="AI179">
        <f t="shared" si="90"/>
        <v>3</v>
      </c>
      <c r="AJ179" cm="1">
        <f t="array" ref="AJ179:AO179">INDEX(surface!$A$2:$I$40,AI179+1,COLUMN(surface!$B$1:$G$1))</f>
        <v>-500</v>
      </c>
      <c r="AK179">
        <v>1000</v>
      </c>
      <c r="AL179">
        <v>0</v>
      </c>
      <c r="AM179">
        <v>1000</v>
      </c>
      <c r="AN179">
        <v>-500</v>
      </c>
      <c r="AO179">
        <v>0</v>
      </c>
      <c r="AP179">
        <f t="shared" si="91"/>
        <v>-64.643812646423044</v>
      </c>
      <c r="AQ179">
        <f t="shared" si="92"/>
        <v>1184.8818974663805</v>
      </c>
      <c r="AR179">
        <f t="shared" si="93"/>
        <v>-459.15483654600547</v>
      </c>
      <c r="AS179">
        <f t="shared" si="83"/>
        <v>100.66424370978831</v>
      </c>
      <c r="AT179">
        <f t="shared" si="84"/>
        <v>0.51505464302171022</v>
      </c>
      <c r="AU179" t="b">
        <f t="shared" si="94"/>
        <v>1</v>
      </c>
      <c r="AV179">
        <f t="shared" si="85"/>
        <v>100.66424370978831</v>
      </c>
    </row>
    <row r="180" spans="1:48" x14ac:dyDescent="0.25">
      <c r="A180">
        <f t="shared" si="96"/>
        <v>17.799999999999983</v>
      </c>
      <c r="B180">
        <f t="shared" si="86"/>
        <v>0.1</v>
      </c>
      <c r="C180">
        <f>sim!C179+(sim!$G179*$B180*COS($E180))</f>
        <v>-276.28089639570806</v>
      </c>
      <c r="D180">
        <f>sim!D179+(sim!$G179*$B180*SIN($E180))</f>
        <v>1101.7091593873749</v>
      </c>
      <c r="E180">
        <f t="shared" si="97"/>
        <v>-2821.1416914285383</v>
      </c>
      <c r="F180">
        <f t="shared" si="72"/>
        <v>100.48271336286604</v>
      </c>
      <c r="G180">
        <v>100</v>
      </c>
      <c r="H180">
        <f t="shared" si="98"/>
        <v>-4.2124687626932326E-2</v>
      </c>
      <c r="I180">
        <f t="shared" si="73"/>
        <v>-2.4135668143301814</v>
      </c>
      <c r="J180">
        <f t="shared" si="87"/>
        <v>0</v>
      </c>
      <c r="K180">
        <f t="shared" si="88"/>
        <v>0</v>
      </c>
      <c r="L180">
        <f t="shared" si="74"/>
        <v>0</v>
      </c>
      <c r="M180">
        <f t="shared" si="99"/>
        <v>-2.4135668143301814</v>
      </c>
      <c r="N180">
        <f t="shared" si="75"/>
        <v>-272.37556567813976</v>
      </c>
      <c r="O180">
        <f t="shared" si="76"/>
        <v>1092.5032704033376</v>
      </c>
      <c r="P180">
        <f t="shared" si="100"/>
        <v>-233.32225850245686</v>
      </c>
      <c r="Q180">
        <f t="shared" si="101"/>
        <v>1000.4443805629656</v>
      </c>
      <c r="R180">
        <f t="shared" si="77"/>
        <v>-0.92058889840372038</v>
      </c>
      <c r="S180">
        <f t="shared" si="78"/>
        <v>0.390533071756829</v>
      </c>
      <c r="U180">
        <f t="shared" si="95"/>
        <v>2</v>
      </c>
      <c r="V180" cm="1">
        <f t="array" ref="V180:AA180">INDEX(surface!$A$2:$I$40,U180+1,COLUMN(surface!$B$1:$G$1))</f>
        <v>-500</v>
      </c>
      <c r="W180">
        <v>500</v>
      </c>
      <c r="X180">
        <v>-500</v>
      </c>
      <c r="Y180">
        <v>1000</v>
      </c>
      <c r="Z180">
        <v>0</v>
      </c>
      <c r="AA180">
        <v>-500</v>
      </c>
      <c r="AB180">
        <f t="shared" si="102"/>
        <v>-44.751131356279529</v>
      </c>
      <c r="AC180">
        <f t="shared" si="103"/>
        <v>1685.0065408066753</v>
      </c>
      <c r="AD180">
        <f t="shared" si="79"/>
        <v>-195.26653587841449</v>
      </c>
      <c r="AE180">
        <f t="shared" si="80"/>
        <v>-582.8557189737669</v>
      </c>
      <c r="AF180">
        <f t="shared" si="81"/>
        <v>2.2581475493234122</v>
      </c>
      <c r="AG180" t="b">
        <f t="shared" si="89"/>
        <v>0</v>
      </c>
      <c r="AH180">
        <f t="shared" si="82"/>
        <v>25000</v>
      </c>
      <c r="AI180">
        <f t="shared" si="90"/>
        <v>3</v>
      </c>
      <c r="AJ180" cm="1">
        <f t="array" ref="AJ180:AO180">INDEX(surface!$A$2:$I$40,AI180+1,COLUMN(surface!$B$1:$G$1))</f>
        <v>-500</v>
      </c>
      <c r="AK180">
        <v>1000</v>
      </c>
      <c r="AL180">
        <v>0</v>
      </c>
      <c r="AM180">
        <v>1000</v>
      </c>
      <c r="AN180">
        <v>-500</v>
      </c>
      <c r="AO180">
        <v>0</v>
      </c>
      <c r="AP180">
        <f t="shared" si="91"/>
        <v>-44.751131356279529</v>
      </c>
      <c r="AQ180">
        <f t="shared" si="92"/>
        <v>1185.0065408066753</v>
      </c>
      <c r="AR180">
        <f t="shared" si="93"/>
        <v>-460.29444920186017</v>
      </c>
      <c r="AS180">
        <f t="shared" si="83"/>
        <v>100.48271336286604</v>
      </c>
      <c r="AT180">
        <f t="shared" si="84"/>
        <v>0.53373251405984257</v>
      </c>
      <c r="AU180" t="b">
        <f t="shared" si="94"/>
        <v>1</v>
      </c>
      <c r="AV180">
        <f t="shared" si="85"/>
        <v>100.48271336286604</v>
      </c>
    </row>
    <row r="181" spans="1:48" x14ac:dyDescent="0.25">
      <c r="A181">
        <f t="shared" si="96"/>
        <v>17.899999999999984</v>
      </c>
      <c r="B181">
        <f t="shared" si="86"/>
        <v>0.1</v>
      </c>
      <c r="C181">
        <f>sim!C180+(sim!$G180*$B181*COS($E181))</f>
        <v>-266.28098880370283</v>
      </c>
      <c r="D181">
        <f>sim!D180+(sim!$G180*$B181*SIN($E181))</f>
        <v>1101.7521495182893</v>
      </c>
      <c r="E181">
        <f t="shared" si="97"/>
        <v>-2821.1459038973007</v>
      </c>
      <c r="F181">
        <f t="shared" si="72"/>
        <v>100.33322399192423</v>
      </c>
      <c r="G181">
        <v>100</v>
      </c>
      <c r="H181">
        <f t="shared" si="98"/>
        <v>-2.9079279028583899E-2</v>
      </c>
      <c r="I181">
        <f t="shared" si="73"/>
        <v>-1.6661199596211418</v>
      </c>
      <c r="J181">
        <f t="shared" si="87"/>
        <v>0</v>
      </c>
      <c r="K181">
        <f t="shared" si="88"/>
        <v>0</v>
      </c>
      <c r="L181">
        <f t="shared" si="74"/>
        <v>0</v>
      </c>
      <c r="M181">
        <f t="shared" si="99"/>
        <v>-1.6661199596211418</v>
      </c>
      <c r="N181">
        <f t="shared" si="75"/>
        <v>-262.41447214100788</v>
      </c>
      <c r="O181">
        <f t="shared" si="76"/>
        <v>1092.529891177888</v>
      </c>
      <c r="P181">
        <f t="shared" si="100"/>
        <v>-223.74930551405825</v>
      </c>
      <c r="Q181">
        <f t="shared" si="101"/>
        <v>1000.3073077738745</v>
      </c>
      <c r="R181">
        <f t="shared" si="77"/>
        <v>-0.9222258340401347</v>
      </c>
      <c r="S181">
        <f t="shared" si="78"/>
        <v>0.38665166626949621</v>
      </c>
      <c r="U181">
        <f t="shared" si="95"/>
        <v>2</v>
      </c>
      <c r="V181" cm="1">
        <f t="array" ref="V181:AA181">INDEX(surface!$A$2:$I$40,U181+1,COLUMN(surface!$B$1:$G$1))</f>
        <v>-500</v>
      </c>
      <c r="W181">
        <v>500</v>
      </c>
      <c r="X181">
        <v>-500</v>
      </c>
      <c r="Y181">
        <v>1000</v>
      </c>
      <c r="Z181">
        <v>0</v>
      </c>
      <c r="AA181">
        <v>-500</v>
      </c>
      <c r="AB181">
        <f t="shared" si="102"/>
        <v>-24.828944282015755</v>
      </c>
      <c r="AC181">
        <f t="shared" si="103"/>
        <v>1685.059782355776</v>
      </c>
      <c r="AD181">
        <f t="shared" si="79"/>
        <v>-193.32583313474811</v>
      </c>
      <c r="AE181">
        <f t="shared" si="80"/>
        <v>-614.46916846698662</v>
      </c>
      <c r="AF181">
        <f t="shared" si="81"/>
        <v>2.3184184651186053</v>
      </c>
      <c r="AG181" t="b">
        <f t="shared" si="89"/>
        <v>0</v>
      </c>
      <c r="AH181">
        <f t="shared" si="82"/>
        <v>25000</v>
      </c>
      <c r="AI181">
        <f t="shared" si="90"/>
        <v>3</v>
      </c>
      <c r="AJ181" cm="1">
        <f t="array" ref="AJ181:AO181">INDEX(surface!$A$2:$I$40,AI181+1,COLUMN(surface!$B$1:$G$1))</f>
        <v>-500</v>
      </c>
      <c r="AK181">
        <v>1000</v>
      </c>
      <c r="AL181">
        <v>0</v>
      </c>
      <c r="AM181">
        <v>1000</v>
      </c>
      <c r="AN181">
        <v>-500</v>
      </c>
      <c r="AO181">
        <v>0</v>
      </c>
      <c r="AP181">
        <f t="shared" si="91"/>
        <v>-24.828944282015755</v>
      </c>
      <c r="AQ181">
        <f t="shared" si="92"/>
        <v>1185.059782355776</v>
      </c>
      <c r="AR181">
        <f t="shared" si="93"/>
        <v>-461.11291702006736</v>
      </c>
      <c r="AS181">
        <f t="shared" si="83"/>
        <v>100.33322399192423</v>
      </c>
      <c r="AT181">
        <f t="shared" si="84"/>
        <v>0.5527590721953205</v>
      </c>
      <c r="AU181" t="b">
        <f t="shared" si="94"/>
        <v>1</v>
      </c>
      <c r="AV181">
        <f t="shared" si="85"/>
        <v>100.33322399192423</v>
      </c>
    </row>
    <row r="182" spans="1:48" x14ac:dyDescent="0.25">
      <c r="A182">
        <f t="shared" si="96"/>
        <v>17.999999999999986</v>
      </c>
      <c r="B182">
        <f t="shared" si="86"/>
        <v>0.1</v>
      </c>
      <c r="C182">
        <f>sim!C181+(sim!$G181*$B182*COS($E182))</f>
        <v>-256.2809984794755</v>
      </c>
      <c r="D182">
        <f>sim!D181+(sim!$G181*$B182*SIN($E182))</f>
        <v>1101.7660604981093</v>
      </c>
      <c r="E182">
        <f t="shared" si="97"/>
        <v>-2821.1488118252037</v>
      </c>
      <c r="F182">
        <f t="shared" si="72"/>
        <v>100.21440360202742</v>
      </c>
      <c r="G182">
        <v>100</v>
      </c>
      <c r="H182">
        <f t="shared" si="98"/>
        <v>-1.8710243917570094E-2</v>
      </c>
      <c r="I182">
        <f t="shared" si="73"/>
        <v>-1.0720180101370858</v>
      </c>
      <c r="J182">
        <f t="shared" si="87"/>
        <v>0</v>
      </c>
      <c r="K182">
        <f t="shared" si="88"/>
        <v>0</v>
      </c>
      <c r="L182">
        <f t="shared" si="74"/>
        <v>0</v>
      </c>
      <c r="M182">
        <f t="shared" si="99"/>
        <v>-1.0720180101370858</v>
      </c>
      <c r="N182">
        <f t="shared" si="75"/>
        <v>-252.44131578904867</v>
      </c>
      <c r="O182">
        <f t="shared" si="76"/>
        <v>1092.5325976137501</v>
      </c>
      <c r="P182">
        <f t="shared" si="100"/>
        <v>-214.04448888478055</v>
      </c>
      <c r="Q182">
        <f t="shared" si="101"/>
        <v>1000.1979687701593</v>
      </c>
      <c r="R182">
        <f t="shared" si="77"/>
        <v>-0.92334628843590805</v>
      </c>
      <c r="S182">
        <f t="shared" si="78"/>
        <v>0.38396826904268139</v>
      </c>
      <c r="U182">
        <f t="shared" si="95"/>
        <v>2</v>
      </c>
      <c r="V182" cm="1">
        <f t="array" ref="V182:AA182">INDEX(surface!$A$2:$I$40,U182+1,COLUMN(surface!$B$1:$G$1))</f>
        <v>-500</v>
      </c>
      <c r="W182">
        <v>500</v>
      </c>
      <c r="X182">
        <v>-500</v>
      </c>
      <c r="Y182">
        <v>1000</v>
      </c>
      <c r="Z182">
        <v>0</v>
      </c>
      <c r="AA182">
        <v>-500</v>
      </c>
      <c r="AB182">
        <f t="shared" si="102"/>
        <v>-4.8826315780973459</v>
      </c>
      <c r="AC182">
        <f t="shared" si="103"/>
        <v>1685.0651952275002</v>
      </c>
      <c r="AD182">
        <f t="shared" si="79"/>
        <v>-191.98413452134071</v>
      </c>
      <c r="AE182">
        <f t="shared" si="80"/>
        <v>-644.73734985489909</v>
      </c>
      <c r="AF182">
        <f t="shared" si="81"/>
        <v>2.3756968732365493</v>
      </c>
      <c r="AG182" t="b">
        <f t="shared" si="89"/>
        <v>0</v>
      </c>
      <c r="AH182">
        <f t="shared" si="82"/>
        <v>25000</v>
      </c>
      <c r="AI182">
        <f t="shared" si="90"/>
        <v>3</v>
      </c>
      <c r="AJ182" cm="1">
        <f t="array" ref="AJ182:AO182">INDEX(surface!$A$2:$I$40,AI182+1,COLUMN(surface!$B$1:$G$1))</f>
        <v>-500</v>
      </c>
      <c r="AK182">
        <v>1000</v>
      </c>
      <c r="AL182">
        <v>0</v>
      </c>
      <c r="AM182">
        <v>1000</v>
      </c>
      <c r="AN182">
        <v>-500</v>
      </c>
      <c r="AO182">
        <v>0</v>
      </c>
      <c r="AP182">
        <f t="shared" si="91"/>
        <v>-4.8826315780973459</v>
      </c>
      <c r="AQ182">
        <f t="shared" si="92"/>
        <v>1185.0651952275002</v>
      </c>
      <c r="AR182">
        <f t="shared" si="93"/>
        <v>-461.67314421795402</v>
      </c>
      <c r="AS182">
        <f t="shared" si="83"/>
        <v>100.21440360202742</v>
      </c>
      <c r="AT182">
        <f t="shared" si="84"/>
        <v>0.57207567059033282</v>
      </c>
      <c r="AU182" t="b">
        <f t="shared" si="94"/>
        <v>1</v>
      </c>
      <c r="AV182">
        <f t="shared" si="85"/>
        <v>100.21440360202742</v>
      </c>
    </row>
    <row r="183" spans="1:48" x14ac:dyDescent="0.25">
      <c r="A183">
        <f t="shared" si="96"/>
        <v>18.099999999999987</v>
      </c>
      <c r="B183">
        <f t="shared" si="86"/>
        <v>0.1</v>
      </c>
      <c r="C183">
        <f>sim!C182+(sim!$G182*$B183*COS($E183))</f>
        <v>-246.28099963112012</v>
      </c>
      <c r="D183">
        <f>sim!D182+(sim!$G182*$B183*SIN($E183))</f>
        <v>1101.7612612386833</v>
      </c>
      <c r="E183">
        <f t="shared" si="97"/>
        <v>-2821.1506828495953</v>
      </c>
      <c r="F183">
        <f t="shared" si="72"/>
        <v>100.12371644341303</v>
      </c>
      <c r="G183">
        <v>100</v>
      </c>
      <c r="H183">
        <f t="shared" si="98"/>
        <v>-1.0796296382073181E-2</v>
      </c>
      <c r="I183">
        <f t="shared" si="73"/>
        <v>-0.61858221706515337</v>
      </c>
      <c r="J183">
        <f t="shared" si="87"/>
        <v>0</v>
      </c>
      <c r="K183">
        <f t="shared" si="88"/>
        <v>0</v>
      </c>
      <c r="L183">
        <f t="shared" si="74"/>
        <v>0</v>
      </c>
      <c r="M183">
        <f t="shared" si="99"/>
        <v>-0.61858221706515337</v>
      </c>
      <c r="N183">
        <f t="shared" si="75"/>
        <v>-242.45859968573839</v>
      </c>
      <c r="O183">
        <f t="shared" si="76"/>
        <v>1092.5206303804819</v>
      </c>
      <c r="P183">
        <f t="shared" si="100"/>
        <v>-204.23460023192098</v>
      </c>
      <c r="Q183">
        <f t="shared" si="101"/>
        <v>1000.1143217984669</v>
      </c>
      <c r="R183">
        <f t="shared" si="77"/>
        <v>-0.92406308582014929</v>
      </c>
      <c r="S183">
        <f t="shared" si="78"/>
        <v>0.38223999453817403</v>
      </c>
      <c r="U183">
        <f t="shared" si="95"/>
        <v>2</v>
      </c>
      <c r="V183" cm="1">
        <f t="array" ref="V183:AA183">INDEX(surface!$A$2:$I$40,U183+1,COLUMN(surface!$B$1:$G$1))</f>
        <v>-500</v>
      </c>
      <c r="W183">
        <v>500</v>
      </c>
      <c r="X183">
        <v>-500</v>
      </c>
      <c r="Y183">
        <v>1000</v>
      </c>
      <c r="Z183">
        <v>0</v>
      </c>
      <c r="AA183">
        <v>-500</v>
      </c>
      <c r="AB183">
        <f t="shared" si="102"/>
        <v>15.082800628523216</v>
      </c>
      <c r="AC183">
        <f t="shared" si="103"/>
        <v>1685.0412607609637</v>
      </c>
      <c r="AD183">
        <f t="shared" si="79"/>
        <v>-191.11999726908701</v>
      </c>
      <c r="AE183">
        <f t="shared" si="80"/>
        <v>-673.76884678283238</v>
      </c>
      <c r="AF183">
        <f t="shared" si="81"/>
        <v>2.4302511001362186</v>
      </c>
      <c r="AG183" t="b">
        <f t="shared" si="89"/>
        <v>0</v>
      </c>
      <c r="AH183">
        <f t="shared" si="82"/>
        <v>25000</v>
      </c>
      <c r="AI183">
        <f t="shared" si="90"/>
        <v>3</v>
      </c>
      <c r="AJ183" cm="1">
        <f t="array" ref="AJ183:AO183">INDEX(surface!$A$2:$I$40,AI183+1,COLUMN(surface!$B$1:$G$1))</f>
        <v>-500</v>
      </c>
      <c r="AK183">
        <v>1000</v>
      </c>
      <c r="AL183">
        <v>0</v>
      </c>
      <c r="AM183">
        <v>1000</v>
      </c>
      <c r="AN183">
        <v>-500</v>
      </c>
      <c r="AO183">
        <v>0</v>
      </c>
      <c r="AP183">
        <f t="shared" si="91"/>
        <v>15.082800628523216</v>
      </c>
      <c r="AQ183">
        <f t="shared" si="92"/>
        <v>1185.0412607609637</v>
      </c>
      <c r="AR183">
        <f t="shared" si="93"/>
        <v>-462.03154291007462</v>
      </c>
      <c r="AS183">
        <f t="shared" si="83"/>
        <v>100.12371644341303</v>
      </c>
      <c r="AT183">
        <f t="shared" si="84"/>
        <v>0.591625378281467</v>
      </c>
      <c r="AU183" t="b">
        <f t="shared" si="94"/>
        <v>1</v>
      </c>
      <c r="AV183">
        <f t="shared" si="85"/>
        <v>100.12371644341303</v>
      </c>
    </row>
    <row r="184" spans="1:48" x14ac:dyDescent="0.25">
      <c r="A184">
        <f t="shared" si="96"/>
        <v>18.199999999999989</v>
      </c>
      <c r="B184">
        <f t="shared" si="86"/>
        <v>0.1</v>
      </c>
      <c r="C184">
        <f>sim!C183+(sim!$G183*$B184*COS($E184))</f>
        <v>-236.28101179218601</v>
      </c>
      <c r="D184">
        <f>sim!D183+(sim!$G183*$B184*SIN($E184))</f>
        <v>1101.7456656890122</v>
      </c>
      <c r="E184">
        <f t="shared" si="97"/>
        <v>-2821.1517624792336</v>
      </c>
      <c r="F184">
        <f t="shared" si="72"/>
        <v>100.05775271964472</v>
      </c>
      <c r="G184">
        <v>100</v>
      </c>
      <c r="H184">
        <f t="shared" si="98"/>
        <v>-5.0398755489083008E-3</v>
      </c>
      <c r="I184">
        <f t="shared" si="73"/>
        <v>-0.28876359822362474</v>
      </c>
      <c r="J184">
        <f t="shared" si="87"/>
        <v>0</v>
      </c>
      <c r="K184">
        <f t="shared" si="88"/>
        <v>0</v>
      </c>
      <c r="L184">
        <f t="shared" si="74"/>
        <v>0</v>
      </c>
      <c r="M184">
        <f t="shared" si="99"/>
        <v>-0.28876359822362474</v>
      </c>
      <c r="N184">
        <f t="shared" si="75"/>
        <v>-232.46859053151204</v>
      </c>
      <c r="O184">
        <f t="shared" si="76"/>
        <v>1092.5009134407817</v>
      </c>
      <c r="P184">
        <f t="shared" si="100"/>
        <v>-194.34437792477223</v>
      </c>
      <c r="Q184">
        <f t="shared" si="101"/>
        <v>1000.0533909584777</v>
      </c>
      <c r="R184">
        <f t="shared" si="77"/>
        <v>-0.9244752248230399</v>
      </c>
      <c r="S184">
        <f t="shared" si="78"/>
        <v>0.3812421260673981</v>
      </c>
      <c r="U184">
        <f t="shared" si="95"/>
        <v>3</v>
      </c>
      <c r="V184" cm="1">
        <f t="array" ref="V184:AA184">INDEX(surface!$A$2:$I$40,U184+1,COLUMN(surface!$B$1:$G$1))</f>
        <v>-500</v>
      </c>
      <c r="W184">
        <v>1000</v>
      </c>
      <c r="X184">
        <v>0</v>
      </c>
      <c r="Y184">
        <v>1000</v>
      </c>
      <c r="Z184">
        <v>-500</v>
      </c>
      <c r="AA184">
        <v>0</v>
      </c>
      <c r="AB184">
        <f t="shared" si="102"/>
        <v>35.06281893697593</v>
      </c>
      <c r="AC184">
        <f t="shared" si="103"/>
        <v>1185.0018268815634</v>
      </c>
      <c r="AD184">
        <f t="shared" si="79"/>
        <v>-462.23761241151993</v>
      </c>
      <c r="AE184">
        <f t="shared" si="80"/>
        <v>100.05775271964472</v>
      </c>
      <c r="AF184">
        <f t="shared" si="81"/>
        <v>0.61135527968970249</v>
      </c>
      <c r="AG184" t="b">
        <f t="shared" si="89"/>
        <v>1</v>
      </c>
      <c r="AH184">
        <f t="shared" si="82"/>
        <v>100.05775271964472</v>
      </c>
      <c r="AI184">
        <f t="shared" si="90"/>
        <v>4</v>
      </c>
      <c r="AJ184" cm="1">
        <f t="array" ref="AJ184:AO184">INDEX(surface!$A$2:$I$40,AI184+1,COLUMN(surface!$B$1:$G$1))</f>
        <v>0</v>
      </c>
      <c r="AK184">
        <v>1000</v>
      </c>
      <c r="AL184">
        <v>0</v>
      </c>
      <c r="AM184">
        <v>1</v>
      </c>
      <c r="AN184">
        <v>0</v>
      </c>
      <c r="AO184">
        <v>999</v>
      </c>
      <c r="AP184">
        <f t="shared" si="91"/>
        <v>-464.93718106302407</v>
      </c>
      <c r="AQ184">
        <f t="shared" si="92"/>
        <v>1185.0018268815634</v>
      </c>
      <c r="AR184">
        <f t="shared" si="93"/>
        <v>380.86088394133071</v>
      </c>
      <c r="AS184">
        <f t="shared" si="83"/>
        <v>609.76627354767959</v>
      </c>
      <c r="AT184">
        <f t="shared" si="84"/>
        <v>0.47168458397068735</v>
      </c>
      <c r="AU184" t="b">
        <f t="shared" si="94"/>
        <v>1</v>
      </c>
      <c r="AV184">
        <f t="shared" si="85"/>
        <v>609.76627354767959</v>
      </c>
    </row>
    <row r="185" spans="1:48" x14ac:dyDescent="0.25">
      <c r="A185">
        <f t="shared" si="96"/>
        <v>18.29999999999999</v>
      </c>
      <c r="B185">
        <f t="shared" si="86"/>
        <v>0.1</v>
      </c>
      <c r="C185">
        <f>sim!C184+(sim!$G184*$B185*COS($E185))</f>
        <v>-226.2810330832302</v>
      </c>
      <c r="D185">
        <f>sim!D184+(sim!$G184*$B185*SIN($E185))</f>
        <v>1101.7250302721138</v>
      </c>
      <c r="E185">
        <f t="shared" si="97"/>
        <v>-2821.1522664667887</v>
      </c>
      <c r="F185">
        <f t="shared" si="72"/>
        <v>100.01258065105736</v>
      </c>
      <c r="G185">
        <v>100</v>
      </c>
      <c r="H185">
        <f t="shared" si="98"/>
        <v>-1.0978689149774084E-3</v>
      </c>
      <c r="I185">
        <f t="shared" si="73"/>
        <v>-6.2903255286812509E-2</v>
      </c>
      <c r="J185">
        <f t="shared" si="87"/>
        <v>0</v>
      </c>
      <c r="K185">
        <f t="shared" si="88"/>
        <v>0</v>
      </c>
      <c r="L185">
        <f t="shared" si="74"/>
        <v>0</v>
      </c>
      <c r="M185">
        <f t="shared" si="99"/>
        <v>-6.2903255286812509E-2</v>
      </c>
      <c r="N185">
        <f t="shared" si="75"/>
        <v>-222.4732715466254</v>
      </c>
      <c r="O185">
        <f t="shared" si="76"/>
        <v>1092.4783577851945</v>
      </c>
      <c r="P185">
        <f t="shared" si="100"/>
        <v>-184.39565618057753</v>
      </c>
      <c r="Q185">
        <f t="shared" si="101"/>
        <v>1000.0116329159999</v>
      </c>
      <c r="R185">
        <f t="shared" si="77"/>
        <v>-0.92466724869194517</v>
      </c>
      <c r="S185">
        <f t="shared" si="78"/>
        <v>0.38077615366047873</v>
      </c>
      <c r="U185">
        <f t="shared" si="95"/>
        <v>3</v>
      </c>
      <c r="V185" cm="1">
        <f t="array" ref="V185:AA185">INDEX(surface!$A$2:$I$40,U185+1,COLUMN(surface!$B$1:$G$1))</f>
        <v>-500</v>
      </c>
      <c r="W185">
        <v>1000</v>
      </c>
      <c r="X185">
        <v>0</v>
      </c>
      <c r="Y185">
        <v>1000</v>
      </c>
      <c r="Z185">
        <v>-500</v>
      </c>
      <c r="AA185">
        <v>0</v>
      </c>
      <c r="AB185">
        <f t="shared" si="102"/>
        <v>55.053456906749204</v>
      </c>
      <c r="AC185">
        <f t="shared" si="103"/>
        <v>1184.956715570389</v>
      </c>
      <c r="AD185">
        <f t="shared" si="79"/>
        <v>-462.33362434597257</v>
      </c>
      <c r="AE185">
        <f t="shared" si="80"/>
        <v>100.01258065105736</v>
      </c>
      <c r="AF185">
        <f t="shared" si="81"/>
        <v>0.63121826846268547</v>
      </c>
      <c r="AG185" t="b">
        <f t="shared" si="89"/>
        <v>1</v>
      </c>
      <c r="AH185">
        <f t="shared" si="82"/>
        <v>100.01258065105736</v>
      </c>
      <c r="AI185">
        <f t="shared" si="90"/>
        <v>4</v>
      </c>
      <c r="AJ185" cm="1">
        <f t="array" ref="AJ185:AO185">INDEX(surface!$A$2:$I$40,AI185+1,COLUMN(surface!$B$1:$G$1))</f>
        <v>0</v>
      </c>
      <c r="AK185">
        <v>1000</v>
      </c>
      <c r="AL185">
        <v>0</v>
      </c>
      <c r="AM185">
        <v>1</v>
      </c>
      <c r="AN185">
        <v>0</v>
      </c>
      <c r="AO185">
        <v>999</v>
      </c>
      <c r="AP185">
        <f t="shared" si="91"/>
        <v>-444.9465430932508</v>
      </c>
      <c r="AQ185">
        <f t="shared" si="92"/>
        <v>1184.956715570389</v>
      </c>
      <c r="AR185">
        <f t="shared" si="93"/>
        <v>380.39537750681825</v>
      </c>
      <c r="AS185">
        <f t="shared" si="83"/>
        <v>584.26261573353406</v>
      </c>
      <c r="AT185">
        <f t="shared" si="84"/>
        <v>0.44821836598467629</v>
      </c>
      <c r="AU185" t="b">
        <f t="shared" si="94"/>
        <v>1</v>
      </c>
      <c r="AV185">
        <f t="shared" si="85"/>
        <v>584.26261573353406</v>
      </c>
    </row>
    <row r="186" spans="1:48" x14ac:dyDescent="0.25">
      <c r="A186">
        <f t="shared" si="96"/>
        <v>18.399999999999991</v>
      </c>
      <c r="B186">
        <f t="shared" si="86"/>
        <v>0.1</v>
      </c>
      <c r="C186">
        <f>sim!C185+(sim!$G185*$B186*COS($E186))</f>
        <v>-216.28105670003833</v>
      </c>
      <c r="D186">
        <f>sim!D185+(sim!$G185*$B186*SIN($E186))</f>
        <v>1101.7032969887625</v>
      </c>
      <c r="E186">
        <f t="shared" si="97"/>
        <v>-2821.1523762536804</v>
      </c>
      <c r="F186">
        <f t="shared" si="72"/>
        <v>99.984105033104143</v>
      </c>
      <c r="G186">
        <v>100</v>
      </c>
      <c r="H186">
        <f t="shared" si="98"/>
        <v>1.3870975341410373E-3</v>
      </c>
      <c r="I186">
        <f t="shared" si="73"/>
        <v>7.947483447928505E-2</v>
      </c>
      <c r="J186">
        <f t="shared" si="87"/>
        <v>0</v>
      </c>
      <c r="K186">
        <f t="shared" si="88"/>
        <v>0</v>
      </c>
      <c r="L186">
        <f t="shared" si="74"/>
        <v>0</v>
      </c>
      <c r="M186">
        <f t="shared" si="99"/>
        <v>7.947483447928505E-2</v>
      </c>
      <c r="N186">
        <f t="shared" si="75"/>
        <v>-212.4743103498102</v>
      </c>
      <c r="O186">
        <f t="shared" si="76"/>
        <v>1092.4562065152663</v>
      </c>
      <c r="P186">
        <f t="shared" si="100"/>
        <v>-174.4068468475287</v>
      </c>
      <c r="Q186">
        <f t="shared" si="101"/>
        <v>999.9853017803041</v>
      </c>
      <c r="R186">
        <f t="shared" si="77"/>
        <v>-0.92470904734962256</v>
      </c>
      <c r="S186">
        <f t="shared" si="78"/>
        <v>0.38067463502281501</v>
      </c>
      <c r="U186">
        <f t="shared" si="95"/>
        <v>3</v>
      </c>
      <c r="V186" cm="1">
        <f t="array" ref="V186:AA186">INDEX(surface!$A$2:$I$40,U186+1,COLUMN(surface!$B$1:$G$1))</f>
        <v>-500</v>
      </c>
      <c r="W186">
        <v>1000</v>
      </c>
      <c r="X186">
        <v>0</v>
      </c>
      <c r="Y186">
        <v>1000</v>
      </c>
      <c r="Z186">
        <v>-500</v>
      </c>
      <c r="AA186">
        <v>0</v>
      </c>
      <c r="AB186">
        <f t="shared" si="102"/>
        <v>75.051379300379608</v>
      </c>
      <c r="AC186">
        <f t="shared" si="103"/>
        <v>1184.9124130305327</v>
      </c>
      <c r="AD186">
        <f t="shared" si="79"/>
        <v>-462.35452367481128</v>
      </c>
      <c r="AE186">
        <f t="shared" si="80"/>
        <v>99.984105033104143</v>
      </c>
      <c r="AF186">
        <f t="shared" si="81"/>
        <v>0.65117420468349896</v>
      </c>
      <c r="AG186" t="b">
        <f t="shared" si="89"/>
        <v>1</v>
      </c>
      <c r="AH186">
        <f t="shared" si="82"/>
        <v>99.984105033104143</v>
      </c>
      <c r="AI186">
        <f t="shared" si="90"/>
        <v>4</v>
      </c>
      <c r="AJ186" cm="1">
        <f t="array" ref="AJ186:AO186">INDEX(surface!$A$2:$I$40,AI186+1,COLUMN(surface!$B$1:$G$1))</f>
        <v>0</v>
      </c>
      <c r="AK186">
        <v>1000</v>
      </c>
      <c r="AL186">
        <v>0</v>
      </c>
      <c r="AM186">
        <v>1</v>
      </c>
      <c r="AN186">
        <v>0</v>
      </c>
      <c r="AO186">
        <v>999</v>
      </c>
      <c r="AP186">
        <f t="shared" si="91"/>
        <v>-424.94862069962039</v>
      </c>
      <c r="AQ186">
        <f t="shared" si="92"/>
        <v>1184.9124130305327</v>
      </c>
      <c r="AR186">
        <f t="shared" si="93"/>
        <v>380.2939603877922</v>
      </c>
      <c r="AS186">
        <f t="shared" si="83"/>
        <v>558.15200384201046</v>
      </c>
      <c r="AT186">
        <f t="shared" si="84"/>
        <v>0.4240960973310931</v>
      </c>
      <c r="AU186" t="b">
        <f t="shared" si="94"/>
        <v>1</v>
      </c>
      <c r="AV186">
        <f t="shared" si="85"/>
        <v>558.15200384201046</v>
      </c>
    </row>
    <row r="187" spans="1:48" x14ac:dyDescent="0.25">
      <c r="A187">
        <f t="shared" si="96"/>
        <v>18.499999999999993</v>
      </c>
      <c r="B187">
        <f t="shared" si="86"/>
        <v>0.1</v>
      </c>
      <c r="C187">
        <f>sim!C186+(sim!$G186*$B187*COS($E187))</f>
        <v>-206.28107739842986</v>
      </c>
      <c r="D187">
        <f>sim!D186+(sim!$G186*$B187*SIN($E187))</f>
        <v>1101.6829507998764</v>
      </c>
      <c r="E187">
        <f t="shared" si="97"/>
        <v>-2821.1522375439267</v>
      </c>
      <c r="F187">
        <f t="shared" si="72"/>
        <v>99.968382770147926</v>
      </c>
      <c r="G187">
        <v>100</v>
      </c>
      <c r="H187">
        <f t="shared" si="98"/>
        <v>2.7591238063926593E-3</v>
      </c>
      <c r="I187">
        <f t="shared" si="73"/>
        <v>0.15808614926037023</v>
      </c>
      <c r="J187">
        <f t="shared" si="87"/>
        <v>0</v>
      </c>
      <c r="K187">
        <f t="shared" si="88"/>
        <v>0</v>
      </c>
      <c r="L187">
        <f t="shared" si="74"/>
        <v>0</v>
      </c>
      <c r="M187">
        <f t="shared" si="99"/>
        <v>0.15808614926037023</v>
      </c>
      <c r="N187">
        <f t="shared" si="75"/>
        <v>-202.47304842318613</v>
      </c>
      <c r="O187">
        <f t="shared" si="76"/>
        <v>1092.4363884481857</v>
      </c>
      <c r="P187">
        <f t="shared" si="100"/>
        <v>-164.39275867074875</v>
      </c>
      <c r="Q187">
        <f t="shared" si="101"/>
        <v>999.9707649312785</v>
      </c>
      <c r="R187">
        <f t="shared" si="77"/>
        <v>-0.92465623516907147</v>
      </c>
      <c r="S187">
        <f t="shared" si="78"/>
        <v>0.38080289752437391</v>
      </c>
      <c r="U187">
        <f t="shared" si="95"/>
        <v>3</v>
      </c>
      <c r="V187" cm="1">
        <f t="array" ref="V187:AA187">INDEX(surface!$A$2:$I$40,U187+1,COLUMN(surface!$B$1:$G$1))</f>
        <v>-500</v>
      </c>
      <c r="W187">
        <v>1000</v>
      </c>
      <c r="X187">
        <v>0</v>
      </c>
      <c r="Y187">
        <v>1000</v>
      </c>
      <c r="Z187">
        <v>-500</v>
      </c>
      <c r="AA187">
        <v>0</v>
      </c>
      <c r="AB187">
        <f t="shared" si="102"/>
        <v>95.053903153627743</v>
      </c>
      <c r="AC187">
        <f t="shared" si="103"/>
        <v>1184.8727768963713</v>
      </c>
      <c r="AD187">
        <f t="shared" si="79"/>
        <v>-462.32811758453573</v>
      </c>
      <c r="AE187">
        <f t="shared" si="80"/>
        <v>99.968382770147926</v>
      </c>
      <c r="AF187">
        <f t="shared" si="81"/>
        <v>0.67119040279302389</v>
      </c>
      <c r="AG187" t="b">
        <f t="shared" si="89"/>
        <v>1</v>
      </c>
      <c r="AH187">
        <f t="shared" si="82"/>
        <v>99.968382770147926</v>
      </c>
      <c r="AI187">
        <f t="shared" si="90"/>
        <v>4</v>
      </c>
      <c r="AJ187" cm="1">
        <f t="array" ref="AJ187:AO187">INDEX(surface!$A$2:$I$40,AI187+1,COLUMN(surface!$B$1:$G$1))</f>
        <v>0</v>
      </c>
      <c r="AK187">
        <v>1000</v>
      </c>
      <c r="AL187">
        <v>0</v>
      </c>
      <c r="AM187">
        <v>1</v>
      </c>
      <c r="AN187">
        <v>0</v>
      </c>
      <c r="AO187">
        <v>999</v>
      </c>
      <c r="AP187">
        <f t="shared" si="91"/>
        <v>-404.94609684637226</v>
      </c>
      <c r="AQ187">
        <f t="shared" si="92"/>
        <v>1184.8727768963713</v>
      </c>
      <c r="AR187">
        <f t="shared" si="93"/>
        <v>380.42209462684951</v>
      </c>
      <c r="AS187">
        <f t="shared" si="83"/>
        <v>531.70038815218447</v>
      </c>
      <c r="AT187">
        <f t="shared" si="84"/>
        <v>0.3996032939925398</v>
      </c>
      <c r="AU187" t="b">
        <f t="shared" si="94"/>
        <v>1</v>
      </c>
      <c r="AV187">
        <f t="shared" si="85"/>
        <v>531.70038815218447</v>
      </c>
    </row>
    <row r="188" spans="1:48" x14ac:dyDescent="0.25">
      <c r="A188">
        <f t="shared" si="96"/>
        <v>18.599999999999994</v>
      </c>
      <c r="B188">
        <f t="shared" si="86"/>
        <v>0.1</v>
      </c>
      <c r="C188">
        <f>sim!C187+(sim!$G187*$B188*COS($E188))</f>
        <v>-196.28109286369346</v>
      </c>
      <c r="D188">
        <f>sim!D187+(sim!$G187*$B188*SIN($E188))</f>
        <v>1101.6653637298273</v>
      </c>
      <c r="E188">
        <f t="shared" si="97"/>
        <v>-2821.1519616315459</v>
      </c>
      <c r="F188">
        <f t="shared" si="72"/>
        <v>99.961861750635393</v>
      </c>
      <c r="G188">
        <v>100</v>
      </c>
      <c r="H188">
        <f t="shared" si="98"/>
        <v>3.3281901117951543E-3</v>
      </c>
      <c r="I188">
        <f t="shared" si="73"/>
        <v>0.19069124682303595</v>
      </c>
      <c r="J188">
        <f t="shared" si="87"/>
        <v>0</v>
      </c>
      <c r="K188">
        <f t="shared" si="88"/>
        <v>0</v>
      </c>
      <c r="L188">
        <f t="shared" si="74"/>
        <v>0</v>
      </c>
      <c r="M188">
        <f t="shared" si="99"/>
        <v>0.19069124682303595</v>
      </c>
      <c r="N188">
        <f t="shared" si="75"/>
        <v>-192.47051279239702</v>
      </c>
      <c r="O188">
        <f t="shared" si="76"/>
        <v>1092.4198524124236</v>
      </c>
      <c r="P188">
        <f t="shared" si="100"/>
        <v>-154.36471207943265</v>
      </c>
      <c r="Q188">
        <f t="shared" si="101"/>
        <v>999.96473923838732</v>
      </c>
      <c r="R188">
        <f t="shared" si="77"/>
        <v>-0.92455113174036208</v>
      </c>
      <c r="S188">
        <f t="shared" si="78"/>
        <v>0.38105800712964377</v>
      </c>
      <c r="U188">
        <f t="shared" si="95"/>
        <v>3</v>
      </c>
      <c r="V188" cm="1">
        <f t="array" ref="V188:AA188">INDEX(surface!$A$2:$I$40,U188+1,COLUMN(surface!$B$1:$G$1))</f>
        <v>-500</v>
      </c>
      <c r="W188">
        <v>1000</v>
      </c>
      <c r="X188">
        <v>0</v>
      </c>
      <c r="Y188">
        <v>1000</v>
      </c>
      <c r="Z188">
        <v>-500</v>
      </c>
      <c r="AA188">
        <v>0</v>
      </c>
      <c r="AB188">
        <f t="shared" si="102"/>
        <v>115.05897441520597</v>
      </c>
      <c r="AC188">
        <f t="shared" si="103"/>
        <v>1184.8397048248471</v>
      </c>
      <c r="AD188">
        <f t="shared" si="79"/>
        <v>-462.27556587018103</v>
      </c>
      <c r="AE188">
        <f t="shared" si="80"/>
        <v>99.961861750635393</v>
      </c>
      <c r="AF188">
        <f t="shared" si="81"/>
        <v>0.69124151007053813</v>
      </c>
      <c r="AG188" t="b">
        <f t="shared" si="89"/>
        <v>1</v>
      </c>
      <c r="AH188">
        <f t="shared" si="82"/>
        <v>99.961861750635393</v>
      </c>
      <c r="AI188">
        <f t="shared" si="90"/>
        <v>4</v>
      </c>
      <c r="AJ188" cm="1">
        <f t="array" ref="AJ188:AO188">INDEX(surface!$A$2:$I$40,AI188+1,COLUMN(surface!$B$1:$G$1))</f>
        <v>0</v>
      </c>
      <c r="AK188">
        <v>1000</v>
      </c>
      <c r="AL188">
        <v>0</v>
      </c>
      <c r="AM188">
        <v>1</v>
      </c>
      <c r="AN188">
        <v>0</v>
      </c>
      <c r="AO188">
        <v>999</v>
      </c>
      <c r="AP188">
        <f t="shared" si="91"/>
        <v>-384.94102558479403</v>
      </c>
      <c r="AQ188">
        <f t="shared" si="92"/>
        <v>1184.8397048248471</v>
      </c>
      <c r="AR188">
        <f t="shared" si="93"/>
        <v>380.67694912251415</v>
      </c>
      <c r="AS188">
        <f t="shared" si="83"/>
        <v>505.09504902468717</v>
      </c>
      <c r="AT188">
        <f t="shared" si="84"/>
        <v>0.37494128808789251</v>
      </c>
      <c r="AU188" t="b">
        <f t="shared" si="94"/>
        <v>1</v>
      </c>
      <c r="AV188">
        <f t="shared" si="85"/>
        <v>505.09504902468717</v>
      </c>
    </row>
    <row r="189" spans="1:48" x14ac:dyDescent="0.25">
      <c r="A189">
        <f t="shared" si="96"/>
        <v>18.699999999999996</v>
      </c>
      <c r="B189">
        <f t="shared" si="86"/>
        <v>0.1</v>
      </c>
      <c r="C189">
        <f>sim!C188+(sim!$G188*$B189*COS($E189))</f>
        <v>-186.28110302948753</v>
      </c>
      <c r="D189">
        <f>sim!D188+(sim!$G188*$B189*SIN($E189))</f>
        <v>1101.6511048456532</v>
      </c>
      <c r="E189">
        <f t="shared" si="97"/>
        <v>-2821.1516288125349</v>
      </c>
      <c r="F189">
        <f t="shared" si="72"/>
        <v>99.961529087148605</v>
      </c>
      <c r="G189">
        <v>100</v>
      </c>
      <c r="H189">
        <f t="shared" si="98"/>
        <v>3.3572204775231878E-3</v>
      </c>
      <c r="I189">
        <f t="shared" si="73"/>
        <v>0.1923545642569735</v>
      </c>
      <c r="J189">
        <f t="shared" si="87"/>
        <v>0</v>
      </c>
      <c r="K189">
        <f t="shared" si="88"/>
        <v>0</v>
      </c>
      <c r="L189">
        <f t="shared" si="74"/>
        <v>0</v>
      </c>
      <c r="M189">
        <f t="shared" si="99"/>
        <v>0.1923545642569735</v>
      </c>
      <c r="N189">
        <f t="shared" si="75"/>
        <v>-182.46744608736148</v>
      </c>
      <c r="O189">
        <f t="shared" si="76"/>
        <v>1092.4068622737723</v>
      </c>
      <c r="P189">
        <f t="shared" si="100"/>
        <v>-144.33087666610106</v>
      </c>
      <c r="Q189">
        <f t="shared" si="101"/>
        <v>999.96443655496398</v>
      </c>
      <c r="R189">
        <f t="shared" si="77"/>
        <v>-0.92442425718808274</v>
      </c>
      <c r="S189">
        <f t="shared" si="78"/>
        <v>0.38136569421260402</v>
      </c>
      <c r="U189">
        <f t="shared" si="95"/>
        <v>3</v>
      </c>
      <c r="V189" cm="1">
        <f t="array" ref="V189:AA189">INDEX(surface!$A$2:$I$40,U189+1,COLUMN(surface!$B$1:$G$1))</f>
        <v>-500</v>
      </c>
      <c r="W189">
        <v>1000</v>
      </c>
      <c r="X189">
        <v>0</v>
      </c>
      <c r="Y189">
        <v>1000</v>
      </c>
      <c r="Z189">
        <v>-500</v>
      </c>
      <c r="AA189">
        <v>0</v>
      </c>
      <c r="AB189">
        <f t="shared" si="102"/>
        <v>135.06510782527704</v>
      </c>
      <c r="AC189">
        <f t="shared" si="103"/>
        <v>1184.8137245475446</v>
      </c>
      <c r="AD189">
        <f t="shared" si="79"/>
        <v>-462.21212859404136</v>
      </c>
      <c r="AE189">
        <f t="shared" si="80"/>
        <v>99.961529087148605</v>
      </c>
      <c r="AF189">
        <f t="shared" si="81"/>
        <v>0.71130890369502453</v>
      </c>
      <c r="AG189" t="b">
        <f t="shared" si="89"/>
        <v>1</v>
      </c>
      <c r="AH189">
        <f t="shared" si="82"/>
        <v>99.961529087148605</v>
      </c>
      <c r="AI189">
        <f t="shared" si="90"/>
        <v>4</v>
      </c>
      <c r="AJ189" cm="1">
        <f t="array" ref="AJ189:AO189">INDEX(surface!$A$2:$I$40,AI189+1,COLUMN(surface!$B$1:$G$1))</f>
        <v>0</v>
      </c>
      <c r="AK189">
        <v>1000</v>
      </c>
      <c r="AL189">
        <v>0</v>
      </c>
      <c r="AM189">
        <v>1</v>
      </c>
      <c r="AN189">
        <v>0</v>
      </c>
      <c r="AO189">
        <v>999</v>
      </c>
      <c r="AP189">
        <f t="shared" si="91"/>
        <v>-364.93489217472296</v>
      </c>
      <c r="AQ189">
        <f t="shared" si="92"/>
        <v>1184.8137245475446</v>
      </c>
      <c r="AR189">
        <f t="shared" si="93"/>
        <v>380.98432851839141</v>
      </c>
      <c r="AS189">
        <f t="shared" si="83"/>
        <v>478.45794432060114</v>
      </c>
      <c r="AT189">
        <f t="shared" si="84"/>
        <v>0.35024150900954604</v>
      </c>
      <c r="AU189" t="b">
        <f t="shared" si="94"/>
        <v>1</v>
      </c>
      <c r="AV189">
        <f t="shared" si="85"/>
        <v>478.45794432060114</v>
      </c>
    </row>
    <row r="190" spans="1:48" x14ac:dyDescent="0.25">
      <c r="A190">
        <f t="shared" si="96"/>
        <v>18.799999999999997</v>
      </c>
      <c r="B190">
        <f t="shared" si="86"/>
        <v>0.1</v>
      </c>
      <c r="C190">
        <f>sim!C189+(sim!$G189*$B190*COS($E190))</f>
        <v>-176.28110897180576</v>
      </c>
      <c r="D190">
        <f>sim!D189+(sim!$G189*$B190*SIN($E190))</f>
        <v>1101.6402031792825</v>
      </c>
      <c r="E190">
        <f t="shared" si="97"/>
        <v>-2821.1512930904873</v>
      </c>
      <c r="F190">
        <f t="shared" si="72"/>
        <v>99.964972520456868</v>
      </c>
      <c r="G190">
        <v>100</v>
      </c>
      <c r="H190">
        <f t="shared" si="98"/>
        <v>3.0567242335130442E-3</v>
      </c>
      <c r="I190">
        <f t="shared" si="73"/>
        <v>0.17513739771565895</v>
      </c>
      <c r="J190">
        <f t="shared" si="87"/>
        <v>0</v>
      </c>
      <c r="K190">
        <f t="shared" si="88"/>
        <v>0</v>
      </c>
      <c r="L190">
        <f t="shared" si="74"/>
        <v>0</v>
      </c>
      <c r="M190">
        <f t="shared" si="99"/>
        <v>0.17513739771565895</v>
      </c>
      <c r="N190">
        <f t="shared" si="75"/>
        <v>-172.46434874861089</v>
      </c>
      <c r="O190">
        <f t="shared" si="76"/>
        <v>1092.397241457051</v>
      </c>
      <c r="P190">
        <f t="shared" si="100"/>
        <v>-134.29674651666201</v>
      </c>
      <c r="Q190">
        <f t="shared" si="101"/>
        <v>999.96762423473569</v>
      </c>
      <c r="R190">
        <f t="shared" si="77"/>
        <v>-0.92429617222315341</v>
      </c>
      <c r="S190">
        <f t="shared" si="78"/>
        <v>0.38167602231948866</v>
      </c>
      <c r="U190">
        <f t="shared" si="95"/>
        <v>3</v>
      </c>
      <c r="V190" cm="1">
        <f t="array" ref="V190:AA190">INDEX(surface!$A$2:$I$40,U190+1,COLUMN(surface!$B$1:$G$1))</f>
        <v>-500</v>
      </c>
      <c r="W190">
        <v>1000</v>
      </c>
      <c r="X190">
        <v>0</v>
      </c>
      <c r="Y190">
        <v>1000</v>
      </c>
      <c r="Z190">
        <v>-500</v>
      </c>
      <c r="AA190">
        <v>0</v>
      </c>
      <c r="AB190">
        <f t="shared" si="102"/>
        <v>155.07130250277822</v>
      </c>
      <c r="AC190">
        <f t="shared" si="103"/>
        <v>1184.794482914102</v>
      </c>
      <c r="AD190">
        <f t="shared" si="79"/>
        <v>-462.14808611157673</v>
      </c>
      <c r="AE190">
        <f t="shared" si="80"/>
        <v>99.964972520456868</v>
      </c>
      <c r="AF190">
        <f t="shared" si="81"/>
        <v>0.73137976866854826</v>
      </c>
      <c r="AG190" t="b">
        <f t="shared" si="89"/>
        <v>1</v>
      </c>
      <c r="AH190">
        <f t="shared" si="82"/>
        <v>99.964972520456868</v>
      </c>
      <c r="AI190">
        <f t="shared" si="90"/>
        <v>4</v>
      </c>
      <c r="AJ190" cm="1">
        <f t="array" ref="AJ190:AO190">INDEX(surface!$A$2:$I$40,AI190+1,COLUMN(surface!$B$1:$G$1))</f>
        <v>0</v>
      </c>
      <c r="AK190">
        <v>1000</v>
      </c>
      <c r="AL190">
        <v>0</v>
      </c>
      <c r="AM190">
        <v>1</v>
      </c>
      <c r="AN190">
        <v>0</v>
      </c>
      <c r="AO190">
        <v>999</v>
      </c>
      <c r="AP190">
        <f t="shared" si="91"/>
        <v>-344.92869749722178</v>
      </c>
      <c r="AQ190">
        <f t="shared" si="92"/>
        <v>1184.794482914102</v>
      </c>
      <c r="AR190">
        <f t="shared" si="93"/>
        <v>381.29434629716917</v>
      </c>
      <c r="AS190">
        <f t="shared" si="83"/>
        <v>451.860579819831</v>
      </c>
      <c r="AT190">
        <f t="shared" si="84"/>
        <v>0.3255813441931466</v>
      </c>
      <c r="AU190" t="b">
        <f t="shared" si="94"/>
        <v>1</v>
      </c>
      <c r="AV190">
        <f t="shared" si="85"/>
        <v>451.860579819831</v>
      </c>
    </row>
    <row r="191" spans="1:48" x14ac:dyDescent="0.25">
      <c r="A191">
        <f t="shared" si="96"/>
        <v>18.899999999999999</v>
      </c>
      <c r="B191">
        <f t="shared" si="86"/>
        <v>0.1</v>
      </c>
      <c r="C191">
        <f>sim!C190+(sim!$G190*$B191*COS($E191))</f>
        <v>-166.28111204896317</v>
      </c>
      <c r="D191">
        <f>sim!D190+(sim!$G190*$B191*SIN($E191))</f>
        <v>1101.6323582357927</v>
      </c>
      <c r="E191">
        <f t="shared" si="97"/>
        <v>-2821.1509874180638</v>
      </c>
      <c r="F191">
        <f t="shared" si="72"/>
        <v>99.970371017362865</v>
      </c>
      <c r="G191">
        <v>100</v>
      </c>
      <c r="H191">
        <f t="shared" si="98"/>
        <v>2.585616505171189E-3</v>
      </c>
      <c r="I191">
        <f t="shared" si="73"/>
        <v>0.14814491318567491</v>
      </c>
      <c r="J191">
        <f t="shared" si="87"/>
        <v>0</v>
      </c>
      <c r="K191">
        <f t="shared" si="88"/>
        <v>0</v>
      </c>
      <c r="L191">
        <f t="shared" si="74"/>
        <v>0</v>
      </c>
      <c r="M191">
        <f t="shared" si="99"/>
        <v>0.14814491318567491</v>
      </c>
      <c r="N191">
        <f t="shared" si="75"/>
        <v>-162.46152668561243</v>
      </c>
      <c r="O191">
        <f t="shared" si="76"/>
        <v>1092.3905636237016</v>
      </c>
      <c r="P191">
        <f t="shared" si="100"/>
        <v>-124.265673052105</v>
      </c>
      <c r="Q191">
        <f t="shared" si="101"/>
        <v>999.97261750279017</v>
      </c>
      <c r="R191">
        <f t="shared" si="77"/>
        <v>-0.92417946120911376</v>
      </c>
      <c r="S191">
        <f t="shared" si="78"/>
        <v>0.38195853633507426</v>
      </c>
      <c r="U191">
        <f t="shared" si="95"/>
        <v>3</v>
      </c>
      <c r="V191" cm="1">
        <f t="array" ref="V191:AA191">INDEX(surface!$A$2:$I$40,U191+1,COLUMN(surface!$B$1:$G$1))</f>
        <v>-500</v>
      </c>
      <c r="W191">
        <v>1000</v>
      </c>
      <c r="X191">
        <v>0</v>
      </c>
      <c r="Y191">
        <v>1000</v>
      </c>
      <c r="Z191">
        <v>-500</v>
      </c>
      <c r="AA191">
        <v>0</v>
      </c>
      <c r="AB191">
        <f t="shared" si="102"/>
        <v>175.07694662877515</v>
      </c>
      <c r="AC191">
        <f t="shared" si="103"/>
        <v>1184.7811272474032</v>
      </c>
      <c r="AD191">
        <f t="shared" si="79"/>
        <v>-462.08973060455691</v>
      </c>
      <c r="AE191">
        <f t="shared" si="80"/>
        <v>99.970371017362865</v>
      </c>
      <c r="AF191">
        <f t="shared" si="81"/>
        <v>0.75144601981010761</v>
      </c>
      <c r="AG191" t="b">
        <f t="shared" si="89"/>
        <v>1</v>
      </c>
      <c r="AH191">
        <f t="shared" si="82"/>
        <v>99.970371017362865</v>
      </c>
      <c r="AI191">
        <f t="shared" si="90"/>
        <v>4</v>
      </c>
      <c r="AJ191" cm="1">
        <f t="array" ref="AJ191:AO191">INDEX(surface!$A$2:$I$40,AI191+1,COLUMN(surface!$B$1:$G$1))</f>
        <v>0</v>
      </c>
      <c r="AK191">
        <v>1000</v>
      </c>
      <c r="AL191">
        <v>0</v>
      </c>
      <c r="AM191">
        <v>1</v>
      </c>
      <c r="AN191">
        <v>0</v>
      </c>
      <c r="AO191">
        <v>999</v>
      </c>
      <c r="AP191">
        <f t="shared" si="91"/>
        <v>-324.92305337122485</v>
      </c>
      <c r="AQ191">
        <f t="shared" si="92"/>
        <v>1184.7811272474032</v>
      </c>
      <c r="AR191">
        <f t="shared" si="93"/>
        <v>381.57657779873921</v>
      </c>
      <c r="AS191">
        <f t="shared" si="83"/>
        <v>425.3381224162315</v>
      </c>
      <c r="AT191">
        <f t="shared" si="84"/>
        <v>0.30099919237500233</v>
      </c>
      <c r="AU191" t="b">
        <f t="shared" si="94"/>
        <v>1</v>
      </c>
      <c r="AV191">
        <f t="shared" si="85"/>
        <v>425.3381224162315</v>
      </c>
    </row>
    <row r="192" spans="1:48" x14ac:dyDescent="0.25">
      <c r="A192">
        <f t="shared" si="96"/>
        <v>19</v>
      </c>
      <c r="B192">
        <f t="shared" si="86"/>
        <v>0.1</v>
      </c>
      <c r="C192">
        <f>sim!C191+(sim!$G191*$B192*COS($E192))</f>
        <v>-156.28111343198958</v>
      </c>
      <c r="D192">
        <f>sim!D191+(sim!$G191*$B192*SIN($E192))</f>
        <v>1101.6270989082436</v>
      </c>
      <c r="E192">
        <f t="shared" si="97"/>
        <v>-2821.1507288564135</v>
      </c>
      <c r="F192">
        <f t="shared" si="72"/>
        <v>99.976436207201616</v>
      </c>
      <c r="G192">
        <v>100</v>
      </c>
      <c r="H192">
        <f t="shared" si="98"/>
        <v>2.0563288429476891E-3</v>
      </c>
      <c r="I192">
        <f t="shared" si="73"/>
        <v>0.11781896399192249</v>
      </c>
      <c r="J192">
        <f t="shared" si="87"/>
        <v>0</v>
      </c>
      <c r="K192">
        <f t="shared" si="88"/>
        <v>0</v>
      </c>
      <c r="L192">
        <f t="shared" si="74"/>
        <v>0</v>
      </c>
      <c r="M192">
        <f t="shared" si="99"/>
        <v>0.11781896399192249</v>
      </c>
      <c r="N192">
        <f t="shared" si="75"/>
        <v>-152.45913862267636</v>
      </c>
      <c r="O192">
        <f t="shared" si="76"/>
        <v>1092.3862922033625</v>
      </c>
      <c r="P192">
        <f t="shared" si="100"/>
        <v>-114.23939052954421</v>
      </c>
      <c r="Q192">
        <f t="shared" si="101"/>
        <v>999.97822515455164</v>
      </c>
      <c r="R192">
        <f t="shared" si="77"/>
        <v>-0.92408067048810849</v>
      </c>
      <c r="S192">
        <f t="shared" si="78"/>
        <v>0.38219748093132161</v>
      </c>
      <c r="U192">
        <f t="shared" si="95"/>
        <v>3</v>
      </c>
      <c r="V192" cm="1">
        <f t="array" ref="V192:AA192">INDEX(surface!$A$2:$I$40,U192+1,COLUMN(surface!$B$1:$G$1))</f>
        <v>-500</v>
      </c>
      <c r="W192">
        <v>1000</v>
      </c>
      <c r="X192">
        <v>0</v>
      </c>
      <c r="Y192">
        <v>1000</v>
      </c>
      <c r="Z192">
        <v>-500</v>
      </c>
      <c r="AA192">
        <v>0</v>
      </c>
      <c r="AB192">
        <f t="shared" si="102"/>
        <v>195.08172275464727</v>
      </c>
      <c r="AC192">
        <f t="shared" si="103"/>
        <v>1184.7725844067249</v>
      </c>
      <c r="AD192">
        <f t="shared" si="79"/>
        <v>-462.04033524405423</v>
      </c>
      <c r="AE192">
        <f t="shared" si="80"/>
        <v>99.976436207201616</v>
      </c>
      <c r="AF192">
        <f t="shared" si="81"/>
        <v>0.77150320689641416</v>
      </c>
      <c r="AG192" t="b">
        <f t="shared" si="89"/>
        <v>1</v>
      </c>
      <c r="AH192">
        <f t="shared" si="82"/>
        <v>99.976436207201616</v>
      </c>
      <c r="AI192">
        <f t="shared" si="90"/>
        <v>4</v>
      </c>
      <c r="AJ192" cm="1">
        <f t="array" ref="AJ192:AO192">INDEX(surface!$A$2:$I$40,AI192+1,COLUMN(surface!$B$1:$G$1))</f>
        <v>0</v>
      </c>
      <c r="AK192">
        <v>1000</v>
      </c>
      <c r="AL192">
        <v>0</v>
      </c>
      <c r="AM192">
        <v>1</v>
      </c>
      <c r="AN192">
        <v>0</v>
      </c>
      <c r="AO192">
        <v>999</v>
      </c>
      <c r="AP192">
        <f t="shared" si="91"/>
        <v>-304.91827724535273</v>
      </c>
      <c r="AQ192">
        <f t="shared" si="92"/>
        <v>1184.7725844067249</v>
      </c>
      <c r="AR192">
        <f t="shared" si="93"/>
        <v>381.81528345039027</v>
      </c>
      <c r="AS192">
        <f t="shared" si="83"/>
        <v>398.90147431419695</v>
      </c>
      <c r="AT192">
        <f t="shared" si="84"/>
        <v>0.27650735699659224</v>
      </c>
      <c r="AU192" t="b">
        <f t="shared" si="94"/>
        <v>1</v>
      </c>
      <c r="AV192">
        <f t="shared" si="85"/>
        <v>398.90147431419695</v>
      </c>
    </row>
    <row r="193" spans="1:48" x14ac:dyDescent="0.25">
      <c r="A193">
        <f t="shared" si="96"/>
        <v>19.100000000000001</v>
      </c>
      <c r="B193">
        <f t="shared" si="86"/>
        <v>0.1</v>
      </c>
      <c r="C193">
        <f>sim!C192+(sim!$G192*$B193*COS($E193))</f>
        <v>-146.28111394494968</v>
      </c>
      <c r="D193">
        <f>sim!D192+(sim!$G192*$B193*SIN($E193))</f>
        <v>1101.6238959093514</v>
      </c>
      <c r="E193">
        <f t="shared" si="97"/>
        <v>-2821.150523223529</v>
      </c>
      <c r="F193">
        <f t="shared" si="72"/>
        <v>99.982326300686225</v>
      </c>
      <c r="G193">
        <v>100</v>
      </c>
      <c r="H193">
        <f t="shared" si="98"/>
        <v>1.5423212201641947E-3</v>
      </c>
      <c r="I193">
        <f t="shared" si="73"/>
        <v>8.8368496568875798E-2</v>
      </c>
      <c r="J193">
        <f t="shared" si="87"/>
        <v>0</v>
      </c>
      <c r="K193">
        <f t="shared" si="88"/>
        <v>0</v>
      </c>
      <c r="L193">
        <f t="shared" si="74"/>
        <v>0</v>
      </c>
      <c r="M193">
        <f t="shared" si="99"/>
        <v>8.8368496568875798E-2</v>
      </c>
      <c r="N193">
        <f t="shared" si="75"/>
        <v>-142.45723900271841</v>
      </c>
      <c r="O193">
        <f t="shared" si="76"/>
        <v>1092.3838753235423</v>
      </c>
      <c r="P193">
        <f t="shared" si="100"/>
        <v>-104.21848958040576</v>
      </c>
      <c r="Q193">
        <f t="shared" si="101"/>
        <v>999.98366946545138</v>
      </c>
      <c r="R193">
        <f t="shared" si="77"/>
        <v>-0.92400205858090945</v>
      </c>
      <c r="S193">
        <f t="shared" si="78"/>
        <v>0.38238749422312657</v>
      </c>
      <c r="U193">
        <f t="shared" si="95"/>
        <v>3</v>
      </c>
      <c r="V193" cm="1">
        <f t="array" ref="V193:AA193">INDEX(surface!$A$2:$I$40,U193+1,COLUMN(surface!$B$1:$G$1))</f>
        <v>-500</v>
      </c>
      <c r="W193">
        <v>1000</v>
      </c>
      <c r="X193">
        <v>0</v>
      </c>
      <c r="Y193">
        <v>1000</v>
      </c>
      <c r="Z193">
        <v>-500</v>
      </c>
      <c r="AA193">
        <v>0</v>
      </c>
      <c r="AB193">
        <f t="shared" si="102"/>
        <v>215.08552199456318</v>
      </c>
      <c r="AC193">
        <f t="shared" si="103"/>
        <v>1184.7677506470845</v>
      </c>
      <c r="AD193">
        <f t="shared" si="79"/>
        <v>-462.00102929045471</v>
      </c>
      <c r="AE193">
        <f t="shared" si="80"/>
        <v>99.982326300686225</v>
      </c>
      <c r="AF193">
        <f t="shared" si="81"/>
        <v>0.79154950443599992</v>
      </c>
      <c r="AG193" t="b">
        <f t="shared" si="89"/>
        <v>1</v>
      </c>
      <c r="AH193">
        <f t="shared" si="82"/>
        <v>99.982326300686225</v>
      </c>
      <c r="AI193">
        <f t="shared" si="90"/>
        <v>4</v>
      </c>
      <c r="AJ193" cm="1">
        <f t="array" ref="AJ193:AO193">INDEX(surface!$A$2:$I$40,AI193+1,COLUMN(surface!$B$1:$G$1))</f>
        <v>0</v>
      </c>
      <c r="AK193">
        <v>1000</v>
      </c>
      <c r="AL193">
        <v>0</v>
      </c>
      <c r="AM193">
        <v>1</v>
      </c>
      <c r="AN193">
        <v>0</v>
      </c>
      <c r="AO193">
        <v>999</v>
      </c>
      <c r="AP193">
        <f t="shared" si="91"/>
        <v>-284.91447800543682</v>
      </c>
      <c r="AQ193">
        <f t="shared" si="92"/>
        <v>1184.7677506470845</v>
      </c>
      <c r="AR193">
        <f t="shared" si="93"/>
        <v>382.00510672890346</v>
      </c>
      <c r="AS193">
        <f t="shared" si="83"/>
        <v>372.54680436696844</v>
      </c>
      <c r="AT193">
        <f t="shared" si="84"/>
        <v>0.25210224107034629</v>
      </c>
      <c r="AU193" t="b">
        <f t="shared" si="94"/>
        <v>1</v>
      </c>
      <c r="AV193">
        <f t="shared" si="85"/>
        <v>372.54680436696844</v>
      </c>
    </row>
    <row r="194" spans="1:48" x14ac:dyDescent="0.25">
      <c r="A194">
        <f t="shared" si="96"/>
        <v>19.200000000000003</v>
      </c>
      <c r="B194">
        <f t="shared" si="86"/>
        <v>0.1</v>
      </c>
      <c r="C194">
        <f>sim!C193+(sim!$G193*$B194*COS($E194))</f>
        <v>-136.28111408284221</v>
      </c>
      <c r="D194">
        <f>sim!D193+(sim!$G193*$B194*SIN($E194))</f>
        <v>1101.6222352316317</v>
      </c>
      <c r="E194">
        <f t="shared" si="97"/>
        <v>-2821.150368991407</v>
      </c>
      <c r="F194">
        <f t="shared" ref="F194:F257" si="104">MIN(AH194,AV194)</f>
        <v>99.98755053643967</v>
      </c>
      <c r="G194">
        <v>100</v>
      </c>
      <c r="H194">
        <f t="shared" si="98"/>
        <v>1.0864206461740564E-3</v>
      </c>
      <c r="I194">
        <f t="shared" ref="I194:I257" si="105">(Ksoll-F194)*Kp</f>
        <v>6.224731780164916E-2</v>
      </c>
      <c r="J194">
        <f t="shared" si="87"/>
        <v>0</v>
      </c>
      <c r="K194">
        <f t="shared" si="88"/>
        <v>0</v>
      </c>
      <c r="L194">
        <f t="shared" ref="L194:L257" si="106">IF(Dcap&lt;&gt;-1,MAX(MIN(K194,Dcap),-Dcap),K194)</f>
        <v>0</v>
      </c>
      <c r="M194">
        <f t="shared" si="99"/>
        <v>6.224731780164916E-2</v>
      </c>
      <c r="N194">
        <f t="shared" ref="N194:N257" si="107">C194+usFrontD*S194</f>
        <v>-132.45581407811474</v>
      </c>
      <c r="O194">
        <f t="shared" ref="O194:O257" si="108">D194+usFrontD*R194</f>
        <v>1092.3828045200655</v>
      </c>
      <c r="P194">
        <f t="shared" si="100"/>
        <v>-94.202814030840187</v>
      </c>
      <c r="Q194">
        <f t="shared" si="101"/>
        <v>999.9884974044038</v>
      </c>
      <c r="R194">
        <f t="shared" ref="R194:R257" si="109">SIN(E194+usrot)</f>
        <v>-0.923943071156617</v>
      </c>
      <c r="S194">
        <f t="shared" ref="S194:S257" si="110">COS(E194+usrot)</f>
        <v>0.38253000047274549</v>
      </c>
      <c r="U194">
        <f t="shared" si="95"/>
        <v>3</v>
      </c>
      <c r="V194" cm="1">
        <f t="array" ref="V194:AA194">INDEX(surface!$A$2:$I$40,U194+1,COLUMN(surface!$B$1:$G$1))</f>
        <v>-500</v>
      </c>
      <c r="W194">
        <v>1000</v>
      </c>
      <c r="X194">
        <v>0</v>
      </c>
      <c r="Y194">
        <v>1000</v>
      </c>
      <c r="Z194">
        <v>-500</v>
      </c>
      <c r="AA194">
        <v>0</v>
      </c>
      <c r="AB194">
        <f t="shared" si="102"/>
        <v>235.08837184377052</v>
      </c>
      <c r="AC194">
        <f t="shared" si="103"/>
        <v>1184.765609040131</v>
      </c>
      <c r="AD194">
        <f t="shared" ref="AD194:AD257" si="111">AA194*$S194-Z194*$R194</f>
        <v>-461.97153557830848</v>
      </c>
      <c r="AE194">
        <f t="shared" ref="AE194:AE257" si="112">((($N194 - AB194) * AA194) - (($O194 - AC194) * Z194)) / AD194</f>
        <v>99.98755053643967</v>
      </c>
      <c r="AF194">
        <f t="shared" ref="AF194:AF257" si="113">((AB194 - $N194) * $R194 - (AC194 - $O194) * $S194) / AD194</f>
        <v>0.81158484735171654</v>
      </c>
      <c r="AG194" t="b">
        <f t="shared" si="89"/>
        <v>1</v>
      </c>
      <c r="AH194">
        <f t="shared" ref="AH194:AH257" si="114">IF(AG194,AE194,usNoTarget)</f>
        <v>99.98755053643967</v>
      </c>
      <c r="AI194">
        <f t="shared" si="90"/>
        <v>4</v>
      </c>
      <c r="AJ194" cm="1">
        <f t="array" ref="AJ194:AO194">INDEX(surface!$A$2:$I$40,AI194+1,COLUMN(surface!$B$1:$G$1))</f>
        <v>0</v>
      </c>
      <c r="AK194">
        <v>1000</v>
      </c>
      <c r="AL194">
        <v>0</v>
      </c>
      <c r="AM194">
        <v>1</v>
      </c>
      <c r="AN194">
        <v>0</v>
      </c>
      <c r="AO194">
        <v>999</v>
      </c>
      <c r="AP194">
        <f t="shared" si="91"/>
        <v>-264.91162815622948</v>
      </c>
      <c r="AQ194">
        <f t="shared" si="92"/>
        <v>1184.765609040131</v>
      </c>
      <c r="AR194">
        <f t="shared" si="93"/>
        <v>382.14747047227274</v>
      </c>
      <c r="AS194">
        <f t="shared" ref="AS194:AS257" si="115">((($N194 - AP194) * AO194) - (($O194 - AQ194) * AN194)) / AR194</f>
        <v>346.26255173299</v>
      </c>
      <c r="AT194">
        <f t="shared" ref="AT194:AT257" si="116">((AP194 - $N194) * $R194 - (AQ194 - $O194) * $S194) / AR194</f>
        <v>0.22777185280744772</v>
      </c>
      <c r="AU194" t="b">
        <f t="shared" si="94"/>
        <v>1</v>
      </c>
      <c r="AV194">
        <f t="shared" ref="AV194:AV257" si="117">IF(AU194,AS194,usNoTarget)</f>
        <v>346.26255173299</v>
      </c>
    </row>
    <row r="195" spans="1:48" x14ac:dyDescent="0.25">
      <c r="A195">
        <f t="shared" si="96"/>
        <v>19.300000000000004</v>
      </c>
      <c r="B195">
        <f t="shared" ref="B195:B258" si="118">DT</f>
        <v>0.1</v>
      </c>
      <c r="C195">
        <f>sim!C194+(sim!$G194*$B195*COS($E195))</f>
        <v>-126.28111409933076</v>
      </c>
      <c r="D195">
        <f>sim!D194+(sim!$G194*$B195*SIN($E195))</f>
        <v>1101.6216609745527</v>
      </c>
      <c r="E195">
        <f t="shared" si="97"/>
        <v>-2821.1502603493423</v>
      </c>
      <c r="F195">
        <f t="shared" si="104"/>
        <v>99.991877078420515</v>
      </c>
      <c r="G195">
        <v>100</v>
      </c>
      <c r="H195">
        <f t="shared" si="98"/>
        <v>7.0885863221654976E-4</v>
      </c>
      <c r="I195">
        <f t="shared" si="105"/>
        <v>4.0614607897424548E-2</v>
      </c>
      <c r="J195">
        <f t="shared" ref="J195:J258" si="119">J194+(Ksoll-F194)*B195*Ki</f>
        <v>0</v>
      </c>
      <c r="K195">
        <f t="shared" ref="K195:K258" si="120">((Ksoll-F195)-(Ksoll-F194))/B195*Kd</f>
        <v>0</v>
      </c>
      <c r="L195">
        <f t="shared" si="106"/>
        <v>0</v>
      </c>
      <c r="M195">
        <f t="shared" si="99"/>
        <v>4.0614607897424548E-2</v>
      </c>
      <c r="N195">
        <f t="shared" si="107"/>
        <v>-122.45481032635051</v>
      </c>
      <c r="O195">
        <f t="shared" si="108"/>
        <v>1092.3826459060035</v>
      </c>
      <c r="P195">
        <f t="shared" si="100"/>
        <v>-84.191772596547963</v>
      </c>
      <c r="Q195">
        <f t="shared" si="101"/>
        <v>999.99249522051264</v>
      </c>
      <c r="R195">
        <f t="shared" si="109"/>
        <v>-0.92390150685490857</v>
      </c>
      <c r="S195">
        <f t="shared" si="110"/>
        <v>0.38263037729802546</v>
      </c>
      <c r="U195">
        <f t="shared" si="95"/>
        <v>3</v>
      </c>
      <c r="V195" cm="1">
        <f t="array" ref="V195:AA195">INDEX(surface!$A$2:$I$40,U195+1,COLUMN(surface!$B$1:$G$1))</f>
        <v>-500</v>
      </c>
      <c r="W195">
        <v>1000</v>
      </c>
      <c r="X195">
        <v>0</v>
      </c>
      <c r="Y195">
        <v>1000</v>
      </c>
      <c r="Z195">
        <v>-500</v>
      </c>
      <c r="AA195">
        <v>0</v>
      </c>
      <c r="AB195">
        <f t="shared" si="102"/>
        <v>255.09037934729898</v>
      </c>
      <c r="AC195">
        <f t="shared" si="103"/>
        <v>1184.765291812007</v>
      </c>
      <c r="AD195">
        <f t="shared" si="111"/>
        <v>-461.95075342745429</v>
      </c>
      <c r="AE195">
        <f t="shared" si="112"/>
        <v>99.991877078420515</v>
      </c>
      <c r="AF195">
        <f t="shared" si="113"/>
        <v>0.83161023865380668</v>
      </c>
      <c r="AG195" t="b">
        <f t="shared" ref="AG195:AG258" si="121">IF(NOT(OR(ISERROR(AE195),ISERROR(AF195))),IF(AND(AF195&gt;=0,AF195&lt;=1,AE195&gt;=0),TRUE,FALSE),FALSE)</f>
        <v>1</v>
      </c>
      <c r="AH195">
        <f t="shared" si="114"/>
        <v>99.991877078420515</v>
      </c>
      <c r="AI195">
        <f t="shared" ref="AI195:AI258" si="122">U195+1</f>
        <v>4</v>
      </c>
      <c r="AJ195" cm="1">
        <f t="array" ref="AJ195:AO195">INDEX(surface!$A$2:$I$40,AI195+1,COLUMN(surface!$B$1:$G$1))</f>
        <v>0</v>
      </c>
      <c r="AK195">
        <v>1000</v>
      </c>
      <c r="AL195">
        <v>0</v>
      </c>
      <c r="AM195">
        <v>1</v>
      </c>
      <c r="AN195">
        <v>0</v>
      </c>
      <c r="AO195">
        <v>999</v>
      </c>
      <c r="AP195">
        <f t="shared" ref="AP195:AP258" si="123">2*$N195-AJ195</f>
        <v>-244.90962065270102</v>
      </c>
      <c r="AQ195">
        <f t="shared" ref="AQ195:AQ258" si="124">2*$O195-AK195</f>
        <v>1184.765291812007</v>
      </c>
      <c r="AR195">
        <f t="shared" ref="AR195:AR258" si="125">AO195*$S195-AN195*$R195</f>
        <v>382.24774692072742</v>
      </c>
      <c r="AS195">
        <f t="shared" si="115"/>
        <v>320.03420949239529</v>
      </c>
      <c r="AT195">
        <f t="shared" si="116"/>
        <v>0.20350094343257247</v>
      </c>
      <c r="AU195" t="b">
        <f t="shared" ref="AU195:AU258" si="126">IF(NOT(OR(ISERROR(AS195),ISERROR(AT195))),IF(AND(AT195&gt;=0,AT195&lt;=1,AS195&gt;=0),TRUE,FALSE),FALSE)</f>
        <v>1</v>
      </c>
      <c r="AV195">
        <f t="shared" si="117"/>
        <v>320.03420949239529</v>
      </c>
    </row>
    <row r="196" spans="1:48" x14ac:dyDescent="0.25">
      <c r="A196">
        <f t="shared" si="96"/>
        <v>19.400000000000006</v>
      </c>
      <c r="B196">
        <f t="shared" si="118"/>
        <v>0.1</v>
      </c>
      <c r="C196">
        <f>sim!C195+(sim!$G195*$B196*COS($E196))</f>
        <v>-116.28111410023664</v>
      </c>
      <c r="D196">
        <f>sim!D195+(sim!$G195*$B196*SIN($E196))</f>
        <v>1101.6217955761069</v>
      </c>
      <c r="E196">
        <f t="shared" si="97"/>
        <v>-2821.1501894634789</v>
      </c>
      <c r="F196">
        <f t="shared" si="104"/>
        <v>99.995252186466146</v>
      </c>
      <c r="G196">
        <v>100</v>
      </c>
      <c r="H196">
        <f t="shared" si="98"/>
        <v>4.1432489218246927E-4</v>
      </c>
      <c r="I196">
        <f t="shared" si="105"/>
        <v>2.3739067669268366E-2</v>
      </c>
      <c r="J196">
        <f t="shared" si="119"/>
        <v>0</v>
      </c>
      <c r="K196">
        <f t="shared" si="120"/>
        <v>0</v>
      </c>
      <c r="L196">
        <f t="shared" si="106"/>
        <v>0</v>
      </c>
      <c r="M196">
        <f t="shared" si="99"/>
        <v>2.3739067669268366E-2</v>
      </c>
      <c r="N196">
        <f t="shared" si="107"/>
        <v>-112.45415542131049</v>
      </c>
      <c r="O196">
        <f t="shared" si="108"/>
        <v>1092.3830517616161</v>
      </c>
      <c r="P196">
        <f t="shared" si="100"/>
        <v>-74.184568632049064</v>
      </c>
      <c r="Q196">
        <f t="shared" si="101"/>
        <v>999.99561361670817</v>
      </c>
      <c r="R196">
        <f t="shared" si="109"/>
        <v>-0.9238743814490793</v>
      </c>
      <c r="S196">
        <f t="shared" si="110"/>
        <v>0.38269586789261417</v>
      </c>
      <c r="U196">
        <f t="shared" si="95"/>
        <v>3</v>
      </c>
      <c r="V196" cm="1">
        <f t="array" ref="V196:AA196">INDEX(surface!$A$2:$I$40,U196+1,COLUMN(surface!$B$1:$G$1))</f>
        <v>-500</v>
      </c>
      <c r="W196">
        <v>1000</v>
      </c>
      <c r="X196">
        <v>0</v>
      </c>
      <c r="Y196">
        <v>1000</v>
      </c>
      <c r="Z196">
        <v>-500</v>
      </c>
      <c r="AA196">
        <v>0</v>
      </c>
      <c r="AB196">
        <f t="shared" si="102"/>
        <v>275.09168915737905</v>
      </c>
      <c r="AC196">
        <f t="shared" si="103"/>
        <v>1184.7661035232322</v>
      </c>
      <c r="AD196">
        <f t="shared" si="111"/>
        <v>-461.93719072453968</v>
      </c>
      <c r="AE196">
        <f t="shared" si="112"/>
        <v>99.995252186466146</v>
      </c>
      <c r="AF196">
        <f t="shared" si="113"/>
        <v>0.85162722879865993</v>
      </c>
      <c r="AG196" t="b">
        <f t="shared" si="121"/>
        <v>1</v>
      </c>
      <c r="AH196">
        <f t="shared" si="114"/>
        <v>99.995252186466146</v>
      </c>
      <c r="AI196">
        <f t="shared" si="122"/>
        <v>4</v>
      </c>
      <c r="AJ196" cm="1">
        <f t="array" ref="AJ196:AO196">INDEX(surface!$A$2:$I$40,AI196+1,COLUMN(surface!$B$1:$G$1))</f>
        <v>0</v>
      </c>
      <c r="AK196">
        <v>1000</v>
      </c>
      <c r="AL196">
        <v>0</v>
      </c>
      <c r="AM196">
        <v>1</v>
      </c>
      <c r="AN196">
        <v>0</v>
      </c>
      <c r="AO196">
        <v>999</v>
      </c>
      <c r="AP196">
        <f t="shared" si="123"/>
        <v>-224.90831084262098</v>
      </c>
      <c r="AQ196">
        <f t="shared" si="124"/>
        <v>1184.7661035232322</v>
      </c>
      <c r="AR196">
        <f t="shared" si="125"/>
        <v>382.31317202472155</v>
      </c>
      <c r="AS196">
        <f t="shared" si="115"/>
        <v>293.84732069504742</v>
      </c>
      <c r="AT196">
        <f t="shared" si="116"/>
        <v>0.17927423412011015</v>
      </c>
      <c r="AU196" t="b">
        <f t="shared" si="126"/>
        <v>1</v>
      </c>
      <c r="AV196">
        <f t="shared" si="117"/>
        <v>293.84732069504742</v>
      </c>
    </row>
    <row r="197" spans="1:48" x14ac:dyDescent="0.25">
      <c r="A197">
        <f t="shared" si="96"/>
        <v>19.500000000000007</v>
      </c>
      <c r="B197">
        <f t="shared" si="118"/>
        <v>0.1</v>
      </c>
      <c r="C197">
        <f>sim!C196+(sim!$G196*$B197*COS($E197))</f>
        <v>-106.28111411530264</v>
      </c>
      <c r="D197">
        <f>sim!D196+(sim!$G196*$B197*SIN($E197))</f>
        <v>1101.6223445025516</v>
      </c>
      <c r="E197">
        <f t="shared" si="97"/>
        <v>-2821.1501480309898</v>
      </c>
      <c r="F197">
        <f t="shared" si="104"/>
        <v>99.997734279758859</v>
      </c>
      <c r="G197">
        <v>100</v>
      </c>
      <c r="H197">
        <f t="shared" si="98"/>
        <v>1.9772139068494396E-4</v>
      </c>
      <c r="I197">
        <f t="shared" si="105"/>
        <v>1.1328601205704558E-2</v>
      </c>
      <c r="J197">
        <f t="shared" si="119"/>
        <v>0</v>
      </c>
      <c r="K197">
        <f t="shared" si="120"/>
        <v>0</v>
      </c>
      <c r="L197">
        <f t="shared" si="106"/>
        <v>0</v>
      </c>
      <c r="M197">
        <f t="shared" si="99"/>
        <v>1.1328601205704558E-2</v>
      </c>
      <c r="N197">
        <f t="shared" si="107"/>
        <v>-102.45377265550927</v>
      </c>
      <c r="O197">
        <f t="shared" si="108"/>
        <v>1092.3837592564144</v>
      </c>
      <c r="P197">
        <f t="shared" si="100"/>
        <v>-64.180358057575575</v>
      </c>
      <c r="Q197">
        <f t="shared" si="101"/>
        <v>999.99790679504088</v>
      </c>
      <c r="R197">
        <f t="shared" si="109"/>
        <v>-0.92385852461373519</v>
      </c>
      <c r="S197">
        <f t="shared" si="110"/>
        <v>0.38273414597933691</v>
      </c>
      <c r="U197">
        <f t="shared" ref="U197:U260" si="127">IF(((AJ196-C196)^2+(AK196-D196)^2)&gt;((AL196-C196)^2+(AM196-D196)^2),U196+1,U196)</f>
        <v>3</v>
      </c>
      <c r="V197" cm="1">
        <f t="array" ref="V197:AA197">INDEX(surface!$A$2:$I$40,U197+1,COLUMN(surface!$B$1:$G$1))</f>
        <v>-500</v>
      </c>
      <c r="W197">
        <v>1000</v>
      </c>
      <c r="X197">
        <v>0</v>
      </c>
      <c r="Y197">
        <v>1000</v>
      </c>
      <c r="Z197">
        <v>-500</v>
      </c>
      <c r="AA197">
        <v>0</v>
      </c>
      <c r="AB197">
        <f t="shared" si="102"/>
        <v>295.09245468898143</v>
      </c>
      <c r="AC197">
        <f t="shared" si="103"/>
        <v>1184.7675185128287</v>
      </c>
      <c r="AD197">
        <f t="shared" si="111"/>
        <v>-461.9292623068676</v>
      </c>
      <c r="AE197">
        <f t="shared" si="112"/>
        <v>99.997734279758859</v>
      </c>
      <c r="AF197">
        <f t="shared" si="113"/>
        <v>0.87163754954784578</v>
      </c>
      <c r="AG197" t="b">
        <f t="shared" si="121"/>
        <v>1</v>
      </c>
      <c r="AH197">
        <f t="shared" si="114"/>
        <v>99.997734279758859</v>
      </c>
      <c r="AI197">
        <f t="shared" si="122"/>
        <v>4</v>
      </c>
      <c r="AJ197" cm="1">
        <f t="array" ref="AJ197:AO197">INDEX(surface!$A$2:$I$40,AI197+1,COLUMN(surface!$B$1:$G$1))</f>
        <v>0</v>
      </c>
      <c r="AK197">
        <v>1000</v>
      </c>
      <c r="AL197">
        <v>0</v>
      </c>
      <c r="AM197">
        <v>1</v>
      </c>
      <c r="AN197">
        <v>0</v>
      </c>
      <c r="AO197">
        <v>999</v>
      </c>
      <c r="AP197">
        <f t="shared" si="123"/>
        <v>-204.90754531101854</v>
      </c>
      <c r="AQ197">
        <f t="shared" si="124"/>
        <v>1184.7675185128287</v>
      </c>
      <c r="AR197">
        <f t="shared" si="125"/>
        <v>382.35141183335759</v>
      </c>
      <c r="AS197">
        <f t="shared" si="115"/>
        <v>267.68913547901877</v>
      </c>
      <c r="AT197">
        <f t="shared" si="116"/>
        <v>0.15507820871106931</v>
      </c>
      <c r="AU197" t="b">
        <f t="shared" si="126"/>
        <v>1</v>
      </c>
      <c r="AV197">
        <f t="shared" si="117"/>
        <v>267.68913547901877</v>
      </c>
    </row>
    <row r="198" spans="1:48" x14ac:dyDescent="0.25">
      <c r="A198">
        <f t="shared" si="96"/>
        <v>19.600000000000009</v>
      </c>
      <c r="B198">
        <f t="shared" si="118"/>
        <v>0.1</v>
      </c>
      <c r="C198">
        <f>sim!C197+(sim!$G197*$B198*COS($E198))</f>
        <v>-96.281114143176794</v>
      </c>
      <c r="D198">
        <f>sim!D197+(sim!$G197*$B198*SIN($E198))</f>
        <v>1101.6230911503883</v>
      </c>
      <c r="E198">
        <f t="shared" si="97"/>
        <v>-2821.1501282588506</v>
      </c>
      <c r="F198">
        <f t="shared" si="104"/>
        <v>99.99944350845405</v>
      </c>
      <c r="G198">
        <v>100</v>
      </c>
      <c r="H198">
        <f t="shared" si="98"/>
        <v>4.8563048681718584E-5</v>
      </c>
      <c r="I198">
        <f t="shared" si="105"/>
        <v>2.7824577297508313E-3</v>
      </c>
      <c r="J198">
        <f t="shared" si="119"/>
        <v>0</v>
      </c>
      <c r="K198">
        <f t="shared" si="120"/>
        <v>0</v>
      </c>
      <c r="L198">
        <f t="shared" si="106"/>
        <v>0</v>
      </c>
      <c r="M198">
        <f t="shared" si="99"/>
        <v>2.7824577297508313E-3</v>
      </c>
      <c r="N198">
        <f t="shared" si="107"/>
        <v>-92.453590017537692</v>
      </c>
      <c r="O198">
        <f t="shared" si="108"/>
        <v>1092.3845815807852</v>
      </c>
      <c r="P198">
        <f t="shared" si="100"/>
        <v>-54.178348761146744</v>
      </c>
      <c r="Q198">
        <f t="shared" si="101"/>
        <v>999.99948588475274</v>
      </c>
      <c r="R198">
        <f t="shared" si="109"/>
        <v>-0.92385095696032415</v>
      </c>
      <c r="S198">
        <f t="shared" si="110"/>
        <v>0.38275241256390952</v>
      </c>
      <c r="U198">
        <f t="shared" si="127"/>
        <v>3</v>
      </c>
      <c r="V198" cm="1">
        <f t="array" ref="V198:AA198">INDEX(surface!$A$2:$I$40,U198+1,COLUMN(surface!$B$1:$G$1))</f>
        <v>-500</v>
      </c>
      <c r="W198">
        <v>1000</v>
      </c>
      <c r="X198">
        <v>0</v>
      </c>
      <c r="Y198">
        <v>1000</v>
      </c>
      <c r="Z198">
        <v>-500</v>
      </c>
      <c r="AA198">
        <v>0</v>
      </c>
      <c r="AB198">
        <f t="shared" si="102"/>
        <v>315.09281996492462</v>
      </c>
      <c r="AC198">
        <f t="shared" si="103"/>
        <v>1184.7691631615703</v>
      </c>
      <c r="AD198">
        <f t="shared" si="111"/>
        <v>-461.9254784801621</v>
      </c>
      <c r="AE198">
        <f t="shared" si="112"/>
        <v>99.99944350845405</v>
      </c>
      <c r="AF198">
        <f t="shared" si="113"/>
        <v>0.89164287648074292</v>
      </c>
      <c r="AG198" t="b">
        <f t="shared" si="121"/>
        <v>1</v>
      </c>
      <c r="AH198">
        <f t="shared" si="114"/>
        <v>99.99944350845405</v>
      </c>
      <c r="AI198">
        <f t="shared" si="122"/>
        <v>4</v>
      </c>
      <c r="AJ198" cm="1">
        <f t="array" ref="AJ198:AO198">INDEX(surface!$A$2:$I$40,AI198+1,COLUMN(surface!$B$1:$G$1))</f>
        <v>0</v>
      </c>
      <c r="AK198">
        <v>1000</v>
      </c>
      <c r="AL198">
        <v>0</v>
      </c>
      <c r="AM198">
        <v>1</v>
      </c>
      <c r="AN198">
        <v>0</v>
      </c>
      <c r="AO198">
        <v>999</v>
      </c>
      <c r="AP198">
        <f t="shared" si="123"/>
        <v>-184.90718003507538</v>
      </c>
      <c r="AQ198">
        <f t="shared" si="124"/>
        <v>1184.7691631615703</v>
      </c>
      <c r="AR198">
        <f t="shared" si="125"/>
        <v>382.36966015134561</v>
      </c>
      <c r="AS198">
        <f t="shared" si="115"/>
        <v>241.54933315306116</v>
      </c>
      <c r="AT198">
        <f t="shared" si="116"/>
        <v>0.13090190290870726</v>
      </c>
      <c r="AU198" t="b">
        <f t="shared" si="126"/>
        <v>1</v>
      </c>
      <c r="AV198">
        <f t="shared" si="117"/>
        <v>241.54933315306116</v>
      </c>
    </row>
    <row r="199" spans="1:48" x14ac:dyDescent="0.25">
      <c r="A199">
        <f t="shared" si="96"/>
        <v>19.70000000000001</v>
      </c>
      <c r="B199">
        <f t="shared" si="118"/>
        <v>0.1</v>
      </c>
      <c r="C199">
        <f>sim!C198+(sim!$G198*$B199*COS($E199))</f>
        <v>-86.281114174794808</v>
      </c>
      <c r="D199">
        <f>sim!D198+(sim!$G198*$B199*SIN($E199))</f>
        <v>1101.6238863612718</v>
      </c>
      <c r="E199">
        <f t="shared" si="97"/>
        <v>-2821.1501234025459</v>
      </c>
      <c r="F199">
        <f t="shared" si="104"/>
        <v>100.00052558441999</v>
      </c>
      <c r="G199">
        <v>100</v>
      </c>
      <c r="H199">
        <f t="shared" si="98"/>
        <v>-4.5865893129998651E-5</v>
      </c>
      <c r="I199">
        <f t="shared" si="105"/>
        <v>-2.6279220999469999E-3</v>
      </c>
      <c r="J199">
        <f t="shared" si="119"/>
        <v>0</v>
      </c>
      <c r="K199">
        <f t="shared" si="120"/>
        <v>0</v>
      </c>
      <c r="L199">
        <f t="shared" si="106"/>
        <v>0</v>
      </c>
      <c r="M199">
        <f t="shared" si="99"/>
        <v>-2.6279220999469999E-3</v>
      </c>
      <c r="N199">
        <f t="shared" si="107"/>
        <v>-82.453545184183284</v>
      </c>
      <c r="O199">
        <f t="shared" si="108"/>
        <v>1092.385395379401</v>
      </c>
      <c r="P199">
        <f t="shared" si="100"/>
        <v>-44.17785527806803</v>
      </c>
      <c r="Q199">
        <f t="shared" si="101"/>
        <v>1000.0004855606925</v>
      </c>
      <c r="R199">
        <f t="shared" si="109"/>
        <v>-0.92384909818708527</v>
      </c>
      <c r="S199">
        <f t="shared" si="110"/>
        <v>0.38275689906115257</v>
      </c>
      <c r="U199">
        <f t="shared" si="127"/>
        <v>3</v>
      </c>
      <c r="V199" cm="1">
        <f t="array" ref="V199:AA199">INDEX(surface!$A$2:$I$40,U199+1,COLUMN(surface!$B$1:$G$1))</f>
        <v>-500</v>
      </c>
      <c r="W199">
        <v>1000</v>
      </c>
      <c r="X199">
        <v>0</v>
      </c>
      <c r="Y199">
        <v>1000</v>
      </c>
      <c r="Z199">
        <v>-500</v>
      </c>
      <c r="AA199">
        <v>0</v>
      </c>
      <c r="AB199">
        <f t="shared" si="102"/>
        <v>335.09290963163346</v>
      </c>
      <c r="AC199">
        <f t="shared" si="103"/>
        <v>1184.7707907588019</v>
      </c>
      <c r="AD199">
        <f t="shared" si="111"/>
        <v>-461.92454909354262</v>
      </c>
      <c r="AE199">
        <f t="shared" si="112"/>
        <v>100.00052558441999</v>
      </c>
      <c r="AF199">
        <f t="shared" si="113"/>
        <v>0.9116446917859895</v>
      </c>
      <c r="AG199" t="b">
        <f t="shared" si="121"/>
        <v>1</v>
      </c>
      <c r="AH199">
        <f t="shared" si="114"/>
        <v>100.00052558441999</v>
      </c>
      <c r="AI199">
        <f t="shared" si="122"/>
        <v>4</v>
      </c>
      <c r="AJ199" cm="1">
        <f t="array" ref="AJ199:AO199">INDEX(surface!$A$2:$I$40,AI199+1,COLUMN(surface!$B$1:$G$1))</f>
        <v>0</v>
      </c>
      <c r="AK199">
        <v>1000</v>
      </c>
      <c r="AL199">
        <v>0</v>
      </c>
      <c r="AM199">
        <v>1</v>
      </c>
      <c r="AN199">
        <v>0</v>
      </c>
      <c r="AO199">
        <v>999</v>
      </c>
      <c r="AP199">
        <f t="shared" si="123"/>
        <v>-164.90709036836657</v>
      </c>
      <c r="AQ199">
        <f t="shared" si="124"/>
        <v>1184.7707907588019</v>
      </c>
      <c r="AR199">
        <f t="shared" si="125"/>
        <v>382.3741421620914</v>
      </c>
      <c r="AS199">
        <f t="shared" si="115"/>
        <v>215.42014105148709</v>
      </c>
      <c r="AT199">
        <f t="shared" si="116"/>
        <v>0.10673704470705712</v>
      </c>
      <c r="AU199" t="b">
        <f t="shared" si="126"/>
        <v>1</v>
      </c>
      <c r="AV199">
        <f t="shared" si="117"/>
        <v>215.42014105148709</v>
      </c>
    </row>
    <row r="200" spans="1:48" x14ac:dyDescent="0.25">
      <c r="A200">
        <f t="shared" si="96"/>
        <v>19.800000000000011</v>
      </c>
      <c r="B200">
        <f t="shared" si="118"/>
        <v>0.1</v>
      </c>
      <c r="C200">
        <f>sim!C199+(sim!$G199*$B200*COS($E200))</f>
        <v>-76.281114202870697</v>
      </c>
      <c r="D200">
        <f>sim!D199+(sim!$G199*$B200*SIN($E200))</f>
        <v>1101.6246357062605</v>
      </c>
      <c r="E200">
        <f t="shared" si="97"/>
        <v>-2821.1501279891354</v>
      </c>
      <c r="F200">
        <f t="shared" si="104"/>
        <v>100.00112766728552</v>
      </c>
      <c r="G200">
        <v>100</v>
      </c>
      <c r="H200">
        <f t="shared" si="98"/>
        <v>-9.8407534996410544E-5</v>
      </c>
      <c r="I200">
        <f t="shared" si="105"/>
        <v>-5.6383364275802705E-3</v>
      </c>
      <c r="J200">
        <f t="shared" si="119"/>
        <v>0</v>
      </c>
      <c r="K200">
        <f t="shared" si="120"/>
        <v>0</v>
      </c>
      <c r="L200">
        <f t="shared" si="106"/>
        <v>0</v>
      </c>
      <c r="M200">
        <f t="shared" si="99"/>
        <v>-5.6383364275802705E-3</v>
      </c>
      <c r="N200">
        <f t="shared" si="107"/>
        <v>-72.453587585465272</v>
      </c>
      <c r="O200">
        <f t="shared" si="108"/>
        <v>1092.3861271689991</v>
      </c>
      <c r="P200">
        <f t="shared" si="100"/>
        <v>-34.178321411411027</v>
      </c>
      <c r="Q200">
        <f t="shared" si="101"/>
        <v>1000.0010417963845</v>
      </c>
      <c r="R200">
        <f t="shared" si="109"/>
        <v>-0.92385085372614661</v>
      </c>
      <c r="S200">
        <f t="shared" si="110"/>
        <v>0.38275266174054245</v>
      </c>
      <c r="U200">
        <f t="shared" si="127"/>
        <v>3</v>
      </c>
      <c r="V200" cm="1">
        <f t="array" ref="V200:AA200">INDEX(surface!$A$2:$I$40,U200+1,COLUMN(surface!$B$1:$G$1))</f>
        <v>-500</v>
      </c>
      <c r="W200">
        <v>1000</v>
      </c>
      <c r="X200">
        <v>0</v>
      </c>
      <c r="Y200">
        <v>1000</v>
      </c>
      <c r="Z200">
        <v>-500</v>
      </c>
      <c r="AA200">
        <v>0</v>
      </c>
      <c r="AB200">
        <f t="shared" si="102"/>
        <v>355.09282482906946</v>
      </c>
      <c r="AC200">
        <f t="shared" si="103"/>
        <v>1184.7722543379982</v>
      </c>
      <c r="AD200">
        <f t="shared" si="111"/>
        <v>-461.92542686307331</v>
      </c>
      <c r="AE200">
        <f t="shared" si="112"/>
        <v>100.00112766728552</v>
      </c>
      <c r="AF200">
        <f t="shared" si="113"/>
        <v>0.93164422041248818</v>
      </c>
      <c r="AG200" t="b">
        <f t="shared" si="121"/>
        <v>1</v>
      </c>
      <c r="AH200">
        <f t="shared" si="114"/>
        <v>100.00112766728552</v>
      </c>
      <c r="AI200">
        <f t="shared" si="122"/>
        <v>4</v>
      </c>
      <c r="AJ200" cm="1">
        <f t="array" ref="AJ200:AO200">INDEX(surface!$A$2:$I$40,AI200+1,COLUMN(surface!$B$1:$G$1))</f>
        <v>0</v>
      </c>
      <c r="AK200">
        <v>1000</v>
      </c>
      <c r="AL200">
        <v>0</v>
      </c>
      <c r="AM200">
        <v>1</v>
      </c>
      <c r="AN200">
        <v>0</v>
      </c>
      <c r="AO200">
        <v>999</v>
      </c>
      <c r="AP200">
        <f t="shared" si="123"/>
        <v>-144.90717517093054</v>
      </c>
      <c r="AQ200">
        <f t="shared" si="124"/>
        <v>1184.7722543379982</v>
      </c>
      <c r="AR200">
        <f t="shared" si="125"/>
        <v>382.36990907880192</v>
      </c>
      <c r="AS200">
        <f t="shared" si="115"/>
        <v>189.29610379712938</v>
      </c>
      <c r="AT200">
        <f t="shared" si="116"/>
        <v>8.2577817748760884E-2</v>
      </c>
      <c r="AU200" t="b">
        <f t="shared" si="126"/>
        <v>1</v>
      </c>
      <c r="AV200">
        <f t="shared" si="117"/>
        <v>189.29610379712938</v>
      </c>
    </row>
    <row r="201" spans="1:48" x14ac:dyDescent="0.25">
      <c r="A201">
        <f t="shared" si="96"/>
        <v>19.900000000000013</v>
      </c>
      <c r="B201">
        <f t="shared" si="118"/>
        <v>0.1</v>
      </c>
      <c r="C201">
        <f>sim!C200+(sim!$G200*$B201*COS($E201))</f>
        <v>-66.28111422405668</v>
      </c>
      <c r="D201">
        <f>sim!D200+(sim!$G200*$B201*SIN($E201))</f>
        <v>1101.6252866437135</v>
      </c>
      <c r="E201">
        <f t="shared" si="97"/>
        <v>-2821.150137829889</v>
      </c>
      <c r="F201">
        <f t="shared" si="104"/>
        <v>100.00138378433209</v>
      </c>
      <c r="G201">
        <v>100</v>
      </c>
      <c r="H201">
        <f t="shared" si="98"/>
        <v>-1.2075796366252858E-4</v>
      </c>
      <c r="I201">
        <f t="shared" si="105"/>
        <v>-6.9189216604570447E-3</v>
      </c>
      <c r="J201">
        <f t="shared" si="119"/>
        <v>0</v>
      </c>
      <c r="K201">
        <f t="shared" si="120"/>
        <v>0</v>
      </c>
      <c r="L201">
        <f t="shared" si="106"/>
        <v>0</v>
      </c>
      <c r="M201">
        <f t="shared" si="99"/>
        <v>-6.9189216604570447E-3</v>
      </c>
      <c r="N201">
        <f t="shared" si="107"/>
        <v>-62.453678520722654</v>
      </c>
      <c r="O201">
        <f t="shared" si="108"/>
        <v>1092.3867404411531</v>
      </c>
      <c r="P201">
        <f t="shared" si="100"/>
        <v>-24.179321487382381</v>
      </c>
      <c r="Q201">
        <f t="shared" si="101"/>
        <v>1000.0012784155487</v>
      </c>
      <c r="R201">
        <f t="shared" si="109"/>
        <v>-0.92385462025604415</v>
      </c>
      <c r="S201">
        <f t="shared" si="110"/>
        <v>0.38274357033340273</v>
      </c>
      <c r="U201">
        <f t="shared" si="127"/>
        <v>3</v>
      </c>
      <c r="V201" cm="1">
        <f t="array" ref="V201:AA201">INDEX(surface!$A$2:$I$40,U201+1,COLUMN(surface!$B$1:$G$1))</f>
        <v>-500</v>
      </c>
      <c r="W201">
        <v>1000</v>
      </c>
      <c r="X201">
        <v>0</v>
      </c>
      <c r="Y201">
        <v>1000</v>
      </c>
      <c r="Z201">
        <v>-500</v>
      </c>
      <c r="AA201">
        <v>0</v>
      </c>
      <c r="AB201">
        <f t="shared" si="102"/>
        <v>375.09264295855468</v>
      </c>
      <c r="AC201">
        <f t="shared" si="103"/>
        <v>1184.7734808823061</v>
      </c>
      <c r="AD201">
        <f t="shared" si="111"/>
        <v>-461.9273101280221</v>
      </c>
      <c r="AE201">
        <f t="shared" si="112"/>
        <v>100.00138378433209</v>
      </c>
      <c r="AF201">
        <f t="shared" si="113"/>
        <v>0.95164241629434687</v>
      </c>
      <c r="AG201" t="b">
        <f t="shared" si="121"/>
        <v>1</v>
      </c>
      <c r="AH201">
        <f t="shared" si="114"/>
        <v>100.00138378433209</v>
      </c>
      <c r="AI201">
        <f t="shared" si="122"/>
        <v>4</v>
      </c>
      <c r="AJ201" cm="1">
        <f t="array" ref="AJ201:AO201">INDEX(surface!$A$2:$I$40,AI201+1,COLUMN(surface!$B$1:$G$1))</f>
        <v>0</v>
      </c>
      <c r="AK201">
        <v>1000</v>
      </c>
      <c r="AL201">
        <v>0</v>
      </c>
      <c r="AM201">
        <v>1</v>
      </c>
      <c r="AN201">
        <v>0</v>
      </c>
      <c r="AO201">
        <v>999</v>
      </c>
      <c r="AP201">
        <f t="shared" si="123"/>
        <v>-124.90735704144531</v>
      </c>
      <c r="AQ201">
        <f t="shared" si="124"/>
        <v>1184.7734808823061</v>
      </c>
      <c r="AR201">
        <f t="shared" si="125"/>
        <v>382.36082676306933</v>
      </c>
      <c r="AS201">
        <f t="shared" si="115"/>
        <v>163.17368431903404</v>
      </c>
      <c r="AT201">
        <f t="shared" si="116"/>
        <v>5.8420442163351106E-2</v>
      </c>
      <c r="AU201" t="b">
        <f t="shared" si="126"/>
        <v>1</v>
      </c>
      <c r="AV201">
        <f t="shared" si="117"/>
        <v>163.17368431903404</v>
      </c>
    </row>
    <row r="202" spans="1:48" x14ac:dyDescent="0.25">
      <c r="A202">
        <f t="shared" si="96"/>
        <v>20.000000000000014</v>
      </c>
      <c r="B202">
        <f t="shared" si="118"/>
        <v>0.1</v>
      </c>
      <c r="C202">
        <f>sim!C201+(sim!$G201*$B202*COS($E202))</f>
        <v>-56.281114238111194</v>
      </c>
      <c r="D202">
        <f>sim!D201+(sim!$G201*$B202*SIN($E202))</f>
        <v>1101.6258168232032</v>
      </c>
      <c r="E202">
        <f t="shared" si="97"/>
        <v>-2821.1501499056853</v>
      </c>
      <c r="F202">
        <f t="shared" si="104"/>
        <v>100.00140734617744</v>
      </c>
      <c r="G202">
        <v>100</v>
      </c>
      <c r="H202">
        <f t="shared" si="98"/>
        <v>-1.2281412255880778E-4</v>
      </c>
      <c r="I202">
        <f t="shared" si="105"/>
        <v>-7.0367308872221201E-3</v>
      </c>
      <c r="J202">
        <f t="shared" si="119"/>
        <v>0</v>
      </c>
      <c r="K202">
        <f t="shared" si="120"/>
        <v>0</v>
      </c>
      <c r="L202">
        <f t="shared" si="106"/>
        <v>0</v>
      </c>
      <c r="M202">
        <f t="shared" si="99"/>
        <v>-7.0367308872221201E-3</v>
      </c>
      <c r="N202">
        <f t="shared" si="107"/>
        <v>-52.453790097858729</v>
      </c>
      <c r="O202">
        <f t="shared" si="108"/>
        <v>1092.3872244019822</v>
      </c>
      <c r="P202">
        <f t="shared" si="100"/>
        <v>-14.180548695334103</v>
      </c>
      <c r="Q202">
        <f t="shared" si="101"/>
        <v>1000.0013001897729</v>
      </c>
      <c r="R202">
        <f t="shared" si="109"/>
        <v>-0.92385924212209269</v>
      </c>
      <c r="S202">
        <f t="shared" si="110"/>
        <v>0.38273241402524627</v>
      </c>
      <c r="U202">
        <f t="shared" si="127"/>
        <v>3</v>
      </c>
      <c r="V202" cm="1">
        <f t="array" ref="V202:AA202">INDEX(surface!$A$2:$I$40,U202+1,COLUMN(surface!$B$1:$G$1))</f>
        <v>-500</v>
      </c>
      <c r="W202">
        <v>1000</v>
      </c>
      <c r="X202">
        <v>0</v>
      </c>
      <c r="Y202">
        <v>1000</v>
      </c>
      <c r="Z202">
        <v>-500</v>
      </c>
      <c r="AA202">
        <v>0</v>
      </c>
      <c r="AB202">
        <f t="shared" si="102"/>
        <v>395.09241980428254</v>
      </c>
      <c r="AC202">
        <f t="shared" si="103"/>
        <v>1184.7744488039643</v>
      </c>
      <c r="AD202">
        <f t="shared" si="111"/>
        <v>-461.92962106104636</v>
      </c>
      <c r="AE202">
        <f t="shared" si="112"/>
        <v>100.00140734617744</v>
      </c>
      <c r="AF202">
        <f t="shared" si="113"/>
        <v>0.97163997988333162</v>
      </c>
      <c r="AG202" t="b">
        <f t="shared" si="121"/>
        <v>1</v>
      </c>
      <c r="AH202">
        <f t="shared" si="114"/>
        <v>100.00140734617744</v>
      </c>
      <c r="AI202">
        <f t="shared" si="122"/>
        <v>4</v>
      </c>
      <c r="AJ202" cm="1">
        <f t="array" ref="AJ202:AO202">INDEX(surface!$A$2:$I$40,AI202+1,COLUMN(surface!$B$1:$G$1))</f>
        <v>0</v>
      </c>
      <c r="AK202">
        <v>1000</v>
      </c>
      <c r="AL202">
        <v>0</v>
      </c>
      <c r="AM202">
        <v>1</v>
      </c>
      <c r="AN202">
        <v>0</v>
      </c>
      <c r="AO202">
        <v>999</v>
      </c>
      <c r="AP202">
        <f t="shared" si="123"/>
        <v>-104.90758019571746</v>
      </c>
      <c r="AQ202">
        <f t="shared" si="124"/>
        <v>1184.7744488039643</v>
      </c>
      <c r="AR202">
        <f t="shared" si="125"/>
        <v>382.349681611221</v>
      </c>
      <c r="AS202">
        <f t="shared" si="115"/>
        <v>137.05081716543273</v>
      </c>
      <c r="AT202">
        <f t="shared" si="116"/>
        <v>3.4262702379067096E-2</v>
      </c>
      <c r="AU202" t="b">
        <f t="shared" si="126"/>
        <v>1</v>
      </c>
      <c r="AV202">
        <f t="shared" si="117"/>
        <v>137.05081716543273</v>
      </c>
    </row>
    <row r="203" spans="1:48" x14ac:dyDescent="0.25">
      <c r="A203">
        <f t="shared" si="96"/>
        <v>20.100000000000016</v>
      </c>
      <c r="B203">
        <f t="shared" si="118"/>
        <v>0.1</v>
      </c>
      <c r="C203">
        <f>sim!C202+(sim!$G202*$B203*COS($E203))</f>
        <v>-46.281114246408521</v>
      </c>
      <c r="D203">
        <f>sim!D202+(sim!$G202*$B203*SIN($E203))</f>
        <v>1101.6262241885711</v>
      </c>
      <c r="E203">
        <f t="shared" si="97"/>
        <v>-2821.1501621870975</v>
      </c>
      <c r="F203">
        <f t="shared" si="104"/>
        <v>100.00128861875837</v>
      </c>
      <c r="G203">
        <v>100</v>
      </c>
      <c r="H203">
        <f t="shared" si="98"/>
        <v>-1.1245320068224449E-4</v>
      </c>
      <c r="I203">
        <f t="shared" si="105"/>
        <v>-6.4430937918302789E-3</v>
      </c>
      <c r="J203">
        <f t="shared" si="119"/>
        <v>0</v>
      </c>
      <c r="K203">
        <f t="shared" si="120"/>
        <v>0</v>
      </c>
      <c r="L203">
        <f t="shared" si="106"/>
        <v>0</v>
      </c>
      <c r="M203">
        <f t="shared" si="99"/>
        <v>-6.4430937918302789E-3</v>
      </c>
      <c r="N203">
        <f t="shared" si="107"/>
        <v>-42.453903569406208</v>
      </c>
      <c r="O203">
        <f t="shared" si="108"/>
        <v>1092.3875847631016</v>
      </c>
      <c r="P203">
        <f t="shared" si="100"/>
        <v>-4.1817967993830862</v>
      </c>
      <c r="Q203">
        <f t="shared" si="101"/>
        <v>1000.0011905084066</v>
      </c>
      <c r="R203">
        <f t="shared" si="109"/>
        <v>-0.92386394254695048</v>
      </c>
      <c r="S203">
        <f t="shared" si="110"/>
        <v>0.38272106770023123</v>
      </c>
      <c r="U203">
        <f t="shared" si="127"/>
        <v>3</v>
      </c>
      <c r="V203" cm="1">
        <f t="array" ref="V203:AA203">INDEX(surface!$A$2:$I$40,U203+1,COLUMN(surface!$B$1:$G$1))</f>
        <v>-500</v>
      </c>
      <c r="W203">
        <v>1000</v>
      </c>
      <c r="X203">
        <v>0</v>
      </c>
      <c r="Y203">
        <v>1000</v>
      </c>
      <c r="Z203">
        <v>-500</v>
      </c>
      <c r="AA203">
        <v>0</v>
      </c>
      <c r="AB203">
        <f t="shared" si="102"/>
        <v>415.09219286118758</v>
      </c>
      <c r="AC203">
        <f t="shared" si="103"/>
        <v>1184.7751695262032</v>
      </c>
      <c r="AD203">
        <f t="shared" si="111"/>
        <v>-461.93197127347526</v>
      </c>
      <c r="AE203">
        <f t="shared" si="112"/>
        <v>100.00128861875837</v>
      </c>
      <c r="AF203">
        <f t="shared" si="113"/>
        <v>0.99163739276432805</v>
      </c>
      <c r="AG203" t="b">
        <f t="shared" si="121"/>
        <v>1</v>
      </c>
      <c r="AH203">
        <f t="shared" si="114"/>
        <v>100.00128861875837</v>
      </c>
      <c r="AI203">
        <f t="shared" si="122"/>
        <v>4</v>
      </c>
      <c r="AJ203" cm="1">
        <f t="array" ref="AJ203:AO203">INDEX(surface!$A$2:$I$40,AI203+1,COLUMN(surface!$B$1:$G$1))</f>
        <v>0</v>
      </c>
      <c r="AK203">
        <v>1000</v>
      </c>
      <c r="AL203">
        <v>0</v>
      </c>
      <c r="AM203">
        <v>1</v>
      </c>
      <c r="AN203">
        <v>0</v>
      </c>
      <c r="AO203">
        <v>999</v>
      </c>
      <c r="AP203">
        <f t="shared" si="123"/>
        <v>-84.907807138812416</v>
      </c>
      <c r="AQ203">
        <f t="shared" si="124"/>
        <v>1184.7751695262032</v>
      </c>
      <c r="AR203">
        <f t="shared" si="125"/>
        <v>382.338346632531</v>
      </c>
      <c r="AS203">
        <f t="shared" si="115"/>
        <v>110.92648707454616</v>
      </c>
      <c r="AT203">
        <f t="shared" si="116"/>
        <v>1.0103500418890866E-2</v>
      </c>
      <c r="AU203" t="b">
        <f t="shared" si="126"/>
        <v>1</v>
      </c>
      <c r="AV203">
        <f t="shared" si="117"/>
        <v>110.92648707454616</v>
      </c>
    </row>
    <row r="204" spans="1:48" x14ac:dyDescent="0.25">
      <c r="A204">
        <f t="shared" si="96"/>
        <v>20.200000000000017</v>
      </c>
      <c r="B204">
        <f t="shared" si="118"/>
        <v>0.1</v>
      </c>
      <c r="C204">
        <f>sim!C203+(sim!$G203*$B204*COS($E204))</f>
        <v>-36.281114250757184</v>
      </c>
      <c r="D204">
        <f>sim!D203+(sim!$G203*$B204*SIN($E204))</f>
        <v>1101.6265191007401</v>
      </c>
      <c r="E204">
        <f t="shared" si="97"/>
        <v>-2821.1501734324174</v>
      </c>
      <c r="F204">
        <f t="shared" si="104"/>
        <v>25000</v>
      </c>
      <c r="G204">
        <v>100</v>
      </c>
      <c r="H204">
        <f t="shared" si="98"/>
        <v>-2172.9349187329403</v>
      </c>
      <c r="I204">
        <f t="shared" si="105"/>
        <v>-124500</v>
      </c>
      <c r="J204">
        <f t="shared" si="119"/>
        <v>0</v>
      </c>
      <c r="K204">
        <f t="shared" si="120"/>
        <v>0</v>
      </c>
      <c r="L204">
        <f t="shared" si="106"/>
        <v>0</v>
      </c>
      <c r="M204">
        <f t="shared" si="99"/>
        <v>-124500</v>
      </c>
      <c r="N204">
        <f t="shared" si="107"/>
        <v>-32.45400746545274</v>
      </c>
      <c r="O204">
        <f t="shared" si="108"/>
        <v>1092.3878366376464</v>
      </c>
      <c r="P204">
        <f t="shared" si="100"/>
        <v>5.8170603875917166</v>
      </c>
      <c r="Q204">
        <f t="shared" si="101"/>
        <v>1000.0010120067085</v>
      </c>
      <c r="R204">
        <f t="shared" si="109"/>
        <v>-0.92386824630937869</v>
      </c>
      <c r="S204">
        <f t="shared" si="110"/>
        <v>0.38271067853044455</v>
      </c>
      <c r="U204">
        <f t="shared" si="127"/>
        <v>3</v>
      </c>
      <c r="V204" cm="1">
        <f t="array" ref="V204:AA204">INDEX(surface!$A$2:$I$40,U204+1,COLUMN(surface!$B$1:$G$1))</f>
        <v>-500</v>
      </c>
      <c r="W204">
        <v>1000</v>
      </c>
      <c r="X204">
        <v>0</v>
      </c>
      <c r="Y204">
        <v>1000</v>
      </c>
      <c r="Z204">
        <v>-500</v>
      </c>
      <c r="AA204">
        <v>0</v>
      </c>
      <c r="AB204">
        <f t="shared" si="102"/>
        <v>435.09198506909451</v>
      </c>
      <c r="AC204">
        <f t="shared" si="103"/>
        <v>1184.7756732752928</v>
      </c>
      <c r="AD204">
        <f t="shared" si="111"/>
        <v>-461.93412315468936</v>
      </c>
      <c r="AE204">
        <f t="shared" si="112"/>
        <v>100.00109540154946</v>
      </c>
      <c r="AF204">
        <f t="shared" si="113"/>
        <v>1.0116349592189238</v>
      </c>
      <c r="AG204" t="b">
        <f t="shared" si="121"/>
        <v>0</v>
      </c>
      <c r="AH204">
        <f t="shared" si="114"/>
        <v>25000</v>
      </c>
      <c r="AI204">
        <f t="shared" si="122"/>
        <v>4</v>
      </c>
      <c r="AJ204" cm="1">
        <f t="array" ref="AJ204:AO204">INDEX(surface!$A$2:$I$40,AI204+1,COLUMN(surface!$B$1:$G$1))</f>
        <v>0</v>
      </c>
      <c r="AK204">
        <v>1000</v>
      </c>
      <c r="AL204">
        <v>0</v>
      </c>
      <c r="AM204">
        <v>1</v>
      </c>
      <c r="AN204">
        <v>0</v>
      </c>
      <c r="AO204">
        <v>999</v>
      </c>
      <c r="AP204">
        <f t="shared" si="123"/>
        <v>-64.90801493090548</v>
      </c>
      <c r="AQ204">
        <f t="shared" si="124"/>
        <v>1184.7756732752928</v>
      </c>
      <c r="AR204">
        <f t="shared" si="125"/>
        <v>382.32796785191408</v>
      </c>
      <c r="AS204">
        <f t="shared" si="115"/>
        <v>84.800370844293113</v>
      </c>
      <c r="AT204">
        <f t="shared" si="116"/>
        <v>-1.4057524263607958E-2</v>
      </c>
      <c r="AU204" t="b">
        <f t="shared" si="126"/>
        <v>0</v>
      </c>
      <c r="AV204">
        <f t="shared" si="117"/>
        <v>25000</v>
      </c>
    </row>
    <row r="205" spans="1:48" x14ac:dyDescent="0.25">
      <c r="A205">
        <f t="shared" si="96"/>
        <v>20.300000000000018</v>
      </c>
      <c r="B205">
        <f t="shared" si="118"/>
        <v>0.1</v>
      </c>
      <c r="C205">
        <f>sim!C204+(sim!$G204*$B205*COS($E205))</f>
        <v>-44.941515740920202</v>
      </c>
      <c r="D205">
        <f>sim!D204+(sim!$G204*$B205*SIN($E205))</f>
        <v>1106.6262636971353</v>
      </c>
      <c r="E205">
        <f t="shared" si="97"/>
        <v>-3038.4436653057114</v>
      </c>
      <c r="F205">
        <f t="shared" si="104"/>
        <v>25000</v>
      </c>
      <c r="G205">
        <v>100</v>
      </c>
      <c r="H205">
        <f t="shared" si="98"/>
        <v>-2172.9349187329403</v>
      </c>
      <c r="I205">
        <f t="shared" si="105"/>
        <v>-124500</v>
      </c>
      <c r="J205">
        <f t="shared" si="119"/>
        <v>0</v>
      </c>
      <c r="K205">
        <f t="shared" si="120"/>
        <v>0</v>
      </c>
      <c r="L205">
        <f t="shared" si="106"/>
        <v>0</v>
      </c>
      <c r="M205">
        <f t="shared" si="99"/>
        <v>-124500</v>
      </c>
      <c r="N205">
        <f t="shared" si="107"/>
        <v>-43.6365462084432</v>
      </c>
      <c r="O205">
        <f t="shared" si="108"/>
        <v>1116.5407508003245</v>
      </c>
      <c r="P205">
        <f t="shared" si="100"/>
        <v>-30.586850883673158</v>
      </c>
      <c r="Q205">
        <f t="shared" si="101"/>
        <v>1215.6856218322175</v>
      </c>
      <c r="R205">
        <f t="shared" si="109"/>
        <v>0.99144871031892901</v>
      </c>
      <c r="S205">
        <f t="shared" si="110"/>
        <v>0.13049695324770041</v>
      </c>
      <c r="U205">
        <f t="shared" si="127"/>
        <v>3</v>
      </c>
      <c r="V205" cm="1">
        <f t="array" ref="V205:AA205">INDEX(surface!$A$2:$I$40,U205+1,COLUMN(surface!$B$1:$G$1))</f>
        <v>-500</v>
      </c>
      <c r="W205">
        <v>1000</v>
      </c>
      <c r="X205">
        <v>0</v>
      </c>
      <c r="Y205">
        <v>1000</v>
      </c>
      <c r="Z205">
        <v>-500</v>
      </c>
      <c r="AA205">
        <v>0</v>
      </c>
      <c r="AB205">
        <f t="shared" si="102"/>
        <v>412.72690758311359</v>
      </c>
      <c r="AC205">
        <f t="shared" si="103"/>
        <v>1233.0815016006491</v>
      </c>
      <c r="AD205">
        <f t="shared" si="111"/>
        <v>495.72435515946449</v>
      </c>
      <c r="AE205">
        <f t="shared" si="112"/>
        <v>-117.54592001318528</v>
      </c>
      <c r="AF205">
        <f t="shared" si="113"/>
        <v>0.88204813872627641</v>
      </c>
      <c r="AG205" t="b">
        <f t="shared" si="121"/>
        <v>0</v>
      </c>
      <c r="AH205">
        <f t="shared" si="114"/>
        <v>25000</v>
      </c>
      <c r="AI205">
        <f t="shared" si="122"/>
        <v>4</v>
      </c>
      <c r="AJ205" cm="1">
        <f t="array" ref="AJ205:AO205">INDEX(surface!$A$2:$I$40,AI205+1,COLUMN(surface!$B$1:$G$1))</f>
        <v>0</v>
      </c>
      <c r="AK205">
        <v>1000</v>
      </c>
      <c r="AL205">
        <v>0</v>
      </c>
      <c r="AM205">
        <v>1</v>
      </c>
      <c r="AN205">
        <v>0</v>
      </c>
      <c r="AO205">
        <v>999</v>
      </c>
      <c r="AP205">
        <f t="shared" si="123"/>
        <v>-87.273092416886399</v>
      </c>
      <c r="AQ205">
        <f t="shared" si="124"/>
        <v>1233.0815016006491</v>
      </c>
      <c r="AR205">
        <f t="shared" si="125"/>
        <v>130.36645629445272</v>
      </c>
      <c r="AS205">
        <f t="shared" si="115"/>
        <v>334.38747129686072</v>
      </c>
      <c r="AT205">
        <f t="shared" si="116"/>
        <v>-0.44851729525966461</v>
      </c>
      <c r="AU205" t="b">
        <f t="shared" si="126"/>
        <v>0</v>
      </c>
      <c r="AV205">
        <f t="shared" si="117"/>
        <v>25000</v>
      </c>
    </row>
    <row r="206" spans="1:48" x14ac:dyDescent="0.25">
      <c r="A206">
        <f t="shared" si="96"/>
        <v>20.40000000000002</v>
      </c>
      <c r="B206">
        <f t="shared" si="118"/>
        <v>0.1</v>
      </c>
      <c r="C206">
        <f>sim!C205+(sim!$G205*$B206*COS($E206))</f>
        <v>-39.941260341663593</v>
      </c>
      <c r="D206">
        <f>sim!D205+(sim!$G205*$B206*SIN($E206))</f>
        <v>1097.9661571191418</v>
      </c>
      <c r="E206">
        <f t="shared" si="97"/>
        <v>-3255.7371571790054</v>
      </c>
      <c r="F206">
        <f t="shared" si="104"/>
        <v>113.48084431071614</v>
      </c>
      <c r="G206">
        <v>100</v>
      </c>
      <c r="H206">
        <f t="shared" si="98"/>
        <v>-1.1764255958537104</v>
      </c>
      <c r="I206">
        <f t="shared" si="105"/>
        <v>-67.404221553580683</v>
      </c>
      <c r="J206">
        <f t="shared" si="119"/>
        <v>0</v>
      </c>
      <c r="K206">
        <f t="shared" si="120"/>
        <v>0</v>
      </c>
      <c r="L206">
        <f t="shared" si="106"/>
        <v>0</v>
      </c>
      <c r="M206">
        <f t="shared" si="99"/>
        <v>-67.404221553580683</v>
      </c>
      <c r="N206">
        <f t="shared" si="107"/>
        <v>-46.028640659547669</v>
      </c>
      <c r="O206">
        <f t="shared" si="108"/>
        <v>1090.032444188525</v>
      </c>
      <c r="P206">
        <f t="shared" si="100"/>
        <v>-106.90244383838845</v>
      </c>
      <c r="Q206">
        <f t="shared" si="101"/>
        <v>1010.6953148823561</v>
      </c>
      <c r="R206">
        <f t="shared" si="109"/>
        <v>-0.7933712930616883</v>
      </c>
      <c r="S206">
        <f t="shared" si="110"/>
        <v>-0.6087380317884078</v>
      </c>
      <c r="U206">
        <f t="shared" si="127"/>
        <v>3</v>
      </c>
      <c r="V206" cm="1">
        <f t="array" ref="V206:AA206">INDEX(surface!$A$2:$I$40,U206+1,COLUMN(surface!$B$1:$G$1))</f>
        <v>-500</v>
      </c>
      <c r="W206">
        <v>1000</v>
      </c>
      <c r="X206">
        <v>0</v>
      </c>
      <c r="Y206">
        <v>1000</v>
      </c>
      <c r="Z206">
        <v>-500</v>
      </c>
      <c r="AA206">
        <v>0</v>
      </c>
      <c r="AB206">
        <f t="shared" si="102"/>
        <v>407.94271868090465</v>
      </c>
      <c r="AC206">
        <f t="shared" si="103"/>
        <v>1180.06488837705</v>
      </c>
      <c r="AD206">
        <f t="shared" si="111"/>
        <v>-396.68564653084417</v>
      </c>
      <c r="AE206">
        <f t="shared" si="112"/>
        <v>113.48084431071614</v>
      </c>
      <c r="AF206">
        <f t="shared" si="113"/>
        <v>0.76978250705812035</v>
      </c>
      <c r="AG206" t="b">
        <f t="shared" si="121"/>
        <v>1</v>
      </c>
      <c r="AH206">
        <f t="shared" si="114"/>
        <v>113.48084431071614</v>
      </c>
      <c r="AI206">
        <f t="shared" si="122"/>
        <v>4</v>
      </c>
      <c r="AJ206" cm="1">
        <f t="array" ref="AJ206:AO206">INDEX(surface!$A$2:$I$40,AI206+1,COLUMN(surface!$B$1:$G$1))</f>
        <v>0</v>
      </c>
      <c r="AK206">
        <v>1000</v>
      </c>
      <c r="AL206">
        <v>0</v>
      </c>
      <c r="AM206">
        <v>1</v>
      </c>
      <c r="AN206">
        <v>0</v>
      </c>
      <c r="AO206">
        <v>999</v>
      </c>
      <c r="AP206">
        <f t="shared" si="123"/>
        <v>-92.057281319095338</v>
      </c>
      <c r="AQ206">
        <f t="shared" si="124"/>
        <v>1180.06488837705</v>
      </c>
      <c r="AR206">
        <f t="shared" si="125"/>
        <v>-608.1292937566194</v>
      </c>
      <c r="AS206">
        <f t="shared" si="115"/>
        <v>-75.613216615233327</v>
      </c>
      <c r="AT206">
        <f t="shared" si="116"/>
        <v>-0.15017197159870491</v>
      </c>
      <c r="AU206" t="b">
        <f t="shared" si="126"/>
        <v>0</v>
      </c>
      <c r="AV206">
        <f t="shared" si="117"/>
        <v>25000</v>
      </c>
    </row>
    <row r="207" spans="1:48" x14ac:dyDescent="0.25">
      <c r="A207">
        <f t="shared" si="96"/>
        <v>20.500000000000021</v>
      </c>
      <c r="B207">
        <f t="shared" si="118"/>
        <v>0.1</v>
      </c>
      <c r="C207">
        <f>sim!C206+(sim!$G206*$B207*COS($E207))</f>
        <v>-35.992014994824068</v>
      </c>
      <c r="D207">
        <f>sim!D206+(sim!$G206*$B207*SIN($E207))</f>
        <v>1088.7790214833483</v>
      </c>
      <c r="E207">
        <f t="shared" si="97"/>
        <v>-3255.8547997385908</v>
      </c>
      <c r="F207">
        <f t="shared" si="104"/>
        <v>113.91704298133064</v>
      </c>
      <c r="G207">
        <v>100</v>
      </c>
      <c r="H207">
        <f t="shared" si="98"/>
        <v>-1.2144911108289369</v>
      </c>
      <c r="I207">
        <f t="shared" si="105"/>
        <v>-69.585214906653192</v>
      </c>
      <c r="J207">
        <f t="shared" si="119"/>
        <v>0</v>
      </c>
      <c r="K207">
        <f t="shared" si="120"/>
        <v>0</v>
      </c>
      <c r="L207">
        <f t="shared" si="106"/>
        <v>0</v>
      </c>
      <c r="M207">
        <f t="shared" si="99"/>
        <v>-69.585214906653192</v>
      </c>
      <c r="N207">
        <f t="shared" si="107"/>
        <v>-42.968510806557575</v>
      </c>
      <c r="O207">
        <f t="shared" si="108"/>
        <v>1081.6146299398281</v>
      </c>
      <c r="P207">
        <f t="shared" si="100"/>
        <v>-112.73346892389264</v>
      </c>
      <c r="Q207">
        <f t="shared" si="101"/>
        <v>1009.9707145046253</v>
      </c>
      <c r="R207">
        <f t="shared" si="109"/>
        <v>-0.71643915435202754</v>
      </c>
      <c r="S207">
        <f t="shared" si="110"/>
        <v>-0.69764958117335074</v>
      </c>
      <c r="U207">
        <f t="shared" si="127"/>
        <v>3</v>
      </c>
      <c r="V207" cm="1">
        <f t="array" ref="V207:AA207">INDEX(surface!$A$2:$I$40,U207+1,COLUMN(surface!$B$1:$G$1))</f>
        <v>-500</v>
      </c>
      <c r="W207">
        <v>1000</v>
      </c>
      <c r="X207">
        <v>0</v>
      </c>
      <c r="Y207">
        <v>1000</v>
      </c>
      <c r="Z207">
        <v>-500</v>
      </c>
      <c r="AA207">
        <v>0</v>
      </c>
      <c r="AB207">
        <f t="shared" si="102"/>
        <v>414.06297838688488</v>
      </c>
      <c r="AC207">
        <f t="shared" si="103"/>
        <v>1163.2292598796562</v>
      </c>
      <c r="AD207">
        <f t="shared" si="111"/>
        <v>-358.21957717601379</v>
      </c>
      <c r="AE207">
        <f t="shared" si="112"/>
        <v>113.91704298133064</v>
      </c>
      <c r="AF207">
        <f t="shared" si="113"/>
        <v>0.75511462373802096</v>
      </c>
      <c r="AG207" t="b">
        <f t="shared" si="121"/>
        <v>1</v>
      </c>
      <c r="AH207">
        <f t="shared" si="114"/>
        <v>113.91704298133064</v>
      </c>
      <c r="AI207">
        <f t="shared" si="122"/>
        <v>4</v>
      </c>
      <c r="AJ207" cm="1">
        <f t="array" ref="AJ207:AO207">INDEX(surface!$A$2:$I$40,AI207+1,COLUMN(surface!$B$1:$G$1))</f>
        <v>0</v>
      </c>
      <c r="AK207">
        <v>1000</v>
      </c>
      <c r="AL207">
        <v>0</v>
      </c>
      <c r="AM207">
        <v>1</v>
      </c>
      <c r="AN207">
        <v>0</v>
      </c>
      <c r="AO207">
        <v>999</v>
      </c>
      <c r="AP207">
        <f t="shared" si="123"/>
        <v>-85.937021613115149</v>
      </c>
      <c r="AQ207">
        <f t="shared" si="124"/>
        <v>1163.2292598796562</v>
      </c>
      <c r="AR207">
        <f t="shared" si="125"/>
        <v>-696.9519315921774</v>
      </c>
      <c r="AS207">
        <f t="shared" si="115"/>
        <v>-61.590391460266403</v>
      </c>
      <c r="AT207">
        <f t="shared" si="116"/>
        <v>-0.1258662641780097</v>
      </c>
      <c r="AU207" t="b">
        <f t="shared" si="126"/>
        <v>0</v>
      </c>
      <c r="AV207">
        <f t="shared" si="117"/>
        <v>25000</v>
      </c>
    </row>
    <row r="208" spans="1:48" x14ac:dyDescent="0.25">
      <c r="A208">
        <f t="shared" si="96"/>
        <v>20.600000000000023</v>
      </c>
      <c r="B208">
        <f t="shared" si="118"/>
        <v>0.1</v>
      </c>
      <c r="C208">
        <f>sim!C207+(sim!$G207*$B208*COS($E208))</f>
        <v>-33.184887892667824</v>
      </c>
      <c r="D208">
        <f>sim!D207+(sim!$G207*$B208*SIN($E208))</f>
        <v>1079.1811030927627</v>
      </c>
      <c r="E208">
        <f t="shared" si="97"/>
        <v>-3255.9762488496735</v>
      </c>
      <c r="F208">
        <f t="shared" si="104"/>
        <v>116.35796655548563</v>
      </c>
      <c r="G208">
        <v>100</v>
      </c>
      <c r="H208">
        <f t="shared" si="98"/>
        <v>-1.4275018766216998</v>
      </c>
      <c r="I208">
        <f t="shared" si="105"/>
        <v>-81.78983277742816</v>
      </c>
      <c r="J208">
        <f t="shared" si="119"/>
        <v>0</v>
      </c>
      <c r="K208">
        <f t="shared" si="120"/>
        <v>0</v>
      </c>
      <c r="L208">
        <f t="shared" si="106"/>
        <v>0</v>
      </c>
      <c r="M208">
        <f t="shared" si="99"/>
        <v>-81.78983277742816</v>
      </c>
      <c r="N208">
        <f t="shared" si="107"/>
        <v>-40.977967213904591</v>
      </c>
      <c r="O208">
        <f t="shared" si="108"/>
        <v>1072.9146914646526</v>
      </c>
      <c r="P208">
        <f t="shared" si="100"/>
        <v>-118.90876042627231</v>
      </c>
      <c r="Q208">
        <f t="shared" si="101"/>
        <v>1010.2505751835529</v>
      </c>
      <c r="R208">
        <f t="shared" si="109"/>
        <v>-0.62664116281099691</v>
      </c>
      <c r="S208">
        <f t="shared" si="110"/>
        <v>-0.77930793212367711</v>
      </c>
      <c r="U208">
        <f t="shared" si="127"/>
        <v>3</v>
      </c>
      <c r="V208" cm="1">
        <f t="array" ref="V208:AA208">INDEX(surface!$A$2:$I$40,U208+1,COLUMN(surface!$B$1:$G$1))</f>
        <v>-500</v>
      </c>
      <c r="W208">
        <v>1000</v>
      </c>
      <c r="X208">
        <v>0</v>
      </c>
      <c r="Y208">
        <v>1000</v>
      </c>
      <c r="Z208">
        <v>-500</v>
      </c>
      <c r="AA208">
        <v>0</v>
      </c>
      <c r="AB208">
        <f t="shared" si="102"/>
        <v>418.04406557219079</v>
      </c>
      <c r="AC208">
        <f t="shared" si="103"/>
        <v>1145.8293829293052</v>
      </c>
      <c r="AD208">
        <f t="shared" si="111"/>
        <v>-313.32058140549844</v>
      </c>
      <c r="AE208">
        <f t="shared" si="112"/>
        <v>116.35796655548563</v>
      </c>
      <c r="AF208">
        <f t="shared" si="113"/>
        <v>0.73668669296724787</v>
      </c>
      <c r="AG208" t="b">
        <f t="shared" si="121"/>
        <v>1</v>
      </c>
      <c r="AH208">
        <f t="shared" si="114"/>
        <v>116.35796655548563</v>
      </c>
      <c r="AI208">
        <f t="shared" si="122"/>
        <v>4</v>
      </c>
      <c r="AJ208" cm="1">
        <f t="array" ref="AJ208:AO208">INDEX(surface!$A$2:$I$40,AI208+1,COLUMN(surface!$B$1:$G$1))</f>
        <v>0</v>
      </c>
      <c r="AK208">
        <v>1000</v>
      </c>
      <c r="AL208">
        <v>0</v>
      </c>
      <c r="AM208">
        <v>1</v>
      </c>
      <c r="AN208">
        <v>0</v>
      </c>
      <c r="AO208">
        <v>999</v>
      </c>
      <c r="AP208">
        <f t="shared" si="123"/>
        <v>-81.955934427809183</v>
      </c>
      <c r="AQ208">
        <f t="shared" si="124"/>
        <v>1145.8293829293052</v>
      </c>
      <c r="AR208">
        <f t="shared" si="125"/>
        <v>-778.52862419155338</v>
      </c>
      <c r="AS208">
        <f t="shared" si="115"/>
        <v>-52.582510102567959</v>
      </c>
      <c r="AT208">
        <f t="shared" si="116"/>
        <v>-0.10597102776661339</v>
      </c>
      <c r="AU208" t="b">
        <f t="shared" si="126"/>
        <v>0</v>
      </c>
      <c r="AV208">
        <f t="shared" si="117"/>
        <v>25000</v>
      </c>
    </row>
    <row r="209" spans="1:48" x14ac:dyDescent="0.25">
      <c r="A209">
        <f t="shared" si="96"/>
        <v>20.700000000000024</v>
      </c>
      <c r="B209">
        <f t="shared" si="118"/>
        <v>0.1</v>
      </c>
      <c r="C209">
        <f>sim!C208+(sim!$G208*$B209*COS($E209))</f>
        <v>-31.771769679648024</v>
      </c>
      <c r="D209">
        <f>sim!D208+(sim!$G208*$B209*SIN($E209))</f>
        <v>1069.2814517395063</v>
      </c>
      <c r="E209">
        <f t="shared" si="97"/>
        <v>-3256.1189990373359</v>
      </c>
      <c r="F209">
        <f t="shared" si="104"/>
        <v>126.00642997207744</v>
      </c>
      <c r="G209">
        <v>100</v>
      </c>
      <c r="H209">
        <f t="shared" si="98"/>
        <v>-2.2694891485104418</v>
      </c>
      <c r="I209">
        <f t="shared" si="105"/>
        <v>-130.03214986038722</v>
      </c>
      <c r="J209">
        <f t="shared" si="119"/>
        <v>0</v>
      </c>
      <c r="K209">
        <f t="shared" si="120"/>
        <v>0</v>
      </c>
      <c r="L209">
        <f t="shared" si="106"/>
        <v>0</v>
      </c>
      <c r="M209">
        <f t="shared" si="99"/>
        <v>-130.03214986038722</v>
      </c>
      <c r="N209">
        <f t="shared" si="107"/>
        <v>-40.377078015822732</v>
      </c>
      <c r="O209">
        <f t="shared" si="108"/>
        <v>1064.1874681863956</v>
      </c>
      <c r="P209">
        <f t="shared" si="100"/>
        <v>-126.43016137756977</v>
      </c>
      <c r="Q209">
        <f t="shared" si="101"/>
        <v>1013.2476326552887</v>
      </c>
      <c r="R209">
        <f t="shared" si="109"/>
        <v>-0.50939835531106836</v>
      </c>
      <c r="S209">
        <f t="shared" si="110"/>
        <v>-0.8605308336174704</v>
      </c>
      <c r="U209">
        <f t="shared" si="127"/>
        <v>3</v>
      </c>
      <c r="V209" cm="1">
        <f t="array" ref="V209:AA209">INDEX(surface!$A$2:$I$40,U209+1,COLUMN(surface!$B$1:$G$1))</f>
        <v>-500</v>
      </c>
      <c r="W209">
        <v>1000</v>
      </c>
      <c r="X209">
        <v>0</v>
      </c>
      <c r="Y209">
        <v>1000</v>
      </c>
      <c r="Z209">
        <v>-500</v>
      </c>
      <c r="AA209">
        <v>0</v>
      </c>
      <c r="AB209">
        <f t="shared" si="102"/>
        <v>419.24584396835451</v>
      </c>
      <c r="AC209">
        <f t="shared" si="103"/>
        <v>1128.3749363727911</v>
      </c>
      <c r="AD209">
        <f t="shared" si="111"/>
        <v>-254.69917765553419</v>
      </c>
      <c r="AE209">
        <f t="shared" si="112"/>
        <v>126.00642997207744</v>
      </c>
      <c r="AF209">
        <f t="shared" si="113"/>
        <v>0.70238100751828814</v>
      </c>
      <c r="AG209" t="b">
        <f t="shared" si="121"/>
        <v>1</v>
      </c>
      <c r="AH209">
        <f t="shared" si="114"/>
        <v>126.00642997207744</v>
      </c>
      <c r="AI209">
        <f t="shared" si="122"/>
        <v>4</v>
      </c>
      <c r="AJ209" cm="1">
        <f t="array" ref="AJ209:AO209">INDEX(surface!$A$2:$I$40,AI209+1,COLUMN(surface!$B$1:$G$1))</f>
        <v>0</v>
      </c>
      <c r="AK209">
        <v>1000</v>
      </c>
      <c r="AL209">
        <v>0</v>
      </c>
      <c r="AM209">
        <v>1</v>
      </c>
      <c r="AN209">
        <v>0</v>
      </c>
      <c r="AO209">
        <v>999</v>
      </c>
      <c r="AP209">
        <f t="shared" si="123"/>
        <v>-80.754156031645465</v>
      </c>
      <c r="AQ209">
        <f t="shared" si="124"/>
        <v>1128.3749363727911</v>
      </c>
      <c r="AR209">
        <f t="shared" si="125"/>
        <v>-859.67030278385289</v>
      </c>
      <c r="AS209">
        <f t="shared" si="115"/>
        <v>-46.921128724797626</v>
      </c>
      <c r="AT209">
        <f t="shared" si="116"/>
        <v>-8.8177191179325737E-2</v>
      </c>
      <c r="AU209" t="b">
        <f t="shared" si="126"/>
        <v>0</v>
      </c>
      <c r="AV209">
        <f t="shared" si="117"/>
        <v>25000</v>
      </c>
    </row>
    <row r="210" spans="1:48" x14ac:dyDescent="0.25">
      <c r="A210">
        <f t="shared" si="96"/>
        <v>20.800000000000026</v>
      </c>
      <c r="B210">
        <f t="shared" si="118"/>
        <v>0.1</v>
      </c>
      <c r="C210">
        <f>sim!C209+(sim!$G209*$B210*COS($E210))</f>
        <v>-32.622365693110225</v>
      </c>
      <c r="D210">
        <f>sim!D209+(sim!$G209*$B210*SIN($E210))</f>
        <v>1059.3176930901873</v>
      </c>
      <c r="E210">
        <f t="shared" si="97"/>
        <v>-3256.3459479521871</v>
      </c>
      <c r="F210">
        <f t="shared" si="104"/>
        <v>185.95440446250564</v>
      </c>
      <c r="G210">
        <v>100</v>
      </c>
      <c r="H210">
        <f t="shared" si="98"/>
        <v>-7.5009368223081507</v>
      </c>
      <c r="I210">
        <f t="shared" si="105"/>
        <v>-429.77202231252818</v>
      </c>
      <c r="J210">
        <f t="shared" si="119"/>
        <v>0</v>
      </c>
      <c r="K210">
        <f t="shared" si="120"/>
        <v>0</v>
      </c>
      <c r="L210">
        <f t="shared" si="106"/>
        <v>0</v>
      </c>
      <c r="M210">
        <f t="shared" si="99"/>
        <v>-429.77202231252818</v>
      </c>
      <c r="N210">
        <f t="shared" si="107"/>
        <v>-42.15318737808596</v>
      </c>
      <c r="O210">
        <f t="shared" si="108"/>
        <v>1056.2905759782809</v>
      </c>
      <c r="P210">
        <f t="shared" si="100"/>
        <v>-137.46140422784327</v>
      </c>
      <c r="Q210">
        <f t="shared" si="101"/>
        <v>1026.0194048592173</v>
      </c>
      <c r="R210">
        <f t="shared" si="109"/>
        <v>-0.302711711190637</v>
      </c>
      <c r="S210">
        <f t="shared" si="110"/>
        <v>-0.9530821684975731</v>
      </c>
      <c r="U210">
        <f t="shared" si="127"/>
        <v>3</v>
      </c>
      <c r="V210" cm="1">
        <f t="array" ref="V210:AA210">INDEX(surface!$A$2:$I$40,U210+1,COLUMN(surface!$B$1:$G$1))</f>
        <v>-500</v>
      </c>
      <c r="W210">
        <v>1000</v>
      </c>
      <c r="X210">
        <v>0</v>
      </c>
      <c r="Y210">
        <v>1000</v>
      </c>
      <c r="Z210">
        <v>-500</v>
      </c>
      <c r="AA210">
        <v>0</v>
      </c>
      <c r="AB210">
        <f t="shared" si="102"/>
        <v>415.69362524382808</v>
      </c>
      <c r="AC210">
        <f t="shared" si="103"/>
        <v>1112.5811519565618</v>
      </c>
      <c r="AD210">
        <f t="shared" si="111"/>
        <v>-151.3558555953185</v>
      </c>
      <c r="AE210">
        <f t="shared" si="112"/>
        <v>185.95440446250564</v>
      </c>
      <c r="AF210">
        <f t="shared" si="113"/>
        <v>0.56123397115022888</v>
      </c>
      <c r="AG210" t="b">
        <f t="shared" si="121"/>
        <v>1</v>
      </c>
      <c r="AH210">
        <f t="shared" si="114"/>
        <v>185.95440446250564</v>
      </c>
      <c r="AI210">
        <f t="shared" si="122"/>
        <v>4</v>
      </c>
      <c r="AJ210" cm="1">
        <f t="array" ref="AJ210:AO210">INDEX(surface!$A$2:$I$40,AI210+1,COLUMN(surface!$B$1:$G$1))</f>
        <v>0</v>
      </c>
      <c r="AK210">
        <v>1000</v>
      </c>
      <c r="AL210">
        <v>0</v>
      </c>
      <c r="AM210">
        <v>1</v>
      </c>
      <c r="AN210">
        <v>0</v>
      </c>
      <c r="AO210">
        <v>999</v>
      </c>
      <c r="AP210">
        <f t="shared" si="123"/>
        <v>-84.30637475617192</v>
      </c>
      <c r="AQ210">
        <f t="shared" si="124"/>
        <v>1112.5811519565618</v>
      </c>
      <c r="AR210">
        <f t="shared" si="125"/>
        <v>-952.12908632907556</v>
      </c>
      <c r="AS210">
        <f t="shared" si="115"/>
        <v>-44.228282483278143</v>
      </c>
      <c r="AT210">
        <f t="shared" si="116"/>
        <v>-6.9748743795612522E-2</v>
      </c>
      <c r="AU210" t="b">
        <f t="shared" si="126"/>
        <v>0</v>
      </c>
      <c r="AV210">
        <f t="shared" si="117"/>
        <v>25000</v>
      </c>
    </row>
    <row r="211" spans="1:48" x14ac:dyDescent="0.25">
      <c r="A211">
        <f t="shared" si="96"/>
        <v>20.900000000000027</v>
      </c>
      <c r="B211">
        <f t="shared" si="118"/>
        <v>0.1</v>
      </c>
      <c r="C211">
        <f>sim!C210+(sim!$G210*$B211*COS($E211))</f>
        <v>-40.037050047789783</v>
      </c>
      <c r="D211">
        <f>sim!D210+(sim!$G210*$B211*SIN($E211))</f>
        <v>1052.6078156009576</v>
      </c>
      <c r="E211">
        <f t="shared" si="97"/>
        <v>-3257.0960416344178</v>
      </c>
      <c r="F211">
        <f t="shared" si="104"/>
        <v>25000</v>
      </c>
      <c r="G211">
        <v>100</v>
      </c>
      <c r="H211">
        <f t="shared" si="98"/>
        <v>-2172.9349187329403</v>
      </c>
      <c r="I211">
        <f t="shared" si="105"/>
        <v>-124500</v>
      </c>
      <c r="J211">
        <f t="shared" si="119"/>
        <v>0</v>
      </c>
      <c r="K211">
        <f t="shared" si="120"/>
        <v>0</v>
      </c>
      <c r="L211">
        <f t="shared" si="106"/>
        <v>0</v>
      </c>
      <c r="M211">
        <f t="shared" si="99"/>
        <v>-124500</v>
      </c>
      <c r="N211">
        <f t="shared" si="107"/>
        <v>-49.073645384500182</v>
      </c>
      <c r="O211">
        <f t="shared" si="108"/>
        <v>1056.8903317679492</v>
      </c>
      <c r="P211">
        <f t="shared" si="100"/>
        <v>-139.43959875160417</v>
      </c>
      <c r="Q211">
        <f t="shared" si="101"/>
        <v>1099.7154934378646</v>
      </c>
      <c r="R211">
        <f t="shared" si="109"/>
        <v>0.4282516166991534</v>
      </c>
      <c r="S211">
        <f t="shared" si="110"/>
        <v>-0.90365953367103991</v>
      </c>
      <c r="U211">
        <f t="shared" si="127"/>
        <v>3</v>
      </c>
      <c r="V211" cm="1">
        <f t="array" ref="V211:AA211">INDEX(surface!$A$2:$I$40,U211+1,COLUMN(surface!$B$1:$G$1))</f>
        <v>-500</v>
      </c>
      <c r="W211">
        <v>1000</v>
      </c>
      <c r="X211">
        <v>0</v>
      </c>
      <c r="Y211">
        <v>1000</v>
      </c>
      <c r="Z211">
        <v>-500</v>
      </c>
      <c r="AA211">
        <v>0</v>
      </c>
      <c r="AB211">
        <f t="shared" si="102"/>
        <v>401.85270923099961</v>
      </c>
      <c r="AC211">
        <f t="shared" si="103"/>
        <v>1113.7806635358984</v>
      </c>
      <c r="AD211">
        <f t="shared" si="111"/>
        <v>214.12580834957672</v>
      </c>
      <c r="AE211">
        <f t="shared" si="112"/>
        <v>-132.84323876333343</v>
      </c>
      <c r="AF211">
        <f t="shared" si="113"/>
        <v>1.1419428276154486</v>
      </c>
      <c r="AG211" t="b">
        <f t="shared" si="121"/>
        <v>0</v>
      </c>
      <c r="AH211">
        <f t="shared" si="114"/>
        <v>25000</v>
      </c>
      <c r="AI211">
        <f t="shared" si="122"/>
        <v>4</v>
      </c>
      <c r="AJ211" cm="1">
        <f t="array" ref="AJ211:AO211">INDEX(surface!$A$2:$I$40,AI211+1,COLUMN(surface!$B$1:$G$1))</f>
        <v>0</v>
      </c>
      <c r="AK211">
        <v>1000</v>
      </c>
      <c r="AL211">
        <v>0</v>
      </c>
      <c r="AM211">
        <v>1</v>
      </c>
      <c r="AN211">
        <v>0</v>
      </c>
      <c r="AO211">
        <v>999</v>
      </c>
      <c r="AP211">
        <f t="shared" si="123"/>
        <v>-98.147290769000364</v>
      </c>
      <c r="AQ211">
        <f t="shared" si="124"/>
        <v>1113.7806635358984</v>
      </c>
      <c r="AR211">
        <f t="shared" si="125"/>
        <v>-902.75587413736889</v>
      </c>
      <c r="AS211">
        <f t="shared" si="115"/>
        <v>-54.305458589190856</v>
      </c>
      <c r="AT211">
        <f t="shared" si="116"/>
        <v>-3.3667598930469743E-2</v>
      </c>
      <c r="AU211" t="b">
        <f t="shared" si="126"/>
        <v>0</v>
      </c>
      <c r="AV211">
        <f t="shared" si="117"/>
        <v>25000</v>
      </c>
    </row>
    <row r="212" spans="1:48" x14ac:dyDescent="0.25">
      <c r="A212">
        <f t="shared" si="96"/>
        <v>21.000000000000028</v>
      </c>
      <c r="B212">
        <f t="shared" si="118"/>
        <v>0.1</v>
      </c>
      <c r="C212">
        <f>sim!C211+(sim!$G211*$B212*COS($E212))</f>
        <v>-30.260806290979552</v>
      </c>
      <c r="D212">
        <f>sim!D211+(sim!$G211*$B212*SIN($E212))</f>
        <v>1054.7113977855724</v>
      </c>
      <c r="E212">
        <f t="shared" si="97"/>
        <v>-3474.3895335077118</v>
      </c>
      <c r="F212">
        <f t="shared" si="104"/>
        <v>25000</v>
      </c>
      <c r="G212">
        <v>100</v>
      </c>
      <c r="H212">
        <f t="shared" si="98"/>
        <v>-2172.9349187329403</v>
      </c>
      <c r="I212">
        <f t="shared" si="105"/>
        <v>-124500</v>
      </c>
      <c r="J212">
        <f t="shared" si="119"/>
        <v>0</v>
      </c>
      <c r="K212">
        <f t="shared" si="120"/>
        <v>0</v>
      </c>
      <c r="L212">
        <f t="shared" si="106"/>
        <v>0</v>
      </c>
      <c r="M212">
        <f t="shared" si="99"/>
        <v>-124500</v>
      </c>
      <c r="N212">
        <f t="shared" si="107"/>
        <v>-24.576143249163753</v>
      </c>
      <c r="O212">
        <f t="shared" si="108"/>
        <v>1046.4843323244852</v>
      </c>
      <c r="P212">
        <f t="shared" si="100"/>
        <v>32.270487168994237</v>
      </c>
      <c r="Q212">
        <f t="shared" si="101"/>
        <v>964.21367771361338</v>
      </c>
      <c r="R212">
        <f t="shared" si="109"/>
        <v>-0.82270654610871763</v>
      </c>
      <c r="S212">
        <f t="shared" si="110"/>
        <v>0.56846630418157984</v>
      </c>
      <c r="U212">
        <f t="shared" si="127"/>
        <v>3</v>
      </c>
      <c r="V212" cm="1">
        <f t="array" ref="V212:AA212">INDEX(surface!$A$2:$I$40,U212+1,COLUMN(surface!$B$1:$G$1))</f>
        <v>-500</v>
      </c>
      <c r="W212">
        <v>1000</v>
      </c>
      <c r="X212">
        <v>0</v>
      </c>
      <c r="Y212">
        <v>1000</v>
      </c>
      <c r="Z212">
        <v>-500</v>
      </c>
      <c r="AA212">
        <v>0</v>
      </c>
      <c r="AB212">
        <f t="shared" si="102"/>
        <v>450.8477135016725</v>
      </c>
      <c r="AC212">
        <f t="shared" si="103"/>
        <v>1092.9686646489704</v>
      </c>
      <c r="AD212">
        <f t="shared" si="111"/>
        <v>-411.35327305435879</v>
      </c>
      <c r="AE212">
        <f t="shared" si="112"/>
        <v>56.501716856817694</v>
      </c>
      <c r="AF212">
        <f t="shared" si="113"/>
        <v>1.0150863578246909</v>
      </c>
      <c r="AG212" t="b">
        <f t="shared" si="121"/>
        <v>0</v>
      </c>
      <c r="AH212">
        <f t="shared" si="114"/>
        <v>25000</v>
      </c>
      <c r="AI212">
        <f t="shared" si="122"/>
        <v>4</v>
      </c>
      <c r="AJ212" cm="1">
        <f t="array" ref="AJ212:AO212">INDEX(surface!$A$2:$I$40,AI212+1,COLUMN(surface!$B$1:$G$1))</f>
        <v>0</v>
      </c>
      <c r="AK212">
        <v>1000</v>
      </c>
      <c r="AL212">
        <v>0</v>
      </c>
      <c r="AM212">
        <v>1</v>
      </c>
      <c r="AN212">
        <v>0</v>
      </c>
      <c r="AO212">
        <v>999</v>
      </c>
      <c r="AP212">
        <f t="shared" si="123"/>
        <v>-49.152286498327506</v>
      </c>
      <c r="AQ212">
        <f t="shared" si="124"/>
        <v>1092.9686646489704</v>
      </c>
      <c r="AR212">
        <f t="shared" si="125"/>
        <v>567.89783787739827</v>
      </c>
      <c r="AS212">
        <f t="shared" si="115"/>
        <v>43.232365873551629</v>
      </c>
      <c r="AT212">
        <f t="shared" si="116"/>
        <v>-1.0927709626173317E-2</v>
      </c>
      <c r="AU212" t="b">
        <f t="shared" si="126"/>
        <v>0</v>
      </c>
      <c r="AV212">
        <f t="shared" si="117"/>
        <v>25000</v>
      </c>
    </row>
    <row r="213" spans="1:48" x14ac:dyDescent="0.25">
      <c r="A213">
        <f t="shared" si="96"/>
        <v>21.10000000000003</v>
      </c>
      <c r="B213">
        <f t="shared" si="118"/>
        <v>0.1</v>
      </c>
      <c r="C213">
        <f>sim!C212+(sim!$G212*$B213*COS($E213))</f>
        <v>-39.77907283027379</v>
      </c>
      <c r="D213">
        <f>sim!D212+(sim!$G212*$B213*SIN($E213))</f>
        <v>1057.7777640531524</v>
      </c>
      <c r="E213">
        <f t="shared" si="97"/>
        <v>-3691.6830253810058</v>
      </c>
      <c r="F213">
        <f t="shared" si="104"/>
        <v>25000</v>
      </c>
      <c r="G213">
        <v>100</v>
      </c>
      <c r="H213">
        <f t="shared" si="98"/>
        <v>-2172.9349187329403</v>
      </c>
      <c r="I213">
        <f t="shared" si="105"/>
        <v>-124500</v>
      </c>
      <c r="J213">
        <f t="shared" si="119"/>
        <v>0</v>
      </c>
      <c r="K213">
        <f t="shared" si="120"/>
        <v>0</v>
      </c>
      <c r="L213">
        <f t="shared" si="106"/>
        <v>0</v>
      </c>
      <c r="M213">
        <f t="shared" si="99"/>
        <v>-124500</v>
      </c>
      <c r="N213">
        <f t="shared" si="107"/>
        <v>-40.58860270589765</v>
      </c>
      <c r="O213">
        <f t="shared" si="108"/>
        <v>1067.7449432619592</v>
      </c>
      <c r="P213">
        <f t="shared" si="100"/>
        <v>-48.683901462136234</v>
      </c>
      <c r="Q213">
        <f t="shared" si="101"/>
        <v>1167.4167353500281</v>
      </c>
      <c r="R213">
        <f t="shared" si="109"/>
        <v>0.99671792088068945</v>
      </c>
      <c r="S213">
        <f t="shared" si="110"/>
        <v>-8.0952987562385864E-2</v>
      </c>
      <c r="U213">
        <f t="shared" si="127"/>
        <v>3</v>
      </c>
      <c r="V213" cm="1">
        <f t="array" ref="V213:AA213">INDEX(surface!$A$2:$I$40,U213+1,COLUMN(surface!$B$1:$G$1))</f>
        <v>-500</v>
      </c>
      <c r="W213">
        <v>1000</v>
      </c>
      <c r="X213">
        <v>0</v>
      </c>
      <c r="Y213">
        <v>1000</v>
      </c>
      <c r="Z213">
        <v>-500</v>
      </c>
      <c r="AA213">
        <v>0</v>
      </c>
      <c r="AB213">
        <f t="shared" si="102"/>
        <v>418.82279458820472</v>
      </c>
      <c r="AC213">
        <f t="shared" si="103"/>
        <v>1135.4898865239184</v>
      </c>
      <c r="AD213">
        <f t="shared" si="111"/>
        <v>498.35896044034473</v>
      </c>
      <c r="AE213">
        <f t="shared" si="112"/>
        <v>-67.96801968013223</v>
      </c>
      <c r="AF213">
        <f t="shared" si="113"/>
        <v>0.9298272230918162</v>
      </c>
      <c r="AG213" t="b">
        <f t="shared" si="121"/>
        <v>0</v>
      </c>
      <c r="AH213">
        <f t="shared" si="114"/>
        <v>25000</v>
      </c>
      <c r="AI213">
        <f t="shared" si="122"/>
        <v>4</v>
      </c>
      <c r="AJ213" cm="1">
        <f t="array" ref="AJ213:AO213">INDEX(surface!$A$2:$I$40,AI213+1,COLUMN(surface!$B$1:$G$1))</f>
        <v>0</v>
      </c>
      <c r="AK213">
        <v>1000</v>
      </c>
      <c r="AL213">
        <v>0</v>
      </c>
      <c r="AM213">
        <v>1</v>
      </c>
      <c r="AN213">
        <v>0</v>
      </c>
      <c r="AO213">
        <v>999</v>
      </c>
      <c r="AP213">
        <f t="shared" si="123"/>
        <v>-81.177205411795299</v>
      </c>
      <c r="AQ213">
        <f t="shared" si="124"/>
        <v>1135.4898865239184</v>
      </c>
      <c r="AR213">
        <f t="shared" si="125"/>
        <v>-80.872034574823473</v>
      </c>
      <c r="AS213">
        <f t="shared" si="115"/>
        <v>-501.38486457486607</v>
      </c>
      <c r="AT213">
        <f t="shared" si="116"/>
        <v>0.43242676328142876</v>
      </c>
      <c r="AU213" t="b">
        <f t="shared" si="126"/>
        <v>0</v>
      </c>
      <c r="AV213">
        <f t="shared" si="117"/>
        <v>25000</v>
      </c>
    </row>
    <row r="214" spans="1:48" x14ac:dyDescent="0.25">
      <c r="A214">
        <f t="shared" si="96"/>
        <v>21.200000000000031</v>
      </c>
      <c r="B214">
        <f t="shared" si="118"/>
        <v>0.1</v>
      </c>
      <c r="C214">
        <f>sim!C213+(sim!$G213*$B214*COS($E214))</f>
        <v>-33.069195341043198</v>
      </c>
      <c r="D214">
        <f>sim!D213+(sim!$G213*$B214*SIN($E214))</f>
        <v>1050.3630796984737</v>
      </c>
      <c r="E214">
        <f t="shared" si="97"/>
        <v>-3908.9765172542998</v>
      </c>
      <c r="F214">
        <f t="shared" si="104"/>
        <v>45.732361383800026</v>
      </c>
      <c r="G214">
        <v>100</v>
      </c>
      <c r="H214">
        <f t="shared" si="98"/>
        <v>4.735744855675545</v>
      </c>
      <c r="I214">
        <f t="shared" si="105"/>
        <v>271.33819308099987</v>
      </c>
      <c r="J214">
        <f t="shared" si="119"/>
        <v>0</v>
      </c>
      <c r="K214">
        <f t="shared" si="120"/>
        <v>0</v>
      </c>
      <c r="L214">
        <f t="shared" si="106"/>
        <v>0</v>
      </c>
      <c r="M214">
        <f t="shared" si="99"/>
        <v>271.33819308099987</v>
      </c>
      <c r="N214">
        <f t="shared" si="107"/>
        <v>-37.351711508033524</v>
      </c>
      <c r="O214">
        <f t="shared" si="108"/>
        <v>1041.3264843617628</v>
      </c>
      <c r="P214">
        <f t="shared" si="100"/>
        <v>-80.176873177936784</v>
      </c>
      <c r="Q214">
        <f t="shared" si="101"/>
        <v>950.96053099465314</v>
      </c>
      <c r="R214">
        <f t="shared" si="109"/>
        <v>-0.90365953367109719</v>
      </c>
      <c r="S214">
        <f t="shared" si="110"/>
        <v>-0.42825161669903256</v>
      </c>
      <c r="U214">
        <f t="shared" si="127"/>
        <v>3</v>
      </c>
      <c r="V214" cm="1">
        <f t="array" ref="V214:AA214">INDEX(surface!$A$2:$I$40,U214+1,COLUMN(surface!$B$1:$G$1))</f>
        <v>-500</v>
      </c>
      <c r="W214">
        <v>1000</v>
      </c>
      <c r="X214">
        <v>0</v>
      </c>
      <c r="Y214">
        <v>1000</v>
      </c>
      <c r="Z214">
        <v>-500</v>
      </c>
      <c r="AA214">
        <v>0</v>
      </c>
      <c r="AB214">
        <f t="shared" si="102"/>
        <v>425.29657698393294</v>
      </c>
      <c r="AC214">
        <f t="shared" si="103"/>
        <v>1082.6529687235256</v>
      </c>
      <c r="AD214">
        <f t="shared" si="111"/>
        <v>-451.82976683554858</v>
      </c>
      <c r="AE214">
        <f t="shared" si="112"/>
        <v>45.732361383800026</v>
      </c>
      <c r="AF214">
        <f t="shared" si="113"/>
        <v>0.88612666158777942</v>
      </c>
      <c r="AG214" t="b">
        <f t="shared" si="121"/>
        <v>1</v>
      </c>
      <c r="AH214">
        <f t="shared" si="114"/>
        <v>45.732361383800026</v>
      </c>
      <c r="AI214">
        <f t="shared" si="122"/>
        <v>4</v>
      </c>
      <c r="AJ214" cm="1">
        <f t="array" ref="AJ214:AO214">INDEX(surface!$A$2:$I$40,AI214+1,COLUMN(surface!$B$1:$G$1))</f>
        <v>0</v>
      </c>
      <c r="AK214">
        <v>1000</v>
      </c>
      <c r="AL214">
        <v>0</v>
      </c>
      <c r="AM214">
        <v>1</v>
      </c>
      <c r="AN214">
        <v>0</v>
      </c>
      <c r="AO214">
        <v>999</v>
      </c>
      <c r="AP214">
        <f t="shared" si="123"/>
        <v>-74.703423016067049</v>
      </c>
      <c r="AQ214">
        <f t="shared" si="124"/>
        <v>1082.6529687235256</v>
      </c>
      <c r="AR214">
        <f t="shared" si="125"/>
        <v>-427.82336508233351</v>
      </c>
      <c r="AS214">
        <f t="shared" si="115"/>
        <v>-87.21907881151941</v>
      </c>
      <c r="AT214">
        <f t="shared" si="116"/>
        <v>-0.12026309954735048</v>
      </c>
      <c r="AU214" t="b">
        <f t="shared" si="126"/>
        <v>0</v>
      </c>
      <c r="AV214">
        <f t="shared" si="117"/>
        <v>25000</v>
      </c>
    </row>
    <row r="215" spans="1:48" x14ac:dyDescent="0.25">
      <c r="A215">
        <f t="shared" si="96"/>
        <v>21.300000000000033</v>
      </c>
      <c r="B215">
        <f t="shared" si="118"/>
        <v>0.1</v>
      </c>
      <c r="C215">
        <f>sim!C214+(sim!$G214*$B215*COS($E215))</f>
        <v>-23.716164542087839</v>
      </c>
      <c r="D215">
        <f>sim!D214+(sim!$G214*$B215*SIN($E215))</f>
        <v>1046.8246033492815</v>
      </c>
      <c r="E215">
        <f t="shared" si="97"/>
        <v>-3908.5029427687323</v>
      </c>
      <c r="F215">
        <f t="shared" si="104"/>
        <v>36.847136837306415</v>
      </c>
      <c r="G215">
        <v>100</v>
      </c>
      <c r="H215">
        <f t="shared" si="98"/>
        <v>5.511126971252212</v>
      </c>
      <c r="I215">
        <f t="shared" si="105"/>
        <v>315.76431581346793</v>
      </c>
      <c r="J215">
        <f t="shared" si="119"/>
        <v>0</v>
      </c>
      <c r="K215">
        <f t="shared" si="120"/>
        <v>0</v>
      </c>
      <c r="L215">
        <f t="shared" si="106"/>
        <v>0</v>
      </c>
      <c r="M215">
        <f t="shared" si="99"/>
        <v>315.76431581346793</v>
      </c>
      <c r="N215">
        <f t="shared" si="107"/>
        <v>-23.406040488220089</v>
      </c>
      <c r="O215">
        <f t="shared" si="108"/>
        <v>1036.8294133525274</v>
      </c>
      <c r="P215">
        <f t="shared" si="100"/>
        <v>-20.304799949542595</v>
      </c>
      <c r="Q215">
        <f t="shared" si="101"/>
        <v>936.87751338498663</v>
      </c>
      <c r="R215">
        <f t="shared" si="109"/>
        <v>-0.99951899967540703</v>
      </c>
      <c r="S215">
        <f t="shared" si="110"/>
        <v>3.1012405386774931E-2</v>
      </c>
      <c r="U215">
        <f t="shared" si="127"/>
        <v>3</v>
      </c>
      <c r="V215" cm="1">
        <f t="array" ref="V215:AA215">INDEX(surface!$A$2:$I$40,U215+1,COLUMN(surface!$B$1:$G$1))</f>
        <v>-500</v>
      </c>
      <c r="W215">
        <v>1000</v>
      </c>
      <c r="X215">
        <v>0</v>
      </c>
      <c r="Y215">
        <v>1000</v>
      </c>
      <c r="Z215">
        <v>-500</v>
      </c>
      <c r="AA215">
        <v>0</v>
      </c>
      <c r="AB215">
        <f t="shared" si="102"/>
        <v>453.1879190235598</v>
      </c>
      <c r="AC215">
        <f t="shared" si="103"/>
        <v>1073.6588267050547</v>
      </c>
      <c r="AD215">
        <f t="shared" si="111"/>
        <v>-499.75949983770352</v>
      </c>
      <c r="AE215">
        <f t="shared" si="112"/>
        <v>36.847136837306415</v>
      </c>
      <c r="AF215">
        <f t="shared" si="113"/>
        <v>0.95547335571344083</v>
      </c>
      <c r="AG215" t="b">
        <f t="shared" si="121"/>
        <v>1</v>
      </c>
      <c r="AH215">
        <f t="shared" si="114"/>
        <v>36.847136837306415</v>
      </c>
      <c r="AI215">
        <f t="shared" si="122"/>
        <v>4</v>
      </c>
      <c r="AJ215" cm="1">
        <f t="array" ref="AJ215:AO215">INDEX(surface!$A$2:$I$40,AI215+1,COLUMN(surface!$B$1:$G$1))</f>
        <v>0</v>
      </c>
      <c r="AK215">
        <v>1000</v>
      </c>
      <c r="AL215">
        <v>0</v>
      </c>
      <c r="AM215">
        <v>1</v>
      </c>
      <c r="AN215">
        <v>0</v>
      </c>
      <c r="AO215">
        <v>999</v>
      </c>
      <c r="AP215">
        <f t="shared" si="123"/>
        <v>-46.812080976440178</v>
      </c>
      <c r="AQ215">
        <f t="shared" si="124"/>
        <v>1073.6588267050547</v>
      </c>
      <c r="AR215">
        <f t="shared" si="125"/>
        <v>30.981392981388158</v>
      </c>
      <c r="AS215">
        <f t="shared" si="115"/>
        <v>754.73154037259769</v>
      </c>
      <c r="AT215">
        <f t="shared" si="116"/>
        <v>0.71825735826243287</v>
      </c>
      <c r="AU215" t="b">
        <f t="shared" si="126"/>
        <v>1</v>
      </c>
      <c r="AV215">
        <f t="shared" si="117"/>
        <v>754.73154037259769</v>
      </c>
    </row>
    <row r="216" spans="1:48" x14ac:dyDescent="0.25">
      <c r="A216">
        <f t="shared" si="96"/>
        <v>21.400000000000034</v>
      </c>
      <c r="B216">
        <f t="shared" si="118"/>
        <v>0.1</v>
      </c>
      <c r="C216">
        <f>sim!C215+(sim!$G215*$B216*COS($E216))</f>
        <v>-13.89504916241598</v>
      </c>
      <c r="D216">
        <f>sim!D215+(sim!$G215*$B216*SIN($E216))</f>
        <v>1048.7076043315365</v>
      </c>
      <c r="E216">
        <f t="shared" si="97"/>
        <v>-3907.9518300716072</v>
      </c>
      <c r="F216">
        <f t="shared" si="104"/>
        <v>25000</v>
      </c>
      <c r="G216">
        <v>100</v>
      </c>
      <c r="H216">
        <f t="shared" si="98"/>
        <v>-2172.9349187329403</v>
      </c>
      <c r="I216">
        <f t="shared" si="105"/>
        <v>-124500</v>
      </c>
      <c r="J216">
        <f t="shared" si="119"/>
        <v>0</v>
      </c>
      <c r="K216">
        <f t="shared" si="120"/>
        <v>0</v>
      </c>
      <c r="L216">
        <f t="shared" si="106"/>
        <v>0</v>
      </c>
      <c r="M216">
        <f t="shared" si="99"/>
        <v>-124500</v>
      </c>
      <c r="N216">
        <f t="shared" si="107"/>
        <v>-8.3970049520647745</v>
      </c>
      <c r="O216">
        <f t="shared" si="108"/>
        <v>1040.3546701248624</v>
      </c>
      <c r="P216">
        <f t="shared" si="100"/>
        <v>46.583437151447271</v>
      </c>
      <c r="Q216">
        <f t="shared" si="101"/>
        <v>956.82532805812298</v>
      </c>
      <c r="R216">
        <f t="shared" si="109"/>
        <v>-0.83529342066739398</v>
      </c>
      <c r="S216">
        <f t="shared" si="110"/>
        <v>0.54980442103512051</v>
      </c>
      <c r="U216">
        <f t="shared" si="127"/>
        <v>3</v>
      </c>
      <c r="V216" cm="1">
        <f t="array" ref="V216:AA216">INDEX(surface!$A$2:$I$40,U216+1,COLUMN(surface!$B$1:$G$1))</f>
        <v>-500</v>
      </c>
      <c r="W216">
        <v>1000</v>
      </c>
      <c r="X216">
        <v>0</v>
      </c>
      <c r="Y216">
        <v>1000</v>
      </c>
      <c r="Z216">
        <v>-500</v>
      </c>
      <c r="AA216">
        <v>0</v>
      </c>
      <c r="AB216">
        <f t="shared" si="102"/>
        <v>483.20599009587045</v>
      </c>
      <c r="AC216">
        <f t="shared" si="103"/>
        <v>1080.7093402497248</v>
      </c>
      <c r="AD216">
        <f t="shared" si="111"/>
        <v>-417.646710333697</v>
      </c>
      <c r="AE216">
        <f t="shared" si="112"/>
        <v>48.311969334822848</v>
      </c>
      <c r="AF216">
        <f t="shared" si="113"/>
        <v>1.036330258754268</v>
      </c>
      <c r="AG216" t="b">
        <f t="shared" si="121"/>
        <v>0</v>
      </c>
      <c r="AH216">
        <f t="shared" si="114"/>
        <v>25000</v>
      </c>
      <c r="AI216">
        <f t="shared" si="122"/>
        <v>4</v>
      </c>
      <c r="AJ216" cm="1">
        <f t="array" ref="AJ216:AO216">INDEX(surface!$A$2:$I$40,AI216+1,COLUMN(surface!$B$1:$G$1))</f>
        <v>0</v>
      </c>
      <c r="AK216">
        <v>1000</v>
      </c>
      <c r="AL216">
        <v>0</v>
      </c>
      <c r="AM216">
        <v>1</v>
      </c>
      <c r="AN216">
        <v>0</v>
      </c>
      <c r="AO216">
        <v>999</v>
      </c>
      <c r="AP216">
        <f t="shared" si="123"/>
        <v>-16.794009904129549</v>
      </c>
      <c r="AQ216">
        <f t="shared" si="124"/>
        <v>1080.7093402497248</v>
      </c>
      <c r="AR216">
        <f t="shared" si="125"/>
        <v>549.25461661408542</v>
      </c>
      <c r="AS216">
        <f t="shared" si="115"/>
        <v>15.272712678911669</v>
      </c>
      <c r="AT216">
        <f t="shared" si="116"/>
        <v>-2.7625098807231241E-2</v>
      </c>
      <c r="AU216" t="b">
        <f t="shared" si="126"/>
        <v>0</v>
      </c>
      <c r="AV216">
        <f t="shared" si="117"/>
        <v>25000</v>
      </c>
    </row>
    <row r="217" spans="1:48" x14ac:dyDescent="0.25">
      <c r="A217">
        <f t="shared" si="96"/>
        <v>21.500000000000036</v>
      </c>
      <c r="B217">
        <f t="shared" si="118"/>
        <v>0.1</v>
      </c>
      <c r="C217">
        <f>sim!C216+(sim!$G216*$B217*COS($E217))</f>
        <v>-23.34188506583596</v>
      </c>
      <c r="D217">
        <f>sim!D216+(sim!$G216*$B217*SIN($E217))</f>
        <v>1051.9874353353925</v>
      </c>
      <c r="E217">
        <f t="shared" si="97"/>
        <v>-4125.2453219449017</v>
      </c>
      <c r="F217">
        <f t="shared" si="104"/>
        <v>25000</v>
      </c>
      <c r="G217">
        <v>100</v>
      </c>
      <c r="H217">
        <f t="shared" si="98"/>
        <v>-2172.9349187329403</v>
      </c>
      <c r="I217">
        <f t="shared" si="105"/>
        <v>-124500</v>
      </c>
      <c r="J217">
        <f t="shared" si="119"/>
        <v>0</v>
      </c>
      <c r="K217">
        <f t="shared" si="120"/>
        <v>0</v>
      </c>
      <c r="L217">
        <f t="shared" si="106"/>
        <v>0</v>
      </c>
      <c r="M217">
        <f t="shared" si="99"/>
        <v>-124500</v>
      </c>
      <c r="N217">
        <f t="shared" si="107"/>
        <v>-23.926863919788993</v>
      </c>
      <c r="O217">
        <f t="shared" si="108"/>
        <v>1061.970310659688</v>
      </c>
      <c r="P217">
        <f t="shared" si="100"/>
        <v>-29.776652459319326</v>
      </c>
      <c r="Q217">
        <f t="shared" si="101"/>
        <v>1161.799063902643</v>
      </c>
      <c r="R217">
        <f t="shared" si="109"/>
        <v>0.99828753242954904</v>
      </c>
      <c r="S217">
        <f t="shared" si="110"/>
        <v>-5.8497885395303338E-2</v>
      </c>
      <c r="U217">
        <f t="shared" si="127"/>
        <v>3</v>
      </c>
      <c r="V217" cm="1">
        <f t="array" ref="V217:AA217">INDEX(surface!$A$2:$I$40,U217+1,COLUMN(surface!$B$1:$G$1))</f>
        <v>-500</v>
      </c>
      <c r="W217">
        <v>1000</v>
      </c>
      <c r="X217">
        <v>0</v>
      </c>
      <c r="Y217">
        <v>1000</v>
      </c>
      <c r="Z217">
        <v>-500</v>
      </c>
      <c r="AA217">
        <v>0</v>
      </c>
      <c r="AB217">
        <f t="shared" si="102"/>
        <v>452.14627216042203</v>
      </c>
      <c r="AC217">
        <f t="shared" si="103"/>
        <v>1123.9406213193761</v>
      </c>
      <c r="AD217">
        <f t="shared" si="111"/>
        <v>499.14376621477453</v>
      </c>
      <c r="AE217">
        <f t="shared" si="112"/>
        <v>-62.076614849501183</v>
      </c>
      <c r="AF217">
        <f t="shared" si="113"/>
        <v>0.95940897356281107</v>
      </c>
      <c r="AG217" t="b">
        <f t="shared" si="121"/>
        <v>0</v>
      </c>
      <c r="AH217">
        <f t="shared" si="114"/>
        <v>25000</v>
      </c>
      <c r="AI217">
        <f t="shared" si="122"/>
        <v>4</v>
      </c>
      <c r="AJ217" cm="1">
        <f t="array" ref="AJ217:AO217">INDEX(surface!$A$2:$I$40,AI217+1,COLUMN(surface!$B$1:$G$1))</f>
        <v>0</v>
      </c>
      <c r="AK217">
        <v>1000</v>
      </c>
      <c r="AL217">
        <v>0</v>
      </c>
      <c r="AM217">
        <v>1</v>
      </c>
      <c r="AN217">
        <v>0</v>
      </c>
      <c r="AO217">
        <v>999</v>
      </c>
      <c r="AP217">
        <f t="shared" si="123"/>
        <v>-47.853727839577985</v>
      </c>
      <c r="AQ217">
        <f t="shared" si="124"/>
        <v>1123.9406213193761</v>
      </c>
      <c r="AR217">
        <f t="shared" si="125"/>
        <v>-58.439387509908038</v>
      </c>
      <c r="AS217">
        <f t="shared" si="115"/>
        <v>-409.0210057697235</v>
      </c>
      <c r="AT217">
        <f t="shared" si="116"/>
        <v>0.34669695685888041</v>
      </c>
      <c r="AU217" t="b">
        <f t="shared" si="126"/>
        <v>0</v>
      </c>
      <c r="AV217">
        <f t="shared" si="117"/>
        <v>25000</v>
      </c>
    </row>
    <row r="218" spans="1:48" x14ac:dyDescent="0.25">
      <c r="A218">
        <f t="shared" si="96"/>
        <v>21.600000000000037</v>
      </c>
      <c r="B218">
        <f t="shared" si="118"/>
        <v>0.1</v>
      </c>
      <c r="C218">
        <f>sim!C217+(sim!$G217*$B218*COS($E218))</f>
        <v>-16.800600690022449</v>
      </c>
      <c r="D218">
        <f>sim!D217+(sim!$G217*$B218*SIN($E218))</f>
        <v>1044.4236004142208</v>
      </c>
      <c r="E218">
        <f t="shared" si="97"/>
        <v>-4342.5388138181961</v>
      </c>
      <c r="F218">
        <f t="shared" si="104"/>
        <v>39.702430660141779</v>
      </c>
      <c r="G218">
        <v>100</v>
      </c>
      <c r="H218">
        <f t="shared" si="98"/>
        <v>5.2619555796505484</v>
      </c>
      <c r="I218">
        <f t="shared" si="105"/>
        <v>301.48784669929108</v>
      </c>
      <c r="J218">
        <f t="shared" si="119"/>
        <v>0</v>
      </c>
      <c r="K218">
        <f t="shared" si="120"/>
        <v>0</v>
      </c>
      <c r="L218">
        <f t="shared" si="106"/>
        <v>0</v>
      </c>
      <c r="M218">
        <f t="shared" si="99"/>
        <v>301.48784669929108</v>
      </c>
      <c r="N218">
        <f t="shared" si="107"/>
        <v>-21.285431803973829</v>
      </c>
      <c r="O218">
        <f t="shared" si="108"/>
        <v>1035.4856873535934</v>
      </c>
      <c r="P218">
        <f t="shared" si="100"/>
        <v>-66.133742943487604</v>
      </c>
      <c r="Q218">
        <f t="shared" si="101"/>
        <v>946.10655674731959</v>
      </c>
      <c r="R218">
        <f t="shared" si="109"/>
        <v>-0.89379130606273882</v>
      </c>
      <c r="S218">
        <f t="shared" si="110"/>
        <v>-0.44848311139513775</v>
      </c>
      <c r="U218">
        <f t="shared" si="127"/>
        <v>3</v>
      </c>
      <c r="V218" cm="1">
        <f t="array" ref="V218:AA218">INDEX(surface!$A$2:$I$40,U218+1,COLUMN(surface!$B$1:$G$1))</f>
        <v>-500</v>
      </c>
      <c r="W218">
        <v>1000</v>
      </c>
      <c r="X218">
        <v>0</v>
      </c>
      <c r="Y218">
        <v>1000</v>
      </c>
      <c r="Z218">
        <v>-500</v>
      </c>
      <c r="AA218">
        <v>0</v>
      </c>
      <c r="AB218">
        <f t="shared" si="102"/>
        <v>457.42913639205233</v>
      </c>
      <c r="AC218">
        <f t="shared" si="103"/>
        <v>1070.9713747071869</v>
      </c>
      <c r="AD218">
        <f t="shared" si="111"/>
        <v>-446.89565303136942</v>
      </c>
      <c r="AE218">
        <f t="shared" si="112"/>
        <v>39.702430660141779</v>
      </c>
      <c r="AF218">
        <f t="shared" si="113"/>
        <v>0.9218173971272321</v>
      </c>
      <c r="AG218" t="b">
        <f t="shared" si="121"/>
        <v>1</v>
      </c>
      <c r="AH218">
        <f t="shared" si="114"/>
        <v>39.702430660141779</v>
      </c>
      <c r="AI218">
        <f t="shared" si="122"/>
        <v>4</v>
      </c>
      <c r="AJ218" cm="1">
        <f t="array" ref="AJ218:AO218">INDEX(surface!$A$2:$I$40,AI218+1,COLUMN(surface!$B$1:$G$1))</f>
        <v>0</v>
      </c>
      <c r="AK218">
        <v>1000</v>
      </c>
      <c r="AL218">
        <v>0</v>
      </c>
      <c r="AM218">
        <v>1</v>
      </c>
      <c r="AN218">
        <v>0</v>
      </c>
      <c r="AO218">
        <v>999</v>
      </c>
      <c r="AP218">
        <f t="shared" si="123"/>
        <v>-42.570863607947658</v>
      </c>
      <c r="AQ218">
        <f t="shared" si="124"/>
        <v>1070.9713747071869</v>
      </c>
      <c r="AR218">
        <f t="shared" si="125"/>
        <v>-448.03462828374262</v>
      </c>
      <c r="AS218">
        <f t="shared" si="115"/>
        <v>-47.460943931108744</v>
      </c>
      <c r="AT218">
        <f t="shared" si="116"/>
        <v>-7.7983850267016569E-2</v>
      </c>
      <c r="AU218" t="b">
        <f t="shared" si="126"/>
        <v>0</v>
      </c>
      <c r="AV218">
        <f t="shared" si="117"/>
        <v>25000</v>
      </c>
    </row>
    <row r="219" spans="1:48" x14ac:dyDescent="0.25">
      <c r="A219">
        <f t="shared" si="96"/>
        <v>21.700000000000038</v>
      </c>
      <c r="B219">
        <f t="shared" si="118"/>
        <v>0.1</v>
      </c>
      <c r="C219">
        <f>sim!C218+(sim!$G218*$B219*COS($E219))</f>
        <v>-7.3452796401637048</v>
      </c>
      <c r="D219">
        <f>sim!D218+(sim!$G218*$B219*SIN($E219))</f>
        <v>1041.1683118180902</v>
      </c>
      <c r="E219">
        <f t="shared" si="97"/>
        <v>-4342.0126182602307</v>
      </c>
      <c r="F219">
        <f t="shared" si="104"/>
        <v>31.245347384266523</v>
      </c>
      <c r="G219">
        <v>100</v>
      </c>
      <c r="H219">
        <f t="shared" si="98"/>
        <v>5.9999753210474038</v>
      </c>
      <c r="I219">
        <f t="shared" si="105"/>
        <v>343.77326307866736</v>
      </c>
      <c r="J219">
        <f t="shared" si="119"/>
        <v>0</v>
      </c>
      <c r="K219">
        <f t="shared" si="120"/>
        <v>0</v>
      </c>
      <c r="L219">
        <f t="shared" si="106"/>
        <v>0</v>
      </c>
      <c r="M219">
        <f t="shared" si="99"/>
        <v>343.77326307866736</v>
      </c>
      <c r="N219">
        <f t="shared" si="107"/>
        <v>-6.734379433071334</v>
      </c>
      <c r="O219">
        <f t="shared" si="108"/>
        <v>1031.1869892134964</v>
      </c>
      <c r="P219">
        <f t="shared" si="100"/>
        <v>-0.62537736214762685</v>
      </c>
      <c r="Q219">
        <f t="shared" si="101"/>
        <v>931.37376316755876</v>
      </c>
      <c r="R219">
        <f t="shared" si="109"/>
        <v>-0.99813226045937664</v>
      </c>
      <c r="S219">
        <f t="shared" si="110"/>
        <v>6.1090020709237074E-2</v>
      </c>
      <c r="U219">
        <f t="shared" si="127"/>
        <v>3</v>
      </c>
      <c r="V219" cm="1">
        <f t="array" ref="V219:AA219">INDEX(surface!$A$2:$I$40,U219+1,COLUMN(surface!$B$1:$G$1))</f>
        <v>-500</v>
      </c>
      <c r="W219">
        <v>1000</v>
      </c>
      <c r="X219">
        <v>0</v>
      </c>
      <c r="Y219">
        <v>1000</v>
      </c>
      <c r="Z219">
        <v>-500</v>
      </c>
      <c r="AA219">
        <v>0</v>
      </c>
      <c r="AB219">
        <f t="shared" si="102"/>
        <v>486.53124113385735</v>
      </c>
      <c r="AC219">
        <f t="shared" si="103"/>
        <v>1062.3739784269928</v>
      </c>
      <c r="AD219">
        <f t="shared" si="111"/>
        <v>-499.06613022968833</v>
      </c>
      <c r="AE219">
        <f t="shared" si="112"/>
        <v>31.245347384266523</v>
      </c>
      <c r="AF219">
        <f t="shared" si="113"/>
        <v>0.99034879897140171</v>
      </c>
      <c r="AG219" t="b">
        <f t="shared" si="121"/>
        <v>1</v>
      </c>
      <c r="AH219">
        <f t="shared" si="114"/>
        <v>31.245347384266523</v>
      </c>
      <c r="AI219">
        <f t="shared" si="122"/>
        <v>4</v>
      </c>
      <c r="AJ219" cm="1">
        <f t="array" ref="AJ219:AO219">INDEX(surface!$A$2:$I$40,AI219+1,COLUMN(surface!$B$1:$G$1))</f>
        <v>0</v>
      </c>
      <c r="AK219">
        <v>1000</v>
      </c>
      <c r="AL219">
        <v>0</v>
      </c>
      <c r="AM219">
        <v>1</v>
      </c>
      <c r="AN219">
        <v>0</v>
      </c>
      <c r="AO219">
        <v>999</v>
      </c>
      <c r="AP219">
        <f t="shared" si="123"/>
        <v>-13.468758866142668</v>
      </c>
      <c r="AQ219">
        <f t="shared" si="124"/>
        <v>1062.3739784269928</v>
      </c>
      <c r="AR219">
        <f t="shared" si="125"/>
        <v>61.028930688527836</v>
      </c>
      <c r="AS219">
        <f t="shared" si="115"/>
        <v>110.23698068665193</v>
      </c>
      <c r="AT219">
        <f t="shared" si="116"/>
        <v>7.8923020526014132E-2</v>
      </c>
      <c r="AU219" t="b">
        <f t="shared" si="126"/>
        <v>1</v>
      </c>
      <c r="AV219">
        <f t="shared" si="117"/>
        <v>110.23698068665193</v>
      </c>
    </row>
    <row r="220" spans="1:48" x14ac:dyDescent="0.25">
      <c r="A220">
        <f t="shared" si="96"/>
        <v>21.80000000000004</v>
      </c>
      <c r="B220">
        <f t="shared" si="118"/>
        <v>0.1</v>
      </c>
      <c r="C220">
        <f>sim!C219+(sim!$G219*$B220*COS($E220))</f>
        <v>2.2966143224729212</v>
      </c>
      <c r="D220">
        <f>sim!D219+(sim!$G219*$B220*SIN($E220))</f>
        <v>1043.8204582720537</v>
      </c>
      <c r="E220">
        <f t="shared" si="97"/>
        <v>-4341.4126207281261</v>
      </c>
      <c r="F220">
        <f t="shared" si="104"/>
        <v>25000</v>
      </c>
      <c r="G220">
        <v>100</v>
      </c>
      <c r="H220">
        <f t="shared" si="98"/>
        <v>-2172.9349187329403</v>
      </c>
      <c r="I220">
        <f t="shared" si="105"/>
        <v>-124500</v>
      </c>
      <c r="J220">
        <f t="shared" si="119"/>
        <v>0</v>
      </c>
      <c r="K220">
        <f t="shared" si="120"/>
        <v>0</v>
      </c>
      <c r="L220">
        <f t="shared" si="106"/>
        <v>0</v>
      </c>
      <c r="M220">
        <f t="shared" si="99"/>
        <v>-124500</v>
      </c>
      <c r="N220">
        <f t="shared" si="107"/>
        <v>8.4366712246350613</v>
      </c>
      <c r="O220">
        <f t="shared" si="108"/>
        <v>1035.9274422934679</v>
      </c>
      <c r="P220">
        <f t="shared" si="100"/>
        <v>69.837240246256457</v>
      </c>
      <c r="Q220">
        <f t="shared" si="101"/>
        <v>956.99728250760973</v>
      </c>
      <c r="R220">
        <f t="shared" si="109"/>
        <v>-0.789301597858582</v>
      </c>
      <c r="S220">
        <f t="shared" si="110"/>
        <v>0.61400569021621398</v>
      </c>
      <c r="U220">
        <f t="shared" si="127"/>
        <v>3</v>
      </c>
      <c r="V220" cm="1">
        <f t="array" ref="V220:AA220">INDEX(surface!$A$2:$I$40,U220+1,COLUMN(surface!$B$1:$G$1))</f>
        <v>-500</v>
      </c>
      <c r="W220">
        <v>1000</v>
      </c>
      <c r="X220">
        <v>0</v>
      </c>
      <c r="Y220">
        <v>1000</v>
      </c>
      <c r="Z220">
        <v>-500</v>
      </c>
      <c r="AA220">
        <v>0</v>
      </c>
      <c r="AB220">
        <f t="shared" si="102"/>
        <v>516.87334244927013</v>
      </c>
      <c r="AC220">
        <f t="shared" si="103"/>
        <v>1071.8548845869359</v>
      </c>
      <c r="AD220">
        <f t="shared" si="111"/>
        <v>-394.650798929291</v>
      </c>
      <c r="AE220">
        <f t="shared" si="112"/>
        <v>45.518015408737348</v>
      </c>
      <c r="AF220">
        <f t="shared" si="113"/>
        <v>1.0727699833858981</v>
      </c>
      <c r="AG220" t="b">
        <f t="shared" si="121"/>
        <v>0</v>
      </c>
      <c r="AH220">
        <f t="shared" si="114"/>
        <v>25000</v>
      </c>
      <c r="AI220">
        <f t="shared" si="122"/>
        <v>4</v>
      </c>
      <c r="AJ220" cm="1">
        <f t="array" ref="AJ220:AO220">INDEX(surface!$A$2:$I$40,AI220+1,COLUMN(surface!$B$1:$G$1))</f>
        <v>0</v>
      </c>
      <c r="AK220">
        <v>1000</v>
      </c>
      <c r="AL220">
        <v>0</v>
      </c>
      <c r="AM220">
        <v>1</v>
      </c>
      <c r="AN220">
        <v>0</v>
      </c>
      <c r="AO220">
        <v>999</v>
      </c>
      <c r="AP220">
        <f t="shared" si="123"/>
        <v>16.873342449270123</v>
      </c>
      <c r="AQ220">
        <f t="shared" si="124"/>
        <v>1071.8548845869359</v>
      </c>
      <c r="AR220">
        <f t="shared" si="125"/>
        <v>613.39168452599779</v>
      </c>
      <c r="AS220">
        <f t="shared" si="115"/>
        <v>-13.740379542189908</v>
      </c>
      <c r="AT220">
        <f t="shared" si="116"/>
        <v>-4.6819565386688501E-2</v>
      </c>
      <c r="AU220" t="b">
        <f t="shared" si="126"/>
        <v>0</v>
      </c>
      <c r="AV220">
        <f t="shared" si="117"/>
        <v>25000</v>
      </c>
    </row>
    <row r="221" spans="1:48" x14ac:dyDescent="0.25">
      <c r="A221">
        <f t="shared" si="96"/>
        <v>21.900000000000041</v>
      </c>
      <c r="B221">
        <f t="shared" si="118"/>
        <v>0.1</v>
      </c>
      <c r="C221">
        <f>sim!C220+(sim!$G220*$B221*COS($E221))</f>
        <v>-7.3795840167469393</v>
      </c>
      <c r="D221">
        <f>sim!D220+(sim!$G220*$B221*SIN($E221))</f>
        <v>1046.3445790496867</v>
      </c>
      <c r="E221">
        <f t="shared" si="97"/>
        <v>-4558.7061126014205</v>
      </c>
      <c r="F221">
        <f t="shared" si="104"/>
        <v>25000</v>
      </c>
      <c r="G221">
        <v>100</v>
      </c>
      <c r="H221">
        <f t="shared" si="98"/>
        <v>-2172.9349187329403</v>
      </c>
      <c r="I221">
        <f t="shared" si="105"/>
        <v>-124500</v>
      </c>
      <c r="J221">
        <f t="shared" si="119"/>
        <v>0</v>
      </c>
      <c r="K221">
        <f t="shared" si="120"/>
        <v>0</v>
      </c>
      <c r="L221">
        <f t="shared" si="106"/>
        <v>0</v>
      </c>
      <c r="M221">
        <f t="shared" si="99"/>
        <v>-124500</v>
      </c>
      <c r="N221">
        <f t="shared" si="107"/>
        <v>-8.7505212854043641</v>
      </c>
      <c r="O221">
        <f t="shared" si="108"/>
        <v>1056.2501598507001</v>
      </c>
      <c r="P221">
        <f t="shared" si="100"/>
        <v>-22.459893971978602</v>
      </c>
      <c r="Q221">
        <f t="shared" si="101"/>
        <v>1155.3059678608345</v>
      </c>
      <c r="R221">
        <f t="shared" si="109"/>
        <v>0.99055808010134427</v>
      </c>
      <c r="S221">
        <f t="shared" si="110"/>
        <v>-0.13709372686574239</v>
      </c>
      <c r="U221">
        <f t="shared" si="127"/>
        <v>3</v>
      </c>
      <c r="V221" cm="1">
        <f t="array" ref="V221:AA221">INDEX(surface!$A$2:$I$40,U221+1,COLUMN(surface!$B$1:$G$1))</f>
        <v>-500</v>
      </c>
      <c r="W221">
        <v>1000</v>
      </c>
      <c r="X221">
        <v>0</v>
      </c>
      <c r="Y221">
        <v>1000</v>
      </c>
      <c r="Z221">
        <v>-500</v>
      </c>
      <c r="AA221">
        <v>0</v>
      </c>
      <c r="AB221">
        <f t="shared" si="102"/>
        <v>482.49895742919125</v>
      </c>
      <c r="AC221">
        <f t="shared" si="103"/>
        <v>1112.5003197014003</v>
      </c>
      <c r="AD221">
        <f t="shared" si="111"/>
        <v>495.27904005067217</v>
      </c>
      <c r="AE221">
        <f t="shared" si="112"/>
        <v>-56.786331847341209</v>
      </c>
      <c r="AF221">
        <f t="shared" si="113"/>
        <v>0.99806905716516481</v>
      </c>
      <c r="AG221" t="b">
        <f t="shared" si="121"/>
        <v>0</v>
      </c>
      <c r="AH221">
        <f t="shared" si="114"/>
        <v>25000</v>
      </c>
      <c r="AI221">
        <f t="shared" si="122"/>
        <v>4</v>
      </c>
      <c r="AJ221" cm="1">
        <f t="array" ref="AJ221:AO221">INDEX(surface!$A$2:$I$40,AI221+1,COLUMN(surface!$B$1:$G$1))</f>
        <v>0</v>
      </c>
      <c r="AK221">
        <v>1000</v>
      </c>
      <c r="AL221">
        <v>0</v>
      </c>
      <c r="AM221">
        <v>1</v>
      </c>
      <c r="AN221">
        <v>0</v>
      </c>
      <c r="AO221">
        <v>999</v>
      </c>
      <c r="AP221">
        <f t="shared" si="123"/>
        <v>-17.501042570808728</v>
      </c>
      <c r="AQ221">
        <f t="shared" si="124"/>
        <v>1112.5003197014003</v>
      </c>
      <c r="AR221">
        <f t="shared" si="125"/>
        <v>-136.95663313887664</v>
      </c>
      <c r="AS221">
        <f t="shared" si="115"/>
        <v>-63.82875048669338</v>
      </c>
      <c r="AT221">
        <f t="shared" si="116"/>
        <v>6.9829075942608766E-3</v>
      </c>
      <c r="AU221" t="b">
        <f t="shared" si="126"/>
        <v>0</v>
      </c>
      <c r="AV221">
        <f t="shared" si="117"/>
        <v>25000</v>
      </c>
    </row>
    <row r="222" spans="1:48" x14ac:dyDescent="0.25">
      <c r="A222">
        <f t="shared" si="96"/>
        <v>22.000000000000043</v>
      </c>
      <c r="B222">
        <f t="shared" si="118"/>
        <v>0.1</v>
      </c>
      <c r="C222">
        <f>sim!C221+(sim!$G221*$B222*COS($E222))</f>
        <v>-0.26181083174514619</v>
      </c>
      <c r="D222">
        <f>sim!D221+(sim!$G221*$B222*SIN($E222))</f>
        <v>1039.3205271644235</v>
      </c>
      <c r="E222">
        <f t="shared" si="97"/>
        <v>-4775.9996044747149</v>
      </c>
      <c r="F222">
        <f t="shared" si="104"/>
        <v>32.444651991438278</v>
      </c>
      <c r="G222">
        <v>100</v>
      </c>
      <c r="H222">
        <f t="shared" si="98"/>
        <v>5.8953162503999827</v>
      </c>
      <c r="I222">
        <f t="shared" si="105"/>
        <v>337.77674004280863</v>
      </c>
      <c r="J222">
        <f t="shared" si="119"/>
        <v>0</v>
      </c>
      <c r="K222">
        <f t="shared" si="120"/>
        <v>0</v>
      </c>
      <c r="L222">
        <f t="shared" si="106"/>
        <v>0</v>
      </c>
      <c r="M222">
        <f t="shared" si="99"/>
        <v>337.77674004280863</v>
      </c>
      <c r="N222">
        <f t="shared" si="107"/>
        <v>-4.0273347306034868</v>
      </c>
      <c r="O222">
        <f t="shared" si="108"/>
        <v>1030.0565739171793</v>
      </c>
      <c r="P222">
        <f t="shared" si="100"/>
        <v>-41.682573719186884</v>
      </c>
      <c r="Q222">
        <f t="shared" si="101"/>
        <v>937.41704144473715</v>
      </c>
      <c r="R222">
        <f t="shared" si="109"/>
        <v>-0.92639532472442176</v>
      </c>
      <c r="S222">
        <f t="shared" si="110"/>
        <v>-0.376552389885834</v>
      </c>
      <c r="U222">
        <f t="shared" si="127"/>
        <v>3</v>
      </c>
      <c r="V222" cm="1">
        <f t="array" ref="V222:AA222">INDEX(surface!$A$2:$I$40,U222+1,COLUMN(surface!$B$1:$G$1))</f>
        <v>-500</v>
      </c>
      <c r="W222">
        <v>1000</v>
      </c>
      <c r="X222">
        <v>0</v>
      </c>
      <c r="Y222">
        <v>1000</v>
      </c>
      <c r="Z222">
        <v>-500</v>
      </c>
      <c r="AA222">
        <v>0</v>
      </c>
      <c r="AB222">
        <f t="shared" si="102"/>
        <v>491.94533053879303</v>
      </c>
      <c r="AC222">
        <f t="shared" si="103"/>
        <v>1060.1131478343586</v>
      </c>
      <c r="AD222">
        <f t="shared" si="111"/>
        <v>-463.19766236221091</v>
      </c>
      <c r="AE222">
        <f t="shared" si="112"/>
        <v>32.444651991438278</v>
      </c>
      <c r="AF222">
        <f t="shared" si="113"/>
        <v>0.96751110804601248</v>
      </c>
      <c r="AG222" t="b">
        <f t="shared" si="121"/>
        <v>1</v>
      </c>
      <c r="AH222">
        <f t="shared" si="114"/>
        <v>32.444651991438278</v>
      </c>
      <c r="AI222">
        <f t="shared" si="122"/>
        <v>4</v>
      </c>
      <c r="AJ222" cm="1">
        <f t="array" ref="AJ222:AO222">INDEX(surface!$A$2:$I$40,AI222+1,COLUMN(surface!$B$1:$G$1))</f>
        <v>0</v>
      </c>
      <c r="AK222">
        <v>1000</v>
      </c>
      <c r="AL222">
        <v>0</v>
      </c>
      <c r="AM222">
        <v>1</v>
      </c>
      <c r="AN222">
        <v>0</v>
      </c>
      <c r="AO222">
        <v>999</v>
      </c>
      <c r="AP222">
        <f t="shared" si="123"/>
        <v>-8.0546694612069736</v>
      </c>
      <c r="AQ222">
        <f t="shared" si="124"/>
        <v>1060.1131478343586</v>
      </c>
      <c r="AR222">
        <f t="shared" si="125"/>
        <v>-376.17583749594814</v>
      </c>
      <c r="AS222">
        <f t="shared" si="115"/>
        <v>-10.695283946609726</v>
      </c>
      <c r="AT222">
        <f t="shared" si="116"/>
        <v>-4.0004639601520252E-2</v>
      </c>
      <c r="AU222" t="b">
        <f t="shared" si="126"/>
        <v>0</v>
      </c>
      <c r="AV222">
        <f t="shared" si="117"/>
        <v>25000</v>
      </c>
    </row>
    <row r="223" spans="1:48" x14ac:dyDescent="0.25">
      <c r="A223">
        <f t="shared" si="96"/>
        <v>22.100000000000044</v>
      </c>
      <c r="B223">
        <f t="shared" si="118"/>
        <v>0.1</v>
      </c>
      <c r="C223">
        <f>sim!C222+(sim!$G222*$B223*COS($E223))</f>
        <v>9.5596651523480585</v>
      </c>
      <c r="D223">
        <f>sim!D222+(sim!$G222*$B223*SIN($E223))</f>
        <v>1037.4394079513272</v>
      </c>
      <c r="E223">
        <f t="shared" si="97"/>
        <v>-4775.4100728496751</v>
      </c>
      <c r="F223">
        <f t="shared" si="104"/>
        <v>25000</v>
      </c>
      <c r="G223">
        <v>100</v>
      </c>
      <c r="H223">
        <f t="shared" si="98"/>
        <v>-2172.9349187329403</v>
      </c>
      <c r="I223">
        <f t="shared" si="105"/>
        <v>-124500</v>
      </c>
      <c r="J223">
        <f t="shared" si="119"/>
        <v>0</v>
      </c>
      <c r="K223">
        <f t="shared" si="120"/>
        <v>0</v>
      </c>
      <c r="L223">
        <f t="shared" si="106"/>
        <v>0</v>
      </c>
      <c r="M223">
        <f t="shared" si="99"/>
        <v>-124500</v>
      </c>
      <c r="N223">
        <f t="shared" si="107"/>
        <v>11.580253753639662</v>
      </c>
      <c r="O223">
        <f t="shared" si="108"/>
        <v>1027.6456741534168</v>
      </c>
      <c r="P223">
        <f t="shared" si="100"/>
        <v>31.786139766555692</v>
      </c>
      <c r="Q223">
        <f t="shared" si="101"/>
        <v>929.7083361743139</v>
      </c>
      <c r="R223">
        <f t="shared" si="109"/>
        <v>-0.97937337979102967</v>
      </c>
      <c r="S223">
        <f t="shared" si="110"/>
        <v>0.20205886012916033</v>
      </c>
      <c r="U223">
        <f t="shared" si="127"/>
        <v>3</v>
      </c>
      <c r="V223" cm="1">
        <f t="array" ref="V223:AA223">INDEX(surface!$A$2:$I$40,U223+1,COLUMN(surface!$B$1:$G$1))</f>
        <v>-500</v>
      </c>
      <c r="W223">
        <v>1000</v>
      </c>
      <c r="X223">
        <v>0</v>
      </c>
      <c r="Y223">
        <v>1000</v>
      </c>
      <c r="Z223">
        <v>-500</v>
      </c>
      <c r="AA223">
        <v>0</v>
      </c>
      <c r="AB223">
        <f t="shared" si="102"/>
        <v>523.16050750727936</v>
      </c>
      <c r="AC223">
        <f t="shared" si="103"/>
        <v>1055.2913483068337</v>
      </c>
      <c r="AD223">
        <f t="shared" si="111"/>
        <v>-489.68668989551486</v>
      </c>
      <c r="AE223">
        <f t="shared" si="112"/>
        <v>28.227920754100591</v>
      </c>
      <c r="AF223">
        <f t="shared" si="113"/>
        <v>1.0345679104900589</v>
      </c>
      <c r="AG223" t="b">
        <f t="shared" si="121"/>
        <v>0</v>
      </c>
      <c r="AH223">
        <f t="shared" si="114"/>
        <v>25000</v>
      </c>
      <c r="AI223">
        <f t="shared" si="122"/>
        <v>4</v>
      </c>
      <c r="AJ223" cm="1">
        <f t="array" ref="AJ223:AO223">INDEX(surface!$A$2:$I$40,AI223+1,COLUMN(surface!$B$1:$G$1))</f>
        <v>0</v>
      </c>
      <c r="AK223">
        <v>1000</v>
      </c>
      <c r="AL223">
        <v>0</v>
      </c>
      <c r="AM223">
        <v>1</v>
      </c>
      <c r="AN223">
        <v>0</v>
      </c>
      <c r="AO223">
        <v>999</v>
      </c>
      <c r="AP223">
        <f t="shared" si="123"/>
        <v>23.160507507279323</v>
      </c>
      <c r="AQ223">
        <f t="shared" si="124"/>
        <v>1055.2913483068337</v>
      </c>
      <c r="AR223">
        <f t="shared" si="125"/>
        <v>201.85680126903117</v>
      </c>
      <c r="AS223">
        <f t="shared" si="115"/>
        <v>-57.31128912752115</v>
      </c>
      <c r="AT223">
        <f t="shared" si="116"/>
        <v>-8.3858683770188319E-2</v>
      </c>
      <c r="AU223" t="b">
        <f t="shared" si="126"/>
        <v>0</v>
      </c>
      <c r="AV223">
        <f t="shared" si="117"/>
        <v>25000</v>
      </c>
    </row>
    <row r="224" spans="1:48" x14ac:dyDescent="0.25">
      <c r="A224">
        <f t="shared" si="96"/>
        <v>22.200000000000045</v>
      </c>
      <c r="B224">
        <f t="shared" si="118"/>
        <v>0.1</v>
      </c>
      <c r="C224">
        <f>sim!C223+(sim!$G223*$B224*COS($E224))</f>
        <v>1.9945770540154522</v>
      </c>
      <c r="D224">
        <f>sim!D223+(sim!$G223*$B224*SIN($E224))</f>
        <v>1043.9792429694653</v>
      </c>
      <c r="E224">
        <f t="shared" si="97"/>
        <v>-4992.7035647229695</v>
      </c>
      <c r="F224">
        <f t="shared" si="104"/>
        <v>25000</v>
      </c>
      <c r="G224">
        <v>100</v>
      </c>
      <c r="H224">
        <f t="shared" si="98"/>
        <v>-2172.9349187329403</v>
      </c>
      <c r="I224">
        <f t="shared" si="105"/>
        <v>-124500</v>
      </c>
      <c r="J224">
        <f t="shared" si="119"/>
        <v>0</v>
      </c>
      <c r="K224">
        <f t="shared" si="120"/>
        <v>0</v>
      </c>
      <c r="L224">
        <f t="shared" si="106"/>
        <v>0</v>
      </c>
      <c r="M224">
        <f t="shared" si="99"/>
        <v>-124500</v>
      </c>
      <c r="N224">
        <f t="shared" si="107"/>
        <v>5.1415628936586986</v>
      </c>
      <c r="O224">
        <f t="shared" si="108"/>
        <v>1053.4711595370024</v>
      </c>
      <c r="P224">
        <f t="shared" si="100"/>
        <v>36.611421290091165</v>
      </c>
      <c r="Q224">
        <f t="shared" si="101"/>
        <v>1148.3903252123732</v>
      </c>
      <c r="R224">
        <f t="shared" si="109"/>
        <v>0.94919165675370798</v>
      </c>
      <c r="S224">
        <f t="shared" si="110"/>
        <v>0.31469858396432465</v>
      </c>
      <c r="U224">
        <f t="shared" si="127"/>
        <v>3</v>
      </c>
      <c r="V224" cm="1">
        <f t="array" ref="V224:AA224">INDEX(surface!$A$2:$I$40,U224+1,COLUMN(surface!$B$1:$G$1))</f>
        <v>-500</v>
      </c>
      <c r="W224">
        <v>1000</v>
      </c>
      <c r="X224">
        <v>0</v>
      </c>
      <c r="Y224">
        <v>1000</v>
      </c>
      <c r="Z224">
        <v>-500</v>
      </c>
      <c r="AA224">
        <v>0</v>
      </c>
      <c r="AB224">
        <f t="shared" si="102"/>
        <v>510.28312578731737</v>
      </c>
      <c r="AC224">
        <f t="shared" si="103"/>
        <v>1106.9423190740049</v>
      </c>
      <c r="AD224">
        <f t="shared" si="111"/>
        <v>474.595828376854</v>
      </c>
      <c r="AE224">
        <f t="shared" si="112"/>
        <v>-56.333364454421144</v>
      </c>
      <c r="AF224">
        <f t="shared" si="113"/>
        <v>0.97482706573981215</v>
      </c>
      <c r="AG224" t="b">
        <f t="shared" si="121"/>
        <v>0</v>
      </c>
      <c r="AH224">
        <f t="shared" si="114"/>
        <v>25000</v>
      </c>
      <c r="AI224">
        <f t="shared" si="122"/>
        <v>4</v>
      </c>
      <c r="AJ224" cm="1">
        <f t="array" ref="AJ224:AO224">INDEX(surface!$A$2:$I$40,AI224+1,COLUMN(surface!$B$1:$G$1))</f>
        <v>0</v>
      </c>
      <c r="AK224">
        <v>1000</v>
      </c>
      <c r="AL224">
        <v>0</v>
      </c>
      <c r="AM224">
        <v>1</v>
      </c>
      <c r="AN224">
        <v>0</v>
      </c>
      <c r="AO224">
        <v>999</v>
      </c>
      <c r="AP224">
        <f t="shared" si="123"/>
        <v>10.283125787317397</v>
      </c>
      <c r="AQ224">
        <f t="shared" si="124"/>
        <v>1106.9423190740049</v>
      </c>
      <c r="AR224">
        <f t="shared" si="125"/>
        <v>314.38388538036031</v>
      </c>
      <c r="AS224">
        <f t="shared" si="115"/>
        <v>-16.33805538267552</v>
      </c>
      <c r="AT224">
        <f t="shared" si="116"/>
        <v>-3.8001214895081917E-2</v>
      </c>
      <c r="AU224" t="b">
        <f t="shared" si="126"/>
        <v>0</v>
      </c>
      <c r="AV224">
        <f t="shared" si="117"/>
        <v>25000</v>
      </c>
    </row>
    <row r="225" spans="1:48" x14ac:dyDescent="0.25">
      <c r="A225">
        <f t="shared" si="96"/>
        <v>22.300000000000047</v>
      </c>
      <c r="B225">
        <f t="shared" si="118"/>
        <v>0.1</v>
      </c>
      <c r="C225">
        <f>sim!C224+(sim!$G224*$B225*COS($E225))</f>
        <v>5.2762180199658353</v>
      </c>
      <c r="D225">
        <f>sim!D224+(sim!$G224*$B225*SIN($E225))</f>
        <v>1034.5330356580309</v>
      </c>
      <c r="E225">
        <f t="shared" si="97"/>
        <v>-5209.997056596264</v>
      </c>
      <c r="F225">
        <f t="shared" si="104"/>
        <v>41.954784316879838</v>
      </c>
      <c r="G225">
        <v>100</v>
      </c>
      <c r="H225">
        <f t="shared" si="98"/>
        <v>5.065400643503482</v>
      </c>
      <c r="I225">
        <f t="shared" si="105"/>
        <v>290.2260784156008</v>
      </c>
      <c r="J225">
        <f t="shared" si="119"/>
        <v>0</v>
      </c>
      <c r="K225">
        <f t="shared" si="120"/>
        <v>0</v>
      </c>
      <c r="L225">
        <f t="shared" si="106"/>
        <v>0</v>
      </c>
      <c r="M225">
        <f t="shared" si="99"/>
        <v>290.2260784156008</v>
      </c>
      <c r="N225">
        <f t="shared" si="107"/>
        <v>-2.1951099462863839</v>
      </c>
      <c r="O225">
        <f t="shared" si="108"/>
        <v>1027.8862876997662</v>
      </c>
      <c r="P225">
        <f t="shared" si="100"/>
        <v>-76.908389608808577</v>
      </c>
      <c r="Q225">
        <f t="shared" si="101"/>
        <v>961.41880811711803</v>
      </c>
      <c r="R225">
        <f t="shared" si="109"/>
        <v>-0.66467479582648148</v>
      </c>
      <c r="S225">
        <f t="shared" si="110"/>
        <v>-0.74713279662522192</v>
      </c>
      <c r="U225">
        <f t="shared" si="127"/>
        <v>3</v>
      </c>
      <c r="V225" cm="1">
        <f t="array" ref="V225:AA225">INDEX(surface!$A$2:$I$40,U225+1,COLUMN(surface!$B$1:$G$1))</f>
        <v>-500</v>
      </c>
      <c r="W225">
        <v>1000</v>
      </c>
      <c r="X225">
        <v>0</v>
      </c>
      <c r="Y225">
        <v>1000</v>
      </c>
      <c r="Z225">
        <v>-500</v>
      </c>
      <c r="AA225">
        <v>0</v>
      </c>
      <c r="AB225">
        <f t="shared" si="102"/>
        <v>495.60978010742724</v>
      </c>
      <c r="AC225">
        <f t="shared" si="103"/>
        <v>1055.7725753995323</v>
      </c>
      <c r="AD225">
        <f t="shared" si="111"/>
        <v>-332.33739791324075</v>
      </c>
      <c r="AE225">
        <f t="shared" si="112"/>
        <v>41.954784316879838</v>
      </c>
      <c r="AF225">
        <f t="shared" si="113"/>
        <v>0.93291818943047022</v>
      </c>
      <c r="AG225" t="b">
        <f t="shared" si="121"/>
        <v>1</v>
      </c>
      <c r="AH225">
        <f t="shared" si="114"/>
        <v>41.954784316879838</v>
      </c>
      <c r="AI225">
        <f t="shared" si="122"/>
        <v>4</v>
      </c>
      <c r="AJ225" cm="1">
        <f t="array" ref="AJ225:AO225">INDEX(surface!$A$2:$I$40,AI225+1,COLUMN(surface!$B$1:$G$1))</f>
        <v>0</v>
      </c>
      <c r="AK225">
        <v>1000</v>
      </c>
      <c r="AL225">
        <v>0</v>
      </c>
      <c r="AM225">
        <v>1</v>
      </c>
      <c r="AN225">
        <v>0</v>
      </c>
      <c r="AO225">
        <v>999</v>
      </c>
      <c r="AP225">
        <f t="shared" si="123"/>
        <v>-4.3902198925727678</v>
      </c>
      <c r="AQ225">
        <f t="shared" si="124"/>
        <v>1055.7725753995323</v>
      </c>
      <c r="AR225">
        <f t="shared" si="125"/>
        <v>-746.38566382859665</v>
      </c>
      <c r="AS225">
        <f t="shared" si="115"/>
        <v>-2.9380452259646943</v>
      </c>
      <c r="AT225">
        <f t="shared" si="116"/>
        <v>-2.9869001311775001E-2</v>
      </c>
      <c r="AU225" t="b">
        <f t="shared" si="126"/>
        <v>0</v>
      </c>
      <c r="AV225">
        <f t="shared" si="117"/>
        <v>25000</v>
      </c>
    </row>
    <row r="226" spans="1:48" x14ac:dyDescent="0.25">
      <c r="A226">
        <f t="shared" si="96"/>
        <v>22.400000000000048</v>
      </c>
      <c r="B226">
        <f t="shared" si="118"/>
        <v>0.1</v>
      </c>
      <c r="C226">
        <f>sim!C225+(sim!$G225*$B226*COS($E226))</f>
        <v>12.728649679520407</v>
      </c>
      <c r="D226">
        <f>sim!D225+(sim!$G225*$B226*SIN($E226))</f>
        <v>1027.865107767024</v>
      </c>
      <c r="E226">
        <f t="shared" si="97"/>
        <v>-5209.4905165319133</v>
      </c>
      <c r="F226">
        <f t="shared" si="104"/>
        <v>28.473267680721602</v>
      </c>
      <c r="G226">
        <v>100</v>
      </c>
      <c r="H226">
        <f t="shared" si="98"/>
        <v>6.2418849108202394</v>
      </c>
      <c r="I226">
        <f t="shared" si="105"/>
        <v>357.63366159639196</v>
      </c>
      <c r="J226">
        <f t="shared" si="119"/>
        <v>0</v>
      </c>
      <c r="K226">
        <f t="shared" si="120"/>
        <v>0</v>
      </c>
      <c r="L226">
        <f t="shared" si="106"/>
        <v>0</v>
      </c>
      <c r="M226">
        <f t="shared" si="99"/>
        <v>357.63366159639196</v>
      </c>
      <c r="N226">
        <f t="shared" si="107"/>
        <v>9.4202097037034971</v>
      </c>
      <c r="O226">
        <f t="shared" si="108"/>
        <v>1018.4282531572286</v>
      </c>
      <c r="P226">
        <f t="shared" si="100"/>
        <v>-23.6641900544656</v>
      </c>
      <c r="Q226">
        <f t="shared" si="101"/>
        <v>924.05970705927461</v>
      </c>
      <c r="R226">
        <f t="shared" si="109"/>
        <v>-0.94368546097953954</v>
      </c>
      <c r="S226">
        <f t="shared" si="110"/>
        <v>-0.33084399758169097</v>
      </c>
      <c r="U226">
        <f t="shared" si="127"/>
        <v>3</v>
      </c>
      <c r="V226" cm="1">
        <f t="array" ref="V226:AA226">INDEX(surface!$A$2:$I$40,U226+1,COLUMN(surface!$B$1:$G$1))</f>
        <v>-500</v>
      </c>
      <c r="W226">
        <v>1000</v>
      </c>
      <c r="X226">
        <v>0</v>
      </c>
      <c r="Y226">
        <v>1000</v>
      </c>
      <c r="Z226">
        <v>-500</v>
      </c>
      <c r="AA226">
        <v>0</v>
      </c>
      <c r="AB226">
        <f t="shared" si="102"/>
        <v>518.84041940740701</v>
      </c>
      <c r="AC226">
        <f t="shared" si="103"/>
        <v>1036.8565063144572</v>
      </c>
      <c r="AD226">
        <f t="shared" si="111"/>
        <v>-471.84273048976979</v>
      </c>
      <c r="AE226">
        <f t="shared" si="112"/>
        <v>19.527961295599685</v>
      </c>
      <c r="AF226">
        <f t="shared" si="113"/>
        <v>1.0059190018480935</v>
      </c>
      <c r="AG226" t="b">
        <f t="shared" si="121"/>
        <v>0</v>
      </c>
      <c r="AH226">
        <f t="shared" si="114"/>
        <v>25000</v>
      </c>
      <c r="AI226">
        <f t="shared" si="122"/>
        <v>4</v>
      </c>
      <c r="AJ226" cm="1">
        <f t="array" ref="AJ226:AO226">INDEX(surface!$A$2:$I$40,AI226+1,COLUMN(surface!$B$1:$G$1))</f>
        <v>0</v>
      </c>
      <c r="AK226">
        <v>1000</v>
      </c>
      <c r="AL226">
        <v>0</v>
      </c>
      <c r="AM226">
        <v>1</v>
      </c>
      <c r="AN226">
        <v>0</v>
      </c>
      <c r="AO226">
        <v>999</v>
      </c>
      <c r="AP226">
        <f t="shared" si="123"/>
        <v>18.840419407406994</v>
      </c>
      <c r="AQ226">
        <f t="shared" si="124"/>
        <v>1036.8565063144572</v>
      </c>
      <c r="AR226">
        <f t="shared" si="125"/>
        <v>-330.51315358410926</v>
      </c>
      <c r="AS226">
        <f t="shared" si="115"/>
        <v>28.473267680721602</v>
      </c>
      <c r="AT226">
        <f t="shared" si="116"/>
        <v>8.4500055852322273E-3</v>
      </c>
      <c r="AU226" t="b">
        <f t="shared" si="126"/>
        <v>1</v>
      </c>
      <c r="AV226">
        <f t="shared" si="117"/>
        <v>28.473267680721602</v>
      </c>
    </row>
    <row r="227" spans="1:48" x14ac:dyDescent="0.25">
      <c r="A227">
        <f t="shared" si="96"/>
        <v>22.50000000000005</v>
      </c>
      <c r="B227">
        <f t="shared" si="118"/>
        <v>0.1</v>
      </c>
      <c r="C227">
        <f>sim!C226+(sim!$G226*$B227*COS($E227))</f>
        <v>22.672830369404899</v>
      </c>
      <c r="D227">
        <f>sim!D226+(sim!$G226*$B227*SIN($E227))</f>
        <v>1026.8099914668333</v>
      </c>
      <c r="E227">
        <f t="shared" si="97"/>
        <v>-5208.8663280408309</v>
      </c>
      <c r="F227">
        <f t="shared" si="104"/>
        <v>25000</v>
      </c>
      <c r="G227">
        <v>100</v>
      </c>
      <c r="H227">
        <f t="shared" si="98"/>
        <v>-2172.9349187329403</v>
      </c>
      <c r="I227">
        <f t="shared" si="105"/>
        <v>-124500</v>
      </c>
      <c r="J227">
        <f t="shared" si="119"/>
        <v>0</v>
      </c>
      <c r="K227">
        <f t="shared" si="120"/>
        <v>0</v>
      </c>
      <c r="L227">
        <f t="shared" si="106"/>
        <v>0</v>
      </c>
      <c r="M227">
        <f t="shared" si="99"/>
        <v>-124500</v>
      </c>
      <c r="N227">
        <f t="shared" si="107"/>
        <v>25.503503213704189</v>
      </c>
      <c r="O227">
        <f t="shared" si="108"/>
        <v>1017.2189909325539</v>
      </c>
      <c r="P227">
        <f t="shared" si="100"/>
        <v>53.810231656697098</v>
      </c>
      <c r="Q227">
        <f t="shared" si="101"/>
        <v>921.30898558976048</v>
      </c>
      <c r="R227">
        <f t="shared" si="109"/>
        <v>-0.95910005342793392</v>
      </c>
      <c r="S227">
        <f t="shared" si="110"/>
        <v>0.28306728442992907</v>
      </c>
      <c r="U227">
        <f t="shared" si="127"/>
        <v>3</v>
      </c>
      <c r="V227" cm="1">
        <f t="array" ref="V227:AA227">INDEX(surface!$A$2:$I$40,U227+1,COLUMN(surface!$B$1:$G$1))</f>
        <v>-500</v>
      </c>
      <c r="W227">
        <v>1000</v>
      </c>
      <c r="X227">
        <v>0</v>
      </c>
      <c r="Y227">
        <v>1000</v>
      </c>
      <c r="Z227">
        <v>-500</v>
      </c>
      <c r="AA227">
        <v>0</v>
      </c>
      <c r="AB227">
        <f t="shared" si="102"/>
        <v>551.00700642740833</v>
      </c>
      <c r="AC227">
        <f t="shared" si="103"/>
        <v>1034.4379818651078</v>
      </c>
      <c r="AD227">
        <f t="shared" si="111"/>
        <v>-479.55002671396699</v>
      </c>
      <c r="AE227">
        <f t="shared" si="112"/>
        <v>17.953279088048451</v>
      </c>
      <c r="AF227">
        <f t="shared" si="113"/>
        <v>1.0611709783435412</v>
      </c>
      <c r="AG227" t="b">
        <f t="shared" si="121"/>
        <v>0</v>
      </c>
      <c r="AH227">
        <f t="shared" si="114"/>
        <v>25000</v>
      </c>
      <c r="AI227">
        <f t="shared" si="122"/>
        <v>4</v>
      </c>
      <c r="AJ227" cm="1">
        <f t="array" ref="AJ227:AO227">INDEX(surface!$A$2:$I$40,AI227+1,COLUMN(surface!$B$1:$G$1))</f>
        <v>0</v>
      </c>
      <c r="AK227">
        <v>1000</v>
      </c>
      <c r="AL227">
        <v>0</v>
      </c>
      <c r="AM227">
        <v>1</v>
      </c>
      <c r="AN227">
        <v>0</v>
      </c>
      <c r="AO227">
        <v>999</v>
      </c>
      <c r="AP227">
        <f t="shared" si="123"/>
        <v>51.007006427408378</v>
      </c>
      <c r="AQ227">
        <f t="shared" si="124"/>
        <v>1034.4379818651078</v>
      </c>
      <c r="AR227">
        <f t="shared" si="125"/>
        <v>282.78421714549916</v>
      </c>
      <c r="AS227">
        <f t="shared" si="115"/>
        <v>-90.096964985077122</v>
      </c>
      <c r="AT227">
        <f t="shared" si="116"/>
        <v>-0.10373472959302907</v>
      </c>
      <c r="AU227" t="b">
        <f t="shared" si="126"/>
        <v>0</v>
      </c>
      <c r="AV227">
        <f t="shared" si="117"/>
        <v>25000</v>
      </c>
    </row>
    <row r="228" spans="1:48" x14ac:dyDescent="0.25">
      <c r="A228">
        <f t="shared" si="96"/>
        <v>22.600000000000051</v>
      </c>
      <c r="B228">
        <f t="shared" si="118"/>
        <v>0.1</v>
      </c>
      <c r="C228">
        <f>sim!C227+(sim!$G227*$B228*COS($E228))</f>
        <v>14.588475422240096</v>
      </c>
      <c r="D228">
        <f>sim!D227+(sim!$G227*$B228*SIN($E228))</f>
        <v>1032.6958393316911</v>
      </c>
      <c r="E228">
        <f t="shared" si="97"/>
        <v>-5426.1598199141254</v>
      </c>
      <c r="F228">
        <f t="shared" si="104"/>
        <v>25000</v>
      </c>
      <c r="G228">
        <v>100</v>
      </c>
      <c r="H228">
        <f t="shared" si="98"/>
        <v>-2172.9349187329403</v>
      </c>
      <c r="I228">
        <f t="shared" si="105"/>
        <v>-124500</v>
      </c>
      <c r="J228">
        <f t="shared" si="119"/>
        <v>0</v>
      </c>
      <c r="K228">
        <f t="shared" si="120"/>
        <v>0</v>
      </c>
      <c r="L228">
        <f t="shared" si="106"/>
        <v>0</v>
      </c>
      <c r="M228">
        <f t="shared" si="99"/>
        <v>-124500</v>
      </c>
      <c r="N228">
        <f t="shared" si="107"/>
        <v>16.932541096417815</v>
      </c>
      <c r="O228">
        <f t="shared" si="108"/>
        <v>1042.4172258642359</v>
      </c>
      <c r="P228">
        <f t="shared" si="100"/>
        <v>40.373197838194997</v>
      </c>
      <c r="Q228">
        <f t="shared" si="101"/>
        <v>1139.631091189683</v>
      </c>
      <c r="R228">
        <f t="shared" si="109"/>
        <v>0.97213865325447146</v>
      </c>
      <c r="S228">
        <f t="shared" si="110"/>
        <v>0.23440656741777183</v>
      </c>
      <c r="U228">
        <f t="shared" si="127"/>
        <v>3</v>
      </c>
      <c r="V228" cm="1">
        <f t="array" ref="V228:AA228">INDEX(surface!$A$2:$I$40,U228+1,COLUMN(surface!$B$1:$G$1))</f>
        <v>-500</v>
      </c>
      <c r="W228">
        <v>1000</v>
      </c>
      <c r="X228">
        <v>0</v>
      </c>
      <c r="Y228">
        <v>1000</v>
      </c>
      <c r="Z228">
        <v>-500</v>
      </c>
      <c r="AA228">
        <v>0</v>
      </c>
      <c r="AB228">
        <f t="shared" si="102"/>
        <v>533.86508219283564</v>
      </c>
      <c r="AC228">
        <f t="shared" si="103"/>
        <v>1084.8344517284718</v>
      </c>
      <c r="AD228">
        <f t="shared" si="111"/>
        <v>486.06932662723574</v>
      </c>
      <c r="AE228">
        <f t="shared" si="112"/>
        <v>-43.632897140993073</v>
      </c>
      <c r="AF228">
        <f t="shared" si="113"/>
        <v>1.0134094069022097</v>
      </c>
      <c r="AG228" t="b">
        <f t="shared" si="121"/>
        <v>0</v>
      </c>
      <c r="AH228">
        <f t="shared" si="114"/>
        <v>25000</v>
      </c>
      <c r="AI228">
        <f t="shared" si="122"/>
        <v>4</v>
      </c>
      <c r="AJ228" cm="1">
        <f t="array" ref="AJ228:AO228">INDEX(surface!$A$2:$I$40,AI228+1,COLUMN(surface!$B$1:$G$1))</f>
        <v>0</v>
      </c>
      <c r="AK228">
        <v>1000</v>
      </c>
      <c r="AL228">
        <v>0</v>
      </c>
      <c r="AM228">
        <v>1</v>
      </c>
      <c r="AN228">
        <v>0</v>
      </c>
      <c r="AO228">
        <v>999</v>
      </c>
      <c r="AP228">
        <f t="shared" si="123"/>
        <v>33.865082192835629</v>
      </c>
      <c r="AQ228">
        <f t="shared" si="124"/>
        <v>1084.8344517284718</v>
      </c>
      <c r="AR228">
        <f t="shared" si="125"/>
        <v>234.17216085035406</v>
      </c>
      <c r="AS228">
        <f t="shared" si="115"/>
        <v>-72.235779410735276</v>
      </c>
      <c r="AT228">
        <f t="shared" si="116"/>
        <v>2.7833801250153549E-2</v>
      </c>
      <c r="AU228" t="b">
        <f t="shared" si="126"/>
        <v>0</v>
      </c>
      <c r="AV228">
        <f t="shared" si="117"/>
        <v>25000</v>
      </c>
    </row>
    <row r="229" spans="1:48" x14ac:dyDescent="0.25">
      <c r="A229">
        <f t="shared" si="96"/>
        <v>22.700000000000053</v>
      </c>
      <c r="B229">
        <f t="shared" si="118"/>
        <v>0.1</v>
      </c>
      <c r="C229">
        <f>sim!C228+(sim!$G228*$B229*COS($E229))</f>
        <v>18.646808247262534</v>
      </c>
      <c r="D229">
        <f>sim!D228+(sim!$G228*$B229*SIN($E229))</f>
        <v>1023.5563680843297</v>
      </c>
      <c r="E229">
        <f t="shared" si="97"/>
        <v>-5643.4533117874198</v>
      </c>
      <c r="F229">
        <f t="shared" si="104"/>
        <v>22.505284701848201</v>
      </c>
      <c r="G229">
        <v>100</v>
      </c>
      <c r="H229">
        <f t="shared" si="98"/>
        <v>6.7626896742418401</v>
      </c>
      <c r="I229">
        <f t="shared" si="105"/>
        <v>387.473576490759</v>
      </c>
      <c r="J229">
        <f t="shared" si="119"/>
        <v>0</v>
      </c>
      <c r="K229">
        <f t="shared" si="120"/>
        <v>0</v>
      </c>
      <c r="L229">
        <f t="shared" si="106"/>
        <v>0</v>
      </c>
      <c r="M229">
        <f t="shared" si="99"/>
        <v>387.473576490759</v>
      </c>
      <c r="N229">
        <f t="shared" si="107"/>
        <v>11.756094559010203</v>
      </c>
      <c r="O229">
        <f t="shared" si="108"/>
        <v>1016.3094332242298</v>
      </c>
      <c r="P229">
        <f t="shared" si="100"/>
        <v>-57.151042323513117</v>
      </c>
      <c r="Q229">
        <f t="shared" si="101"/>
        <v>943.84008462323027</v>
      </c>
      <c r="R229">
        <f t="shared" si="109"/>
        <v>-0.7246934860099955</v>
      </c>
      <c r="S229">
        <f t="shared" si="110"/>
        <v>-0.68907136882523312</v>
      </c>
      <c r="U229">
        <f t="shared" si="127"/>
        <v>3</v>
      </c>
      <c r="V229" cm="1">
        <f t="array" ref="V229:AA229">INDEX(surface!$A$2:$I$40,U229+1,COLUMN(surface!$B$1:$G$1))</f>
        <v>-500</v>
      </c>
      <c r="W229">
        <v>1000</v>
      </c>
      <c r="X229">
        <v>0</v>
      </c>
      <c r="Y229">
        <v>1000</v>
      </c>
      <c r="Z229">
        <v>-500</v>
      </c>
      <c r="AA229">
        <v>0</v>
      </c>
      <c r="AB229">
        <f t="shared" si="102"/>
        <v>523.51218911802039</v>
      </c>
      <c r="AC229">
        <f t="shared" si="103"/>
        <v>1032.6188664484596</v>
      </c>
      <c r="AD229">
        <f t="shared" si="111"/>
        <v>-362.34674300499773</v>
      </c>
      <c r="AE229">
        <f t="shared" si="112"/>
        <v>22.505284701848201</v>
      </c>
      <c r="AF229">
        <f t="shared" si="113"/>
        <v>0.99249669444741229</v>
      </c>
      <c r="AG229" t="b">
        <f t="shared" si="121"/>
        <v>1</v>
      </c>
      <c r="AH229">
        <f t="shared" si="114"/>
        <v>22.505284701848201</v>
      </c>
      <c r="AI229">
        <f t="shared" si="122"/>
        <v>4</v>
      </c>
      <c r="AJ229" cm="1">
        <f t="array" ref="AJ229:AO229">INDEX(surface!$A$2:$I$40,AI229+1,COLUMN(surface!$B$1:$G$1))</f>
        <v>0</v>
      </c>
      <c r="AK229">
        <v>1000</v>
      </c>
      <c r="AL229">
        <v>0</v>
      </c>
      <c r="AM229">
        <v>1</v>
      </c>
      <c r="AN229">
        <v>0</v>
      </c>
      <c r="AO229">
        <v>999</v>
      </c>
      <c r="AP229">
        <f t="shared" si="123"/>
        <v>23.512189118020405</v>
      </c>
      <c r="AQ229">
        <f t="shared" si="124"/>
        <v>1032.6188664484596</v>
      </c>
      <c r="AR229">
        <f t="shared" si="125"/>
        <v>-688.38229745640785</v>
      </c>
      <c r="AS229">
        <f t="shared" si="115"/>
        <v>17.060779319640925</v>
      </c>
      <c r="AT229">
        <f t="shared" si="116"/>
        <v>-3.9495471321641358E-3</v>
      </c>
      <c r="AU229" t="b">
        <f t="shared" si="126"/>
        <v>0</v>
      </c>
      <c r="AV229">
        <f t="shared" si="117"/>
        <v>25000</v>
      </c>
    </row>
    <row r="230" spans="1:48" x14ac:dyDescent="0.25">
      <c r="A230">
        <f t="shared" si="96"/>
        <v>22.800000000000054</v>
      </c>
      <c r="B230">
        <f t="shared" si="118"/>
        <v>0.1</v>
      </c>
      <c r="C230">
        <f>sim!C229+(sim!$G229*$B230*COS($E230))</f>
        <v>27.53223704609206</v>
      </c>
      <c r="D230">
        <f>sim!D229+(sim!$G229*$B230*SIN($E230))</f>
        <v>1018.9684322673277</v>
      </c>
      <c r="E230">
        <f t="shared" si="97"/>
        <v>-5642.7770428199956</v>
      </c>
      <c r="F230">
        <f t="shared" si="104"/>
        <v>318.39273600371052</v>
      </c>
      <c r="G230">
        <v>100</v>
      </c>
      <c r="H230">
        <f t="shared" si="98"/>
        <v>-19.058361528517558</v>
      </c>
      <c r="I230">
        <f t="shared" si="105"/>
        <v>-1091.9636800185526</v>
      </c>
      <c r="J230">
        <f t="shared" si="119"/>
        <v>0</v>
      </c>
      <c r="K230">
        <f t="shared" si="120"/>
        <v>0</v>
      </c>
      <c r="L230">
        <f t="shared" si="106"/>
        <v>0</v>
      </c>
      <c r="M230">
        <f t="shared" si="99"/>
        <v>-1091.9636800185526</v>
      </c>
      <c r="N230">
        <f t="shared" si="107"/>
        <v>26.693843439061087</v>
      </c>
      <c r="O230">
        <f t="shared" si="108"/>
        <v>1009.0036394365816</v>
      </c>
      <c r="P230">
        <f t="shared" si="100"/>
        <v>18.309907368751368</v>
      </c>
      <c r="Q230">
        <f t="shared" si="101"/>
        <v>909.35571112912021</v>
      </c>
      <c r="R230">
        <f t="shared" si="109"/>
        <v>-0.99647928307461364</v>
      </c>
      <c r="S230">
        <f t="shared" si="110"/>
        <v>-8.3839360703097207E-2</v>
      </c>
      <c r="U230">
        <f t="shared" si="127"/>
        <v>3</v>
      </c>
      <c r="V230" cm="1">
        <f t="array" ref="V230:AA230">INDEX(surface!$A$2:$I$40,U230+1,COLUMN(surface!$B$1:$G$1))</f>
        <v>-500</v>
      </c>
      <c r="W230">
        <v>1000</v>
      </c>
      <c r="X230">
        <v>0</v>
      </c>
      <c r="Y230">
        <v>1000</v>
      </c>
      <c r="Z230">
        <v>-500</v>
      </c>
      <c r="AA230">
        <v>0</v>
      </c>
      <c r="AB230">
        <f t="shared" si="102"/>
        <v>553.38768687812217</v>
      </c>
      <c r="AC230">
        <f t="shared" si="103"/>
        <v>1018.0072788731632</v>
      </c>
      <c r="AD230">
        <f t="shared" si="111"/>
        <v>-498.2396415373068</v>
      </c>
      <c r="AE230">
        <f t="shared" si="112"/>
        <v>9.035450700792353</v>
      </c>
      <c r="AF230">
        <f t="shared" si="113"/>
        <v>1.0518726340572846</v>
      </c>
      <c r="AG230" t="b">
        <f t="shared" si="121"/>
        <v>0</v>
      </c>
      <c r="AH230">
        <f t="shared" si="114"/>
        <v>25000</v>
      </c>
      <c r="AI230">
        <f t="shared" si="122"/>
        <v>4</v>
      </c>
      <c r="AJ230" cm="1">
        <f t="array" ref="AJ230:AO230">INDEX(surface!$A$2:$I$40,AI230+1,COLUMN(surface!$B$1:$G$1))</f>
        <v>0</v>
      </c>
      <c r="AK230">
        <v>1000</v>
      </c>
      <c r="AL230">
        <v>0</v>
      </c>
      <c r="AM230">
        <v>1</v>
      </c>
      <c r="AN230">
        <v>0</v>
      </c>
      <c r="AO230">
        <v>999</v>
      </c>
      <c r="AP230">
        <f t="shared" si="123"/>
        <v>53.387686878122175</v>
      </c>
      <c r="AQ230">
        <f t="shared" si="124"/>
        <v>1018.0072788731632</v>
      </c>
      <c r="AR230">
        <f t="shared" si="125"/>
        <v>-83.755521342394104</v>
      </c>
      <c r="AS230">
        <f t="shared" si="115"/>
        <v>318.39273600371052</v>
      </c>
      <c r="AT230">
        <f t="shared" si="116"/>
        <v>0.3085767025751357</v>
      </c>
      <c r="AU230" t="b">
        <f t="shared" si="126"/>
        <v>1</v>
      </c>
      <c r="AV230">
        <f t="shared" si="117"/>
        <v>318.39273600371052</v>
      </c>
    </row>
    <row r="231" spans="1:48" x14ac:dyDescent="0.25">
      <c r="A231">
        <f t="shared" si="96"/>
        <v>22.900000000000055</v>
      </c>
      <c r="B231">
        <f t="shared" si="118"/>
        <v>0.1</v>
      </c>
      <c r="C231">
        <f>sim!C230+(sim!$G230*$B231*COS($E231))</f>
        <v>20.277813988695737</v>
      </c>
      <c r="D231">
        <f>sim!D230+(sim!$G230*$B231*SIN($E231))</f>
        <v>1012.0856024638009</v>
      </c>
      <c r="E231">
        <f t="shared" si="97"/>
        <v>-5644.682878972847</v>
      </c>
      <c r="F231">
        <f t="shared" si="104"/>
        <v>25000</v>
      </c>
      <c r="G231">
        <v>100</v>
      </c>
      <c r="H231">
        <f t="shared" si="98"/>
        <v>-2172.9349187329403</v>
      </c>
      <c r="I231">
        <f t="shared" si="105"/>
        <v>-124500</v>
      </c>
      <c r="J231">
        <f t="shared" si="119"/>
        <v>0</v>
      </c>
      <c r="K231">
        <f t="shared" si="120"/>
        <v>0</v>
      </c>
      <c r="L231">
        <f t="shared" si="106"/>
        <v>0</v>
      </c>
      <c r="M231">
        <f t="shared" si="99"/>
        <v>-124500</v>
      </c>
      <c r="N231">
        <f t="shared" si="107"/>
        <v>11.142760892025363</v>
      </c>
      <c r="O231">
        <f t="shared" si="108"/>
        <v>1016.153870513108</v>
      </c>
      <c r="P231">
        <f t="shared" si="100"/>
        <v>-80.207770074678365</v>
      </c>
      <c r="Q231">
        <f t="shared" si="101"/>
        <v>1056.836551006179</v>
      </c>
      <c r="R231">
        <f t="shared" si="109"/>
        <v>0.40682680493071038</v>
      </c>
      <c r="S231">
        <f t="shared" si="110"/>
        <v>-0.91350530966703736</v>
      </c>
      <c r="U231">
        <f t="shared" si="127"/>
        <v>3</v>
      </c>
      <c r="V231" cm="1">
        <f t="array" ref="V231:AA231">INDEX(surface!$A$2:$I$40,U231+1,COLUMN(surface!$B$1:$G$1))</f>
        <v>-500</v>
      </c>
      <c r="W231">
        <v>1000</v>
      </c>
      <c r="X231">
        <v>0</v>
      </c>
      <c r="Y231">
        <v>1000</v>
      </c>
      <c r="Z231">
        <v>-500</v>
      </c>
      <c r="AA231">
        <v>0</v>
      </c>
      <c r="AB231">
        <f t="shared" si="102"/>
        <v>522.28552178405073</v>
      </c>
      <c r="AC231">
        <f t="shared" si="103"/>
        <v>1032.307741026216</v>
      </c>
      <c r="AD231">
        <f t="shared" si="111"/>
        <v>203.4134024653552</v>
      </c>
      <c r="AE231">
        <f t="shared" si="112"/>
        <v>-39.706996484313017</v>
      </c>
      <c r="AF231">
        <f t="shared" si="113"/>
        <v>1.0948306260227514</v>
      </c>
      <c r="AG231" t="b">
        <f t="shared" si="121"/>
        <v>0</v>
      </c>
      <c r="AH231">
        <f t="shared" si="114"/>
        <v>25000</v>
      </c>
      <c r="AI231">
        <f t="shared" si="122"/>
        <v>4</v>
      </c>
      <c r="AJ231" cm="1">
        <f t="array" ref="AJ231:AO231">INDEX(surface!$A$2:$I$40,AI231+1,COLUMN(surface!$B$1:$G$1))</f>
        <v>0</v>
      </c>
      <c r="AK231">
        <v>1000</v>
      </c>
      <c r="AL231">
        <v>0</v>
      </c>
      <c r="AM231">
        <v>1</v>
      </c>
      <c r="AN231">
        <v>0</v>
      </c>
      <c r="AO231">
        <v>999</v>
      </c>
      <c r="AP231">
        <f t="shared" si="123"/>
        <v>22.285521784050726</v>
      </c>
      <c r="AQ231">
        <f t="shared" si="124"/>
        <v>1032.307741026216</v>
      </c>
      <c r="AR231">
        <f t="shared" si="125"/>
        <v>-912.59180435737028</v>
      </c>
      <c r="AS231">
        <f t="shared" si="115"/>
        <v>12.19780637737812</v>
      </c>
      <c r="AT231">
        <f t="shared" si="116"/>
        <v>-2.1137402511291491E-2</v>
      </c>
      <c r="AU231" t="b">
        <f t="shared" si="126"/>
        <v>0</v>
      </c>
      <c r="AV231">
        <f t="shared" si="117"/>
        <v>25000</v>
      </c>
    </row>
    <row r="232" spans="1:48" x14ac:dyDescent="0.25">
      <c r="A232">
        <f t="shared" si="96"/>
        <v>23.000000000000057</v>
      </c>
      <c r="B232">
        <f t="shared" si="118"/>
        <v>0.1</v>
      </c>
      <c r="C232">
        <f>sim!C231+(sim!$G231*$B232*COS($E232))</f>
        <v>30.001743547964878</v>
      </c>
      <c r="D232">
        <f>sim!D231+(sim!$G231*$B232*SIN($E232))</f>
        <v>1014.4190963948776</v>
      </c>
      <c r="E232">
        <f t="shared" si="97"/>
        <v>-5861.9763708461414</v>
      </c>
      <c r="F232">
        <f t="shared" si="104"/>
        <v>25000</v>
      </c>
      <c r="G232">
        <v>100</v>
      </c>
      <c r="H232">
        <f t="shared" si="98"/>
        <v>-2172.9349187329403</v>
      </c>
      <c r="I232">
        <f t="shared" si="105"/>
        <v>-124500</v>
      </c>
      <c r="J232">
        <f t="shared" si="119"/>
        <v>0</v>
      </c>
      <c r="K232">
        <f t="shared" si="120"/>
        <v>0</v>
      </c>
      <c r="L232">
        <f t="shared" si="106"/>
        <v>0</v>
      </c>
      <c r="M232">
        <f t="shared" si="99"/>
        <v>-124500</v>
      </c>
      <c r="N232">
        <f t="shared" si="107"/>
        <v>35.878797569944254</v>
      </c>
      <c r="O232">
        <f t="shared" si="108"/>
        <v>1006.3283463664354</v>
      </c>
      <c r="P232">
        <f t="shared" si="100"/>
        <v>94.649337789738013</v>
      </c>
      <c r="Q232">
        <f t="shared" si="101"/>
        <v>925.42084608201435</v>
      </c>
      <c r="R232">
        <f t="shared" si="109"/>
        <v>-0.80907500284421119</v>
      </c>
      <c r="S232">
        <f t="shared" si="110"/>
        <v>0.58770540219793765</v>
      </c>
      <c r="U232">
        <f t="shared" si="127"/>
        <v>3</v>
      </c>
      <c r="V232" cm="1">
        <f t="array" ref="V232:AA232">INDEX(surface!$A$2:$I$40,U232+1,COLUMN(surface!$B$1:$G$1))</f>
        <v>-500</v>
      </c>
      <c r="W232">
        <v>1000</v>
      </c>
      <c r="X232">
        <v>0</v>
      </c>
      <c r="Y232">
        <v>1000</v>
      </c>
      <c r="Z232">
        <v>-500</v>
      </c>
      <c r="AA232">
        <v>0</v>
      </c>
      <c r="AB232">
        <f t="shared" si="102"/>
        <v>571.75759513988851</v>
      </c>
      <c r="AC232">
        <f t="shared" si="103"/>
        <v>1012.6566927328709</v>
      </c>
      <c r="AD232">
        <f t="shared" si="111"/>
        <v>-404.53750142210561</v>
      </c>
      <c r="AE232">
        <f t="shared" si="112"/>
        <v>7.821705458936246</v>
      </c>
      <c r="AF232">
        <f t="shared" si="113"/>
        <v>1.0809513122451244</v>
      </c>
      <c r="AG232" t="b">
        <f t="shared" si="121"/>
        <v>0</v>
      </c>
      <c r="AH232">
        <f t="shared" si="114"/>
        <v>25000</v>
      </c>
      <c r="AI232">
        <f t="shared" si="122"/>
        <v>4</v>
      </c>
      <c r="AJ232" cm="1">
        <f t="array" ref="AJ232:AO232">INDEX(surface!$A$2:$I$40,AI232+1,COLUMN(surface!$B$1:$G$1))</f>
        <v>0</v>
      </c>
      <c r="AK232">
        <v>1000</v>
      </c>
      <c r="AL232">
        <v>0</v>
      </c>
      <c r="AM232">
        <v>1</v>
      </c>
      <c r="AN232">
        <v>0</v>
      </c>
      <c r="AO232">
        <v>999</v>
      </c>
      <c r="AP232">
        <f t="shared" si="123"/>
        <v>71.757595139888508</v>
      </c>
      <c r="AQ232">
        <f t="shared" si="124"/>
        <v>1012.6566927328709</v>
      </c>
      <c r="AR232">
        <f t="shared" si="125"/>
        <v>587.11769679573968</v>
      </c>
      <c r="AS232">
        <f t="shared" si="115"/>
        <v>-61.048949755715142</v>
      </c>
      <c r="AT232">
        <f t="shared" si="116"/>
        <v>-5.577730286654331E-2</v>
      </c>
      <c r="AU232" t="b">
        <f t="shared" si="126"/>
        <v>0</v>
      </c>
      <c r="AV232">
        <f t="shared" si="117"/>
        <v>25000</v>
      </c>
    </row>
    <row r="233" spans="1:48" x14ac:dyDescent="0.25">
      <c r="A233">
        <f t="shared" si="96"/>
        <v>23.100000000000058</v>
      </c>
      <c r="B233">
        <f t="shared" si="118"/>
        <v>0.1</v>
      </c>
      <c r="C233">
        <f>sim!C232+(sim!$G232*$B233*COS($E233))</f>
        <v>20.413826559490197</v>
      </c>
      <c r="D233">
        <f>sim!D232+(sim!$G232*$B233*SIN($E233))</f>
        <v>1017.2601961506268</v>
      </c>
      <c r="E233">
        <f t="shared" si="97"/>
        <v>-6079.2698627194359</v>
      </c>
      <c r="F233">
        <f t="shared" si="104"/>
        <v>25000</v>
      </c>
      <c r="G233">
        <v>100</v>
      </c>
      <c r="H233">
        <f t="shared" si="98"/>
        <v>-2172.9349187329403</v>
      </c>
      <c r="I233">
        <f t="shared" si="105"/>
        <v>-124500</v>
      </c>
      <c r="J233">
        <f t="shared" si="119"/>
        <v>0</v>
      </c>
      <c r="K233">
        <f t="shared" si="120"/>
        <v>0</v>
      </c>
      <c r="L233">
        <f t="shared" si="106"/>
        <v>0</v>
      </c>
      <c r="M233">
        <f t="shared" si="99"/>
        <v>-124500</v>
      </c>
      <c r="N233">
        <f t="shared" si="107"/>
        <v>19.369523491267685</v>
      </c>
      <c r="O233">
        <f t="shared" si="108"/>
        <v>1027.2055182219174</v>
      </c>
      <c r="P233">
        <f t="shared" si="100"/>
        <v>8.9264928090425535</v>
      </c>
      <c r="Q233">
        <f t="shared" si="101"/>
        <v>1126.658738934824</v>
      </c>
      <c r="R233">
        <f t="shared" si="109"/>
        <v>0.99453220712906554</v>
      </c>
      <c r="S233">
        <f t="shared" si="110"/>
        <v>-0.10443030682225132</v>
      </c>
      <c r="U233">
        <f t="shared" si="127"/>
        <v>3</v>
      </c>
      <c r="V233" cm="1">
        <f t="array" ref="V233:AA233">INDEX(surface!$A$2:$I$40,U233+1,COLUMN(surface!$B$1:$G$1))</f>
        <v>-500</v>
      </c>
      <c r="W233">
        <v>1000</v>
      </c>
      <c r="X233">
        <v>0</v>
      </c>
      <c r="Y233">
        <v>1000</v>
      </c>
      <c r="Z233">
        <v>-500</v>
      </c>
      <c r="AA233">
        <v>0</v>
      </c>
      <c r="AB233">
        <f t="shared" si="102"/>
        <v>538.73904698253534</v>
      </c>
      <c r="AC233">
        <f t="shared" si="103"/>
        <v>1054.4110364438347</v>
      </c>
      <c r="AD233">
        <f t="shared" si="111"/>
        <v>497.26610356453278</v>
      </c>
      <c r="AE233">
        <f t="shared" si="112"/>
        <v>-27.355090189036758</v>
      </c>
      <c r="AF233">
        <f t="shared" si="113"/>
        <v>1.044452447905718</v>
      </c>
      <c r="AG233" t="b">
        <f t="shared" si="121"/>
        <v>0</v>
      </c>
      <c r="AH233">
        <f t="shared" si="114"/>
        <v>25000</v>
      </c>
      <c r="AI233">
        <f t="shared" si="122"/>
        <v>4</v>
      </c>
      <c r="AJ233" cm="1">
        <f t="array" ref="AJ233:AO233">INDEX(surface!$A$2:$I$40,AI233+1,COLUMN(surface!$B$1:$G$1))</f>
        <v>0</v>
      </c>
      <c r="AK233">
        <v>1000</v>
      </c>
      <c r="AL233">
        <v>0</v>
      </c>
      <c r="AM233">
        <v>1</v>
      </c>
      <c r="AN233">
        <v>0</v>
      </c>
      <c r="AO233">
        <v>999</v>
      </c>
      <c r="AP233">
        <f t="shared" si="123"/>
        <v>38.73904698253537</v>
      </c>
      <c r="AQ233">
        <f t="shared" si="124"/>
        <v>1054.4110364438347</v>
      </c>
      <c r="AR233">
        <f t="shared" si="125"/>
        <v>-104.32587651542907</v>
      </c>
      <c r="AS233">
        <f t="shared" si="115"/>
        <v>185.47799083111141</v>
      </c>
      <c r="AT233">
        <f t="shared" si="116"/>
        <v>-0.2118812350520993</v>
      </c>
      <c r="AU233" t="b">
        <f t="shared" si="126"/>
        <v>0</v>
      </c>
      <c r="AV233">
        <f t="shared" si="117"/>
        <v>25000</v>
      </c>
    </row>
    <row r="234" spans="1:48" x14ac:dyDescent="0.25">
      <c r="A234">
        <f t="shared" si="96"/>
        <v>23.20000000000006</v>
      </c>
      <c r="B234">
        <f t="shared" si="118"/>
        <v>0.1</v>
      </c>
      <c r="C234">
        <f>sim!C233+(sim!$G233*$B234*COS($E234))</f>
        <v>27.296656363008054</v>
      </c>
      <c r="D234">
        <f>sim!D233+(sim!$G233*$B234*SIN($E234))</f>
        <v>1010.005773093222</v>
      </c>
      <c r="E234">
        <f t="shared" si="97"/>
        <v>-6296.5633545927303</v>
      </c>
      <c r="F234">
        <f t="shared" si="104"/>
        <v>57.096504045700051</v>
      </c>
      <c r="G234">
        <v>100</v>
      </c>
      <c r="H234">
        <f t="shared" si="98"/>
        <v>3.744036325093004</v>
      </c>
      <c r="I234">
        <f t="shared" si="105"/>
        <v>214.51747977149975</v>
      </c>
      <c r="J234">
        <f t="shared" si="119"/>
        <v>0</v>
      </c>
      <c r="K234">
        <f t="shared" si="120"/>
        <v>0</v>
      </c>
      <c r="L234">
        <f t="shared" si="106"/>
        <v>0</v>
      </c>
      <c r="M234">
        <f t="shared" si="99"/>
        <v>214.51747977149975</v>
      </c>
      <c r="N234">
        <f t="shared" si="107"/>
        <v>23.22838831368971</v>
      </c>
      <c r="O234">
        <f t="shared" si="108"/>
        <v>1000.8707199965567</v>
      </c>
      <c r="P234">
        <f t="shared" si="100"/>
        <v>-17.454292179493731</v>
      </c>
      <c r="Q234">
        <f t="shared" si="101"/>
        <v>909.52018902990301</v>
      </c>
      <c r="R234">
        <f t="shared" si="109"/>
        <v>-0.91350530966653676</v>
      </c>
      <c r="S234">
        <f t="shared" si="110"/>
        <v>-0.40682680493183443</v>
      </c>
      <c r="U234">
        <f t="shared" si="127"/>
        <v>3</v>
      </c>
      <c r="V234" cm="1">
        <f t="array" ref="V234:AA234">INDEX(surface!$A$2:$I$40,U234+1,COLUMN(surface!$B$1:$G$1))</f>
        <v>-500</v>
      </c>
      <c r="W234">
        <v>1000</v>
      </c>
      <c r="X234">
        <v>0</v>
      </c>
      <c r="Y234">
        <v>1000</v>
      </c>
      <c r="Z234">
        <v>-500</v>
      </c>
      <c r="AA234">
        <v>0</v>
      </c>
      <c r="AB234">
        <f t="shared" si="102"/>
        <v>546.45677662737944</v>
      </c>
      <c r="AC234">
        <f t="shared" si="103"/>
        <v>1001.7414399931133</v>
      </c>
      <c r="AD234">
        <f t="shared" si="111"/>
        <v>-456.75265483326837</v>
      </c>
      <c r="AE234">
        <f t="shared" si="112"/>
        <v>0.9531635857425983</v>
      </c>
      <c r="AF234">
        <f t="shared" si="113"/>
        <v>1.0456812316350494</v>
      </c>
      <c r="AG234" t="b">
        <f t="shared" si="121"/>
        <v>0</v>
      </c>
      <c r="AH234">
        <f t="shared" si="114"/>
        <v>25000</v>
      </c>
      <c r="AI234">
        <f t="shared" si="122"/>
        <v>4</v>
      </c>
      <c r="AJ234" cm="1">
        <f t="array" ref="AJ234:AO234">INDEX(surface!$A$2:$I$40,AI234+1,COLUMN(surface!$B$1:$G$1))</f>
        <v>0</v>
      </c>
      <c r="AK234">
        <v>1000</v>
      </c>
      <c r="AL234">
        <v>0</v>
      </c>
      <c r="AM234">
        <v>1</v>
      </c>
      <c r="AN234">
        <v>0</v>
      </c>
      <c r="AO234">
        <v>999</v>
      </c>
      <c r="AP234">
        <f t="shared" si="123"/>
        <v>46.456776627379419</v>
      </c>
      <c r="AQ234">
        <f t="shared" si="124"/>
        <v>1001.7414399931133</v>
      </c>
      <c r="AR234">
        <f t="shared" si="125"/>
        <v>-406.41997812690261</v>
      </c>
      <c r="AS234">
        <f t="shared" si="115"/>
        <v>57.096504045700051</v>
      </c>
      <c r="AT234">
        <f t="shared" si="116"/>
        <v>5.1338578190778014E-2</v>
      </c>
      <c r="AU234" t="b">
        <f t="shared" si="126"/>
        <v>1</v>
      </c>
      <c r="AV234">
        <f t="shared" si="117"/>
        <v>57.096504045700051</v>
      </c>
    </row>
    <row r="235" spans="1:48" x14ac:dyDescent="0.25">
      <c r="A235">
        <f t="shared" si="96"/>
        <v>23.300000000000061</v>
      </c>
      <c r="B235">
        <f t="shared" si="118"/>
        <v>0.1</v>
      </c>
      <c r="C235">
        <f>sim!C234+(sim!$G234*$B235*COS($E235))</f>
        <v>36.355754004858909</v>
      </c>
      <c r="D235">
        <f>sim!D234+(sim!$G234*$B235*SIN($E235))</f>
        <v>1005.7710653210833</v>
      </c>
      <c r="E235">
        <f t="shared" si="97"/>
        <v>-6296.1889509602206</v>
      </c>
      <c r="F235">
        <f t="shared" si="104"/>
        <v>805.89551509340299</v>
      </c>
      <c r="G235">
        <v>100</v>
      </c>
      <c r="H235">
        <f t="shared" si="98"/>
        <v>-61.601004567206047</v>
      </c>
      <c r="I235">
        <f t="shared" si="105"/>
        <v>-3529.477575467015</v>
      </c>
      <c r="J235">
        <f t="shared" si="119"/>
        <v>0</v>
      </c>
      <c r="K235">
        <f t="shared" si="120"/>
        <v>0</v>
      </c>
      <c r="L235">
        <f t="shared" si="106"/>
        <v>0</v>
      </c>
      <c r="M235">
        <f t="shared" si="99"/>
        <v>-3529.477575467015</v>
      </c>
      <c r="N235">
        <f t="shared" si="107"/>
        <v>35.910160747728469</v>
      </c>
      <c r="O235">
        <f t="shared" si="108"/>
        <v>995.78099792145076</v>
      </c>
      <c r="P235">
        <f t="shared" si="100"/>
        <v>31.454228176424049</v>
      </c>
      <c r="Q235">
        <f t="shared" si="101"/>
        <v>895.88032392512582</v>
      </c>
      <c r="R235">
        <f t="shared" si="109"/>
        <v>-0.99900673996324907</v>
      </c>
      <c r="S235">
        <f t="shared" si="110"/>
        <v>-4.4559325713044204E-2</v>
      </c>
      <c r="U235">
        <f t="shared" si="127"/>
        <v>3</v>
      </c>
      <c r="V235" cm="1">
        <f t="array" ref="V235:AA235">INDEX(surface!$A$2:$I$40,U235+1,COLUMN(surface!$B$1:$G$1))</f>
        <v>-500</v>
      </c>
      <c r="W235">
        <v>1000</v>
      </c>
      <c r="X235">
        <v>0</v>
      </c>
      <c r="Y235">
        <v>1000</v>
      </c>
      <c r="Z235">
        <v>-500</v>
      </c>
      <c r="AA235">
        <v>0</v>
      </c>
      <c r="AB235">
        <f t="shared" si="102"/>
        <v>571.82032149545694</v>
      </c>
      <c r="AC235">
        <f t="shared" si="103"/>
        <v>991.56199584290152</v>
      </c>
      <c r="AD235">
        <f t="shared" si="111"/>
        <v>-499.50336998162453</v>
      </c>
      <c r="AE235">
        <f t="shared" si="112"/>
        <v>-4.2231968111691058</v>
      </c>
      <c r="AF235">
        <f t="shared" si="113"/>
        <v>1.0721966870999755</v>
      </c>
      <c r="AG235" t="b">
        <f t="shared" si="121"/>
        <v>0</v>
      </c>
      <c r="AH235">
        <f t="shared" si="114"/>
        <v>25000</v>
      </c>
      <c r="AI235">
        <f t="shared" si="122"/>
        <v>4</v>
      </c>
      <c r="AJ235" cm="1">
        <f t="array" ref="AJ235:AO235">INDEX(surface!$A$2:$I$40,AI235+1,COLUMN(surface!$B$1:$G$1))</f>
        <v>0</v>
      </c>
      <c r="AK235">
        <v>1000</v>
      </c>
      <c r="AL235">
        <v>0</v>
      </c>
      <c r="AM235">
        <v>1</v>
      </c>
      <c r="AN235">
        <v>0</v>
      </c>
      <c r="AO235">
        <v>999</v>
      </c>
      <c r="AP235">
        <f t="shared" si="123"/>
        <v>71.820321495456938</v>
      </c>
      <c r="AQ235">
        <f t="shared" si="124"/>
        <v>991.56199584290152</v>
      </c>
      <c r="AR235">
        <f t="shared" si="125"/>
        <v>-44.514766387331157</v>
      </c>
      <c r="AS235">
        <f t="shared" si="115"/>
        <v>805.89551509340299</v>
      </c>
      <c r="AT235">
        <f t="shared" si="116"/>
        <v>0.81012417754055377</v>
      </c>
      <c r="AU235" t="b">
        <f t="shared" si="126"/>
        <v>1</v>
      </c>
      <c r="AV235">
        <f t="shared" si="117"/>
        <v>805.89551509340299</v>
      </c>
    </row>
    <row r="236" spans="1:48" x14ac:dyDescent="0.25">
      <c r="A236">
        <f t="shared" si="96"/>
        <v>23.400000000000063</v>
      </c>
      <c r="B236">
        <f t="shared" si="118"/>
        <v>0.1</v>
      </c>
      <c r="C236">
        <f>sim!C235+(sim!$G235*$B236*COS($E236))</f>
        <v>45.866229392947012</v>
      </c>
      <c r="D236">
        <f>sim!D235+(sim!$G235*$B236*SIN($E236))</f>
        <v>1002.6806190923696</v>
      </c>
      <c r="E236">
        <f t="shared" si="97"/>
        <v>-6302.3490514169416</v>
      </c>
      <c r="F236">
        <f t="shared" si="104"/>
        <v>25000</v>
      </c>
      <c r="G236">
        <v>100</v>
      </c>
      <c r="H236">
        <f t="shared" si="98"/>
        <v>-2172.9349187329403</v>
      </c>
      <c r="I236">
        <f t="shared" si="105"/>
        <v>-124500</v>
      </c>
      <c r="J236">
        <f t="shared" si="119"/>
        <v>0</v>
      </c>
      <c r="K236">
        <f t="shared" si="120"/>
        <v>0</v>
      </c>
      <c r="L236">
        <f t="shared" si="106"/>
        <v>0</v>
      </c>
      <c r="M236">
        <f t="shared" si="99"/>
        <v>-124500</v>
      </c>
      <c r="N236">
        <f t="shared" si="107"/>
        <v>46.650530740850073</v>
      </c>
      <c r="O236">
        <f t="shared" si="108"/>
        <v>992.71142296651885</v>
      </c>
      <c r="P236">
        <f t="shared" si="100"/>
        <v>54.493544219880675</v>
      </c>
      <c r="Q236">
        <f t="shared" si="101"/>
        <v>893.01946170801148</v>
      </c>
      <c r="R236">
        <f t="shared" si="109"/>
        <v>-0.99691961258507422</v>
      </c>
      <c r="S236">
        <f t="shared" si="110"/>
        <v>7.8430134790306E-2</v>
      </c>
      <c r="U236">
        <f t="shared" si="127"/>
        <v>3</v>
      </c>
      <c r="V236" cm="1">
        <f t="array" ref="V236:AA236">INDEX(surface!$A$2:$I$40,U236+1,COLUMN(surface!$B$1:$G$1))</f>
        <v>-500</v>
      </c>
      <c r="W236">
        <v>1000</v>
      </c>
      <c r="X236">
        <v>0</v>
      </c>
      <c r="Y236">
        <v>1000</v>
      </c>
      <c r="Z236">
        <v>-500</v>
      </c>
      <c r="AA236">
        <v>0</v>
      </c>
      <c r="AB236">
        <f t="shared" si="102"/>
        <v>593.30106148170012</v>
      </c>
      <c r="AC236">
        <f t="shared" si="103"/>
        <v>985.42284593303771</v>
      </c>
      <c r="AD236">
        <f t="shared" si="111"/>
        <v>-498.45980629253711</v>
      </c>
      <c r="AE236">
        <f t="shared" si="112"/>
        <v>-7.3110980478971781</v>
      </c>
      <c r="AF236">
        <f t="shared" si="113"/>
        <v>1.0921542406709766</v>
      </c>
      <c r="AG236" t="b">
        <f t="shared" si="121"/>
        <v>0</v>
      </c>
      <c r="AH236">
        <f t="shared" si="114"/>
        <v>25000</v>
      </c>
      <c r="AI236">
        <f t="shared" si="122"/>
        <v>4</v>
      </c>
      <c r="AJ236" cm="1">
        <f t="array" ref="AJ236:AO236">INDEX(surface!$A$2:$I$40,AI236+1,COLUMN(surface!$B$1:$G$1))</f>
        <v>0</v>
      </c>
      <c r="AK236">
        <v>1000</v>
      </c>
      <c r="AL236">
        <v>0</v>
      </c>
      <c r="AM236">
        <v>1</v>
      </c>
      <c r="AN236">
        <v>0</v>
      </c>
      <c r="AO236">
        <v>999</v>
      </c>
      <c r="AP236">
        <f t="shared" si="123"/>
        <v>93.301061481700145</v>
      </c>
      <c r="AQ236">
        <f t="shared" si="124"/>
        <v>985.42284593303771</v>
      </c>
      <c r="AR236">
        <f t="shared" si="125"/>
        <v>78.35170465551569</v>
      </c>
      <c r="AS236">
        <f t="shared" si="115"/>
        <v>-594.80365379425689</v>
      </c>
      <c r="AT236">
        <f t="shared" si="116"/>
        <v>-0.5862691201914676</v>
      </c>
      <c r="AU236" t="b">
        <f t="shared" si="126"/>
        <v>0</v>
      </c>
      <c r="AV236">
        <f t="shared" si="117"/>
        <v>25000</v>
      </c>
    </row>
    <row r="237" spans="1:48" x14ac:dyDescent="0.25">
      <c r="A237">
        <f t="shared" si="96"/>
        <v>23.500000000000064</v>
      </c>
      <c r="B237">
        <f t="shared" si="118"/>
        <v>0.1</v>
      </c>
      <c r="C237">
        <f>sim!C236+(sim!$G236*$B237*COS($E237))</f>
        <v>39.175139219155923</v>
      </c>
      <c r="D237">
        <f>sim!D236+(sim!$G236*$B237*SIN($E237))</f>
        <v>1010.1122617295123</v>
      </c>
      <c r="E237">
        <f t="shared" si="97"/>
        <v>-6519.6425432902361</v>
      </c>
      <c r="F237">
        <f t="shared" si="104"/>
        <v>25000</v>
      </c>
      <c r="G237">
        <v>100</v>
      </c>
      <c r="H237">
        <f t="shared" si="98"/>
        <v>-2172.9349187329403</v>
      </c>
      <c r="I237">
        <f t="shared" si="105"/>
        <v>-124500</v>
      </c>
      <c r="J237">
        <f t="shared" si="119"/>
        <v>0</v>
      </c>
      <c r="K237">
        <f t="shared" si="120"/>
        <v>0</v>
      </c>
      <c r="L237">
        <f t="shared" si="106"/>
        <v>0</v>
      </c>
      <c r="M237">
        <f t="shared" si="99"/>
        <v>-124500</v>
      </c>
      <c r="N237">
        <f t="shared" si="107"/>
        <v>43.480512390578568</v>
      </c>
      <c r="O237">
        <f t="shared" si="108"/>
        <v>1019.1379895037581</v>
      </c>
      <c r="P237">
        <f t="shared" si="100"/>
        <v>86.534244104805026</v>
      </c>
      <c r="Q237">
        <f t="shared" si="101"/>
        <v>1109.3952672462174</v>
      </c>
      <c r="R237">
        <f t="shared" si="109"/>
        <v>0.90257277742459141</v>
      </c>
      <c r="S237">
        <f t="shared" si="110"/>
        <v>0.43053731714226456</v>
      </c>
      <c r="U237">
        <f t="shared" si="127"/>
        <v>3</v>
      </c>
      <c r="V237" cm="1">
        <f t="array" ref="V237:AA237">INDEX(surface!$A$2:$I$40,U237+1,COLUMN(surface!$B$1:$G$1))</f>
        <v>-500</v>
      </c>
      <c r="W237">
        <v>1000</v>
      </c>
      <c r="X237">
        <v>0</v>
      </c>
      <c r="Y237">
        <v>1000</v>
      </c>
      <c r="Z237">
        <v>-500</v>
      </c>
      <c r="AA237">
        <v>0</v>
      </c>
      <c r="AB237">
        <f t="shared" si="102"/>
        <v>586.96102478115711</v>
      </c>
      <c r="AC237">
        <f t="shared" si="103"/>
        <v>1038.2759790075163</v>
      </c>
      <c r="AD237">
        <f t="shared" si="111"/>
        <v>451.28638871229572</v>
      </c>
      <c r="AE237">
        <f t="shared" si="112"/>
        <v>-21.203818664204171</v>
      </c>
      <c r="AF237">
        <f t="shared" si="113"/>
        <v>1.068702954379442</v>
      </c>
      <c r="AG237" t="b">
        <f t="shared" si="121"/>
        <v>0</v>
      </c>
      <c r="AH237">
        <f t="shared" si="114"/>
        <v>25000</v>
      </c>
      <c r="AI237">
        <f t="shared" si="122"/>
        <v>4</v>
      </c>
      <c r="AJ237" cm="1">
        <f t="array" ref="AJ237:AO237">INDEX(surface!$A$2:$I$40,AI237+1,COLUMN(surface!$B$1:$G$1))</f>
        <v>0</v>
      </c>
      <c r="AK237">
        <v>1000</v>
      </c>
      <c r="AL237">
        <v>0</v>
      </c>
      <c r="AM237">
        <v>1</v>
      </c>
      <c r="AN237">
        <v>0</v>
      </c>
      <c r="AO237">
        <v>999</v>
      </c>
      <c r="AP237">
        <f t="shared" si="123"/>
        <v>86.961024781157136</v>
      </c>
      <c r="AQ237">
        <f t="shared" si="124"/>
        <v>1038.2759790075163</v>
      </c>
      <c r="AR237">
        <f t="shared" si="125"/>
        <v>430.10677982512232</v>
      </c>
      <c r="AS237">
        <f t="shared" si="115"/>
        <v>-100.9912745291974</v>
      </c>
      <c r="AT237">
        <f t="shared" si="116"/>
        <v>7.208607171542436E-2</v>
      </c>
      <c r="AU237" t="b">
        <f t="shared" si="126"/>
        <v>0</v>
      </c>
      <c r="AV237">
        <f t="shared" si="117"/>
        <v>25000</v>
      </c>
    </row>
    <row r="238" spans="1:48" x14ac:dyDescent="0.25">
      <c r="A238">
        <f t="shared" si="96"/>
        <v>23.600000000000065</v>
      </c>
      <c r="B238">
        <f t="shared" si="118"/>
        <v>0.1</v>
      </c>
      <c r="C238">
        <f>sim!C237+(sim!$G237*$B238*COS($E238))</f>
        <v>41.253971970096117</v>
      </c>
      <c r="D238">
        <f>sim!D237+(sim!$G237*$B238*SIN($E238))</f>
        <v>1000.3307253270028</v>
      </c>
      <c r="E238">
        <f t="shared" si="97"/>
        <v>-6736.9360351635305</v>
      </c>
      <c r="F238">
        <f t="shared" si="104"/>
        <v>40.056834625375075</v>
      </c>
      <c r="G238">
        <v>100</v>
      </c>
      <c r="H238">
        <f t="shared" si="98"/>
        <v>5.2310279992733255</v>
      </c>
      <c r="I238">
        <f t="shared" si="105"/>
        <v>299.71582687312463</v>
      </c>
      <c r="J238">
        <f t="shared" si="119"/>
        <v>0</v>
      </c>
      <c r="K238">
        <f t="shared" si="120"/>
        <v>0</v>
      </c>
      <c r="L238">
        <f t="shared" si="106"/>
        <v>0</v>
      </c>
      <c r="M238">
        <f t="shared" si="99"/>
        <v>299.71582687312463</v>
      </c>
      <c r="N238">
        <f t="shared" si="107"/>
        <v>33.012545543746853</v>
      </c>
      <c r="O238">
        <f t="shared" si="108"/>
        <v>994.66690237257774</v>
      </c>
      <c r="P238">
        <f t="shared" si="100"/>
        <v>-49.401718719745816</v>
      </c>
      <c r="Q238">
        <f t="shared" si="101"/>
        <v>938.02867282832733</v>
      </c>
      <c r="R238">
        <f t="shared" si="109"/>
        <v>-0.56638229544250374</v>
      </c>
      <c r="S238">
        <f t="shared" si="110"/>
        <v>-0.82414264263492665</v>
      </c>
      <c r="U238">
        <f t="shared" si="127"/>
        <v>3</v>
      </c>
      <c r="V238" cm="1">
        <f t="array" ref="V238:AA238">INDEX(surface!$A$2:$I$40,U238+1,COLUMN(surface!$B$1:$G$1))</f>
        <v>-500</v>
      </c>
      <c r="W238">
        <v>1000</v>
      </c>
      <c r="X238">
        <v>0</v>
      </c>
      <c r="Y238">
        <v>1000</v>
      </c>
      <c r="Z238">
        <v>-500</v>
      </c>
      <c r="AA238">
        <v>0</v>
      </c>
      <c r="AB238">
        <f t="shared" si="102"/>
        <v>566.02509108749371</v>
      </c>
      <c r="AC238">
        <f t="shared" si="103"/>
        <v>989.33380474515548</v>
      </c>
      <c r="AD238">
        <f t="shared" si="111"/>
        <v>-283.19114772125187</v>
      </c>
      <c r="AE238">
        <f t="shared" si="112"/>
        <v>-9.4160740375113843</v>
      </c>
      <c r="AF238">
        <f t="shared" si="113"/>
        <v>1.0815454673685354</v>
      </c>
      <c r="AG238" t="b">
        <f t="shared" si="121"/>
        <v>0</v>
      </c>
      <c r="AH238">
        <f t="shared" si="114"/>
        <v>25000</v>
      </c>
      <c r="AI238">
        <f t="shared" si="122"/>
        <v>4</v>
      </c>
      <c r="AJ238" cm="1">
        <f t="array" ref="AJ238:AO238">INDEX(surface!$A$2:$I$40,AI238+1,COLUMN(surface!$B$1:$G$1))</f>
        <v>0</v>
      </c>
      <c r="AK238">
        <v>1000</v>
      </c>
      <c r="AL238">
        <v>0</v>
      </c>
      <c r="AM238">
        <v>1</v>
      </c>
      <c r="AN238">
        <v>0</v>
      </c>
      <c r="AO238">
        <v>999</v>
      </c>
      <c r="AP238">
        <f t="shared" si="123"/>
        <v>66.025091087493706</v>
      </c>
      <c r="AQ238">
        <f t="shared" si="124"/>
        <v>989.33380474515548</v>
      </c>
      <c r="AR238">
        <f t="shared" si="125"/>
        <v>-823.31849999229178</v>
      </c>
      <c r="AS238">
        <f t="shared" si="115"/>
        <v>40.056834625375075</v>
      </c>
      <c r="AT238">
        <f t="shared" si="116"/>
        <v>2.8048628198901863E-2</v>
      </c>
      <c r="AU238" t="b">
        <f t="shared" si="126"/>
        <v>1</v>
      </c>
      <c r="AV238">
        <f t="shared" si="117"/>
        <v>40.056834625375075</v>
      </c>
    </row>
    <row r="239" spans="1:48" x14ac:dyDescent="0.25">
      <c r="A239">
        <f t="shared" si="96"/>
        <v>23.700000000000067</v>
      </c>
      <c r="B239">
        <f t="shared" si="118"/>
        <v>0.1</v>
      </c>
      <c r="C239">
        <f>sim!C238+(sim!$G238*$B239*COS($E239))</f>
        <v>47.941375407113149</v>
      </c>
      <c r="D239">
        <f>sim!D238+(sim!$G238*$B239*SIN($E239))</f>
        <v>992.89576498611518</v>
      </c>
      <c r="E239">
        <f t="shared" si="97"/>
        <v>-6736.4129323636034</v>
      </c>
      <c r="F239">
        <f t="shared" si="104"/>
        <v>101.23678200900461</v>
      </c>
      <c r="G239">
        <v>100</v>
      </c>
      <c r="H239">
        <f t="shared" si="98"/>
        <v>-0.10792959093280334</v>
      </c>
      <c r="I239">
        <f t="shared" si="105"/>
        <v>-6.1839100450230688</v>
      </c>
      <c r="J239">
        <f t="shared" si="119"/>
        <v>0</v>
      </c>
      <c r="K239">
        <f t="shared" si="120"/>
        <v>0</v>
      </c>
      <c r="L239">
        <f t="shared" si="106"/>
        <v>0</v>
      </c>
      <c r="M239">
        <f t="shared" si="99"/>
        <v>-6.1839100450230688</v>
      </c>
      <c r="N239">
        <f t="shared" si="107"/>
        <v>43.631526224022586</v>
      </c>
      <c r="O239">
        <f t="shared" si="108"/>
        <v>983.87217368225981</v>
      </c>
      <c r="P239">
        <f t="shared" si="100"/>
        <v>0.53303439311696366</v>
      </c>
      <c r="Q239">
        <f t="shared" si="101"/>
        <v>893.63626064370646</v>
      </c>
      <c r="R239">
        <f t="shared" si="109"/>
        <v>-0.90235913038553339</v>
      </c>
      <c r="S239">
        <f t="shared" si="110"/>
        <v>-0.43098491830905622</v>
      </c>
      <c r="U239">
        <f t="shared" si="127"/>
        <v>3</v>
      </c>
      <c r="V239" cm="1">
        <f t="array" ref="V239:AA239">INDEX(surface!$A$2:$I$40,U239+1,COLUMN(surface!$B$1:$G$1))</f>
        <v>-500</v>
      </c>
      <c r="W239">
        <v>1000</v>
      </c>
      <c r="X239">
        <v>0</v>
      </c>
      <c r="Y239">
        <v>1000</v>
      </c>
      <c r="Z239">
        <v>-500</v>
      </c>
      <c r="AA239">
        <v>0</v>
      </c>
      <c r="AB239">
        <f t="shared" si="102"/>
        <v>587.26305244804519</v>
      </c>
      <c r="AC239">
        <f t="shared" si="103"/>
        <v>967.74434736451963</v>
      </c>
      <c r="AD239">
        <f t="shared" si="111"/>
        <v>-451.17956519276669</v>
      </c>
      <c r="AE239">
        <f t="shared" si="112"/>
        <v>-17.872957423115523</v>
      </c>
      <c r="AF239">
        <f t="shared" si="113"/>
        <v>1.1026690026379307</v>
      </c>
      <c r="AG239" t="b">
        <f t="shared" si="121"/>
        <v>0</v>
      </c>
      <c r="AH239">
        <f t="shared" si="114"/>
        <v>25000</v>
      </c>
      <c r="AI239">
        <f t="shared" si="122"/>
        <v>4</v>
      </c>
      <c r="AJ239" cm="1">
        <f t="array" ref="AJ239:AO239">INDEX(surface!$A$2:$I$40,AI239+1,COLUMN(surface!$B$1:$G$1))</f>
        <v>0</v>
      </c>
      <c r="AK239">
        <v>1000</v>
      </c>
      <c r="AL239">
        <v>0</v>
      </c>
      <c r="AM239">
        <v>1</v>
      </c>
      <c r="AN239">
        <v>0</v>
      </c>
      <c r="AO239">
        <v>999</v>
      </c>
      <c r="AP239">
        <f t="shared" si="123"/>
        <v>87.263052448045173</v>
      </c>
      <c r="AQ239">
        <f t="shared" si="124"/>
        <v>967.74434736451963</v>
      </c>
      <c r="AR239">
        <f t="shared" si="125"/>
        <v>-430.55393339074715</v>
      </c>
      <c r="AS239">
        <f t="shared" si="115"/>
        <v>101.23678200900461</v>
      </c>
      <c r="AT239">
        <f t="shared" si="116"/>
        <v>0.10758734824265807</v>
      </c>
      <c r="AU239" t="b">
        <f t="shared" si="126"/>
        <v>1</v>
      </c>
      <c r="AV239">
        <f t="shared" si="117"/>
        <v>101.23678200900461</v>
      </c>
    </row>
    <row r="240" spans="1:48" x14ac:dyDescent="0.25">
      <c r="A240">
        <f t="shared" si="96"/>
        <v>23.800000000000068</v>
      </c>
      <c r="B240">
        <f t="shared" si="118"/>
        <v>0.1</v>
      </c>
      <c r="C240">
        <f>sim!C239+(sim!$G239*$B240*COS($E240))</f>
        <v>54.548145682005661</v>
      </c>
      <c r="D240">
        <f>sim!D239+(sim!$G239*$B240*SIN($E240))</f>
        <v>985.38906221227387</v>
      </c>
      <c r="E240">
        <f t="shared" si="97"/>
        <v>-6736.4237253226966</v>
      </c>
      <c r="F240">
        <f t="shared" si="104"/>
        <v>113.77649219108599</v>
      </c>
      <c r="G240">
        <v>100</v>
      </c>
      <c r="H240">
        <f t="shared" si="98"/>
        <v>-1.2022257405486918</v>
      </c>
      <c r="I240">
        <f t="shared" si="105"/>
        <v>-68.882460955429963</v>
      </c>
      <c r="J240">
        <f t="shared" si="119"/>
        <v>0</v>
      </c>
      <c r="K240">
        <f t="shared" si="120"/>
        <v>0</v>
      </c>
      <c r="L240">
        <f t="shared" si="106"/>
        <v>0</v>
      </c>
      <c r="M240">
        <f t="shared" si="99"/>
        <v>-68.882460955429963</v>
      </c>
      <c r="N240">
        <f t="shared" si="107"/>
        <v>50.141158158252416</v>
      </c>
      <c r="O240">
        <f t="shared" si="108"/>
        <v>976.41251159605815</v>
      </c>
      <c r="P240">
        <f t="shared" si="100"/>
        <v>6.0712829207199945</v>
      </c>
      <c r="Q240">
        <f t="shared" si="101"/>
        <v>886.64700543390074</v>
      </c>
      <c r="R240">
        <f t="shared" si="109"/>
        <v>-0.89765506162157449</v>
      </c>
      <c r="S240">
        <f t="shared" si="110"/>
        <v>-0.44069875237532424</v>
      </c>
      <c r="U240">
        <f t="shared" si="127"/>
        <v>3</v>
      </c>
      <c r="V240" cm="1">
        <f t="array" ref="V240:AA240">INDEX(surface!$A$2:$I$40,U240+1,COLUMN(surface!$B$1:$G$1))</f>
        <v>-500</v>
      </c>
      <c r="W240">
        <v>1000</v>
      </c>
      <c r="X240">
        <v>0</v>
      </c>
      <c r="Y240">
        <v>1000</v>
      </c>
      <c r="Z240">
        <v>-500</v>
      </c>
      <c r="AA240">
        <v>0</v>
      </c>
      <c r="AB240">
        <f t="shared" si="102"/>
        <v>600.28231631650488</v>
      </c>
      <c r="AC240">
        <f t="shared" si="103"/>
        <v>952.8250231921163</v>
      </c>
      <c r="AD240">
        <f t="shared" si="111"/>
        <v>-448.82753081078727</v>
      </c>
      <c r="AE240">
        <f t="shared" si="112"/>
        <v>-26.276784270933739</v>
      </c>
      <c r="AF240">
        <f t="shared" si="113"/>
        <v>1.1234426084057769</v>
      </c>
      <c r="AG240" t="b">
        <f t="shared" si="121"/>
        <v>0</v>
      </c>
      <c r="AH240">
        <f t="shared" si="114"/>
        <v>25000</v>
      </c>
      <c r="AI240">
        <f t="shared" si="122"/>
        <v>4</v>
      </c>
      <c r="AJ240" cm="1">
        <f t="array" ref="AJ240:AO240">INDEX(surface!$A$2:$I$40,AI240+1,COLUMN(surface!$B$1:$G$1))</f>
        <v>0</v>
      </c>
      <c r="AK240">
        <v>1000</v>
      </c>
      <c r="AL240">
        <v>0</v>
      </c>
      <c r="AM240">
        <v>1</v>
      </c>
      <c r="AN240">
        <v>0</v>
      </c>
      <c r="AO240">
        <v>999</v>
      </c>
      <c r="AP240">
        <f t="shared" si="123"/>
        <v>100.28231631650483</v>
      </c>
      <c r="AQ240">
        <f t="shared" si="124"/>
        <v>952.8250231921163</v>
      </c>
      <c r="AR240">
        <f t="shared" si="125"/>
        <v>-440.25805362294892</v>
      </c>
      <c r="AS240">
        <f t="shared" si="115"/>
        <v>113.77649219108599</v>
      </c>
      <c r="AT240">
        <f t="shared" si="116"/>
        <v>0.12584537789070843</v>
      </c>
      <c r="AU240" t="b">
        <f t="shared" si="126"/>
        <v>1</v>
      </c>
      <c r="AV240">
        <f t="shared" si="117"/>
        <v>113.77649219108599</v>
      </c>
    </row>
    <row r="241" spans="1:48" x14ac:dyDescent="0.25">
      <c r="A241">
        <f t="shared" si="96"/>
        <v>23.90000000000007</v>
      </c>
      <c r="B241">
        <f t="shared" si="118"/>
        <v>0.1</v>
      </c>
      <c r="C241">
        <f>sim!C240+(sim!$G240*$B241*COS($E241))</f>
        <v>60.206925349067319</v>
      </c>
      <c r="D241">
        <f>sim!D240+(sim!$G240*$B241*SIN($E241))</f>
        <v>977.14417211721195</v>
      </c>
      <c r="E241">
        <f t="shared" si="97"/>
        <v>-6736.543947896751</v>
      </c>
      <c r="F241">
        <f t="shared" si="104"/>
        <v>100.43567836545883</v>
      </c>
      <c r="G241">
        <v>100</v>
      </c>
      <c r="H241">
        <f t="shared" si="98"/>
        <v>-3.8020109784818332E-2</v>
      </c>
      <c r="I241">
        <f t="shared" si="105"/>
        <v>-2.1783918272941349</v>
      </c>
      <c r="J241">
        <f t="shared" si="119"/>
        <v>0</v>
      </c>
      <c r="K241">
        <f t="shared" si="120"/>
        <v>0</v>
      </c>
      <c r="L241">
        <f t="shared" si="106"/>
        <v>0</v>
      </c>
      <c r="M241">
        <f t="shared" si="99"/>
        <v>-2.1783918272941349</v>
      </c>
      <c r="N241">
        <f t="shared" si="107"/>
        <v>54.755161368424417</v>
      </c>
      <c r="O241">
        <f t="shared" si="108"/>
        <v>968.76095856277084</v>
      </c>
      <c r="P241">
        <f t="shared" si="100"/>
        <v>0.23752156199537922</v>
      </c>
      <c r="Q241">
        <f t="shared" si="101"/>
        <v>884.92882301836005</v>
      </c>
      <c r="R241">
        <f t="shared" si="109"/>
        <v>-0.83832135544410791</v>
      </c>
      <c r="S241">
        <f t="shared" si="110"/>
        <v>-0.54517639806429041</v>
      </c>
      <c r="U241">
        <f t="shared" si="127"/>
        <v>3</v>
      </c>
      <c r="V241" cm="1">
        <f t="array" ref="V241:AA241">INDEX(surface!$A$2:$I$40,U241+1,COLUMN(surface!$B$1:$G$1))</f>
        <v>-500</v>
      </c>
      <c r="W241">
        <v>1000</v>
      </c>
      <c r="X241">
        <v>0</v>
      </c>
      <c r="Y241">
        <v>1000</v>
      </c>
      <c r="Z241">
        <v>-500</v>
      </c>
      <c r="AA241">
        <v>0</v>
      </c>
      <c r="AB241">
        <f t="shared" si="102"/>
        <v>609.51032273684882</v>
      </c>
      <c r="AC241">
        <f t="shared" si="103"/>
        <v>937.52191712554168</v>
      </c>
      <c r="AD241">
        <f t="shared" si="111"/>
        <v>-419.16067772205395</v>
      </c>
      <c r="AE241">
        <f t="shared" si="112"/>
        <v>-37.263802519595856</v>
      </c>
      <c r="AF241">
        <f t="shared" si="113"/>
        <v>1.1501410140084734</v>
      </c>
      <c r="AG241" t="b">
        <f t="shared" si="121"/>
        <v>0</v>
      </c>
      <c r="AH241">
        <f t="shared" si="114"/>
        <v>25000</v>
      </c>
      <c r="AI241">
        <f t="shared" si="122"/>
        <v>4</v>
      </c>
      <c r="AJ241" cm="1">
        <f t="array" ref="AJ241:AO241">INDEX(surface!$A$2:$I$40,AI241+1,COLUMN(surface!$B$1:$G$1))</f>
        <v>0</v>
      </c>
      <c r="AK241">
        <v>1000</v>
      </c>
      <c r="AL241">
        <v>0</v>
      </c>
      <c r="AM241">
        <v>1</v>
      </c>
      <c r="AN241">
        <v>0</v>
      </c>
      <c r="AO241">
        <v>999</v>
      </c>
      <c r="AP241">
        <f t="shared" si="123"/>
        <v>109.51032273684883</v>
      </c>
      <c r="AQ241">
        <f t="shared" si="124"/>
        <v>937.52191712554168</v>
      </c>
      <c r="AR241">
        <f t="shared" si="125"/>
        <v>-544.63122166622611</v>
      </c>
      <c r="AS241">
        <f t="shared" si="115"/>
        <v>100.43567836545883</v>
      </c>
      <c r="AT241">
        <f t="shared" si="116"/>
        <v>0.11555196742693599</v>
      </c>
      <c r="AU241" t="b">
        <f t="shared" si="126"/>
        <v>1</v>
      </c>
      <c r="AV241">
        <f t="shared" si="117"/>
        <v>100.43567836545883</v>
      </c>
    </row>
    <row r="242" spans="1:48" x14ac:dyDescent="0.25">
      <c r="A242">
        <f t="shared" ref="A242:A305" si="128">A241+B242</f>
        <v>24.000000000000071</v>
      </c>
      <c r="B242">
        <f t="shared" si="118"/>
        <v>0.1</v>
      </c>
      <c r="C242">
        <f>sim!C241+(sim!$G241*$B242*COS($E242))</f>
        <v>65.834317029397283</v>
      </c>
      <c r="D242">
        <f>sim!D241+(sim!$G241*$B242*SIN($E242))</f>
        <v>968.87782692261999</v>
      </c>
      <c r="E242">
        <f t="shared" ref="E242:E305" si="129">E241+H241*B242</f>
        <v>-6736.5477499077297</v>
      </c>
      <c r="F242">
        <f t="shared" si="104"/>
        <v>110.05679881396541</v>
      </c>
      <c r="G242">
        <v>100</v>
      </c>
      <c r="H242">
        <f t="shared" ref="H242:H305" si="130">RADIANS(M242)</f>
        <v>-0.87762125757178588</v>
      </c>
      <c r="I242">
        <f t="shared" si="105"/>
        <v>-50.283994069827074</v>
      </c>
      <c r="J242">
        <f t="shared" si="119"/>
        <v>0</v>
      </c>
      <c r="K242">
        <f t="shared" si="120"/>
        <v>0</v>
      </c>
      <c r="L242">
        <f t="shared" si="106"/>
        <v>0</v>
      </c>
      <c r="M242">
        <f t="shared" ref="M242:M305" si="131">I242+J242+L242</f>
        <v>-50.283994069827074</v>
      </c>
      <c r="N242">
        <f t="shared" si="107"/>
        <v>60.350719458933057</v>
      </c>
      <c r="O242">
        <f t="shared" si="108"/>
        <v>960.51540157555712</v>
      </c>
      <c r="P242">
        <f t="shared" ref="P242:P305" si="132">N242+S242*100</f>
        <v>5.5147437542908193</v>
      </c>
      <c r="Q242">
        <f t="shared" ref="Q242:Q305" si="133">O242+R242*100</f>
        <v>876.89114810492879</v>
      </c>
      <c r="R242">
        <f t="shared" si="109"/>
        <v>-0.83624253470628285</v>
      </c>
      <c r="S242">
        <f t="shared" si="110"/>
        <v>-0.54835975704642237</v>
      </c>
      <c r="U242">
        <f t="shared" si="127"/>
        <v>3</v>
      </c>
      <c r="V242" cm="1">
        <f t="array" ref="V242:AA242">INDEX(surface!$A$2:$I$40,U242+1,COLUMN(surface!$B$1:$G$1))</f>
        <v>-500</v>
      </c>
      <c r="W242">
        <v>1000</v>
      </c>
      <c r="X242">
        <v>0</v>
      </c>
      <c r="Y242">
        <v>1000</v>
      </c>
      <c r="Z242">
        <v>-500</v>
      </c>
      <c r="AA242">
        <v>0</v>
      </c>
      <c r="AB242">
        <f t="shared" ref="AB242:AB305" si="134">2*$N242-V242</f>
        <v>620.70143891786608</v>
      </c>
      <c r="AC242">
        <f t="shared" ref="AC242:AC305" si="135">2*$O242-W242</f>
        <v>921.03080315111424</v>
      </c>
      <c r="AD242">
        <f t="shared" si="111"/>
        <v>-418.12126735314143</v>
      </c>
      <c r="AE242">
        <f t="shared" si="112"/>
        <v>-47.216682703554689</v>
      </c>
      <c r="AF242">
        <f t="shared" si="113"/>
        <v>1.1724848962295844</v>
      </c>
      <c r="AG242" t="b">
        <f t="shared" si="121"/>
        <v>0</v>
      </c>
      <c r="AH242">
        <f t="shared" si="114"/>
        <v>25000</v>
      </c>
      <c r="AI242">
        <f t="shared" si="122"/>
        <v>4</v>
      </c>
      <c r="AJ242" cm="1">
        <f t="array" ref="AJ242:AO242">INDEX(surface!$A$2:$I$40,AI242+1,COLUMN(surface!$B$1:$G$1))</f>
        <v>0</v>
      </c>
      <c r="AK242">
        <v>1000</v>
      </c>
      <c r="AL242">
        <v>0</v>
      </c>
      <c r="AM242">
        <v>1</v>
      </c>
      <c r="AN242">
        <v>0</v>
      </c>
      <c r="AO242">
        <v>999</v>
      </c>
      <c r="AP242">
        <f t="shared" si="123"/>
        <v>120.70143891786611</v>
      </c>
      <c r="AQ242">
        <f t="shared" si="124"/>
        <v>921.03080315111424</v>
      </c>
      <c r="AR242">
        <f t="shared" si="125"/>
        <v>-547.81139728937592</v>
      </c>
      <c r="AS242">
        <f t="shared" si="115"/>
        <v>110.05679881396541</v>
      </c>
      <c r="AT242">
        <f t="shared" si="116"/>
        <v>0.13165042525154427</v>
      </c>
      <c r="AU242" t="b">
        <f t="shared" si="126"/>
        <v>1</v>
      </c>
      <c r="AV242">
        <f t="shared" si="117"/>
        <v>110.05679881396541</v>
      </c>
    </row>
    <row r="243" spans="1:48" x14ac:dyDescent="0.25">
      <c r="A243">
        <f t="shared" si="128"/>
        <v>24.100000000000072</v>
      </c>
      <c r="B243">
        <f t="shared" si="118"/>
        <v>0.1</v>
      </c>
      <c r="C243">
        <f>sim!C242+(sim!$G242*$B243*COS($E243))</f>
        <v>70.71550989630758</v>
      </c>
      <c r="D243">
        <f>sim!D242+(sim!$G242*$B243*SIN($E243))</f>
        <v>960.15005766604452</v>
      </c>
      <c r="E243">
        <f t="shared" si="129"/>
        <v>-6736.6355120334865</v>
      </c>
      <c r="F243">
        <f t="shared" si="104"/>
        <v>104.14093306564594</v>
      </c>
      <c r="G243">
        <v>100</v>
      </c>
      <c r="H243">
        <f t="shared" si="130"/>
        <v>-0.36136458050112064</v>
      </c>
      <c r="I243">
        <f t="shared" si="105"/>
        <v>-20.704665328229694</v>
      </c>
      <c r="J243">
        <f t="shared" si="119"/>
        <v>0</v>
      </c>
      <c r="K243">
        <f t="shared" si="120"/>
        <v>0</v>
      </c>
      <c r="L243">
        <f t="shared" si="106"/>
        <v>0</v>
      </c>
      <c r="M243">
        <f t="shared" si="131"/>
        <v>-20.704665328229694</v>
      </c>
      <c r="N243">
        <f t="shared" si="107"/>
        <v>64.520054156022283</v>
      </c>
      <c r="O243">
        <f t="shared" si="108"/>
        <v>952.30045078606861</v>
      </c>
      <c r="P243">
        <f t="shared" si="132"/>
        <v>2.5654967531693345</v>
      </c>
      <c r="Q243">
        <f t="shared" si="133"/>
        <v>873.80438198630895</v>
      </c>
      <c r="R243">
        <f t="shared" si="109"/>
        <v>-0.78496068799759644</v>
      </c>
      <c r="S243">
        <f t="shared" si="110"/>
        <v>-0.6195455740285295</v>
      </c>
      <c r="U243">
        <f t="shared" si="127"/>
        <v>3</v>
      </c>
      <c r="V243" cm="1">
        <f t="array" ref="V243:AA243">INDEX(surface!$A$2:$I$40,U243+1,COLUMN(surface!$B$1:$G$1))</f>
        <v>-500</v>
      </c>
      <c r="W243">
        <v>1000</v>
      </c>
      <c r="X243">
        <v>0</v>
      </c>
      <c r="Y243">
        <v>1000</v>
      </c>
      <c r="Z243">
        <v>-500</v>
      </c>
      <c r="AA243">
        <v>0</v>
      </c>
      <c r="AB243">
        <f t="shared" si="134"/>
        <v>629.04010831204459</v>
      </c>
      <c r="AC243">
        <f t="shared" si="135"/>
        <v>904.60090157213722</v>
      </c>
      <c r="AD243">
        <f t="shared" si="111"/>
        <v>-392.48034399879822</v>
      </c>
      <c r="AE243">
        <f t="shared" si="112"/>
        <v>-60.766800100029279</v>
      </c>
      <c r="AF243">
        <f t="shared" si="113"/>
        <v>1.2043357124117438</v>
      </c>
      <c r="AG243" t="b">
        <f t="shared" si="121"/>
        <v>0</v>
      </c>
      <c r="AH243">
        <f t="shared" si="114"/>
        <v>25000</v>
      </c>
      <c r="AI243">
        <f t="shared" si="122"/>
        <v>4</v>
      </c>
      <c r="AJ243" cm="1">
        <f t="array" ref="AJ243:AO243">INDEX(surface!$A$2:$I$40,AI243+1,COLUMN(surface!$B$1:$G$1))</f>
        <v>0</v>
      </c>
      <c r="AK243">
        <v>1000</v>
      </c>
      <c r="AL243">
        <v>0</v>
      </c>
      <c r="AM243">
        <v>1</v>
      </c>
      <c r="AN243">
        <v>0</v>
      </c>
      <c r="AO243">
        <v>999</v>
      </c>
      <c r="AP243">
        <f t="shared" si="123"/>
        <v>129.04010831204457</v>
      </c>
      <c r="AQ243">
        <f t="shared" si="124"/>
        <v>904.60090157213722</v>
      </c>
      <c r="AR243">
        <f t="shared" si="125"/>
        <v>-618.92602845450097</v>
      </c>
      <c r="AS243">
        <f t="shared" si="115"/>
        <v>104.14093306564594</v>
      </c>
      <c r="AT243">
        <f t="shared" si="116"/>
        <v>0.12957566334519768</v>
      </c>
      <c r="AU243" t="b">
        <f t="shared" si="126"/>
        <v>1</v>
      </c>
      <c r="AV243">
        <f t="shared" si="117"/>
        <v>104.14093306564594</v>
      </c>
    </row>
    <row r="244" spans="1:48" x14ac:dyDescent="0.25">
      <c r="A244">
        <f t="shared" si="128"/>
        <v>24.200000000000074</v>
      </c>
      <c r="B244">
        <f t="shared" si="118"/>
        <v>0.1</v>
      </c>
      <c r="C244">
        <f>sim!C243+(sim!$G243*$B244*COS($E244))</f>
        <v>75.27819404250242</v>
      </c>
      <c r="D244">
        <f>sim!D243+(sim!$G243*$B244*SIN($E244))</f>
        <v>951.25163570582811</v>
      </c>
      <c r="E244">
        <f t="shared" si="129"/>
        <v>-6736.6716484915369</v>
      </c>
      <c r="F244">
        <f t="shared" si="104"/>
        <v>106.2596461861816</v>
      </c>
      <c r="G244">
        <v>100</v>
      </c>
      <c r="H244">
        <f t="shared" si="130"/>
        <v>-0.54625717979387434</v>
      </c>
      <c r="I244">
        <f t="shared" si="105"/>
        <v>-31.298230930907991</v>
      </c>
      <c r="J244">
        <f t="shared" si="119"/>
        <v>0</v>
      </c>
      <c r="K244">
        <f t="shared" si="120"/>
        <v>0</v>
      </c>
      <c r="L244">
        <f t="shared" si="106"/>
        <v>0</v>
      </c>
      <c r="M244">
        <f t="shared" si="131"/>
        <v>-31.298230930907991</v>
      </c>
      <c r="N244">
        <f t="shared" si="107"/>
        <v>68.803187751673903</v>
      </c>
      <c r="O244">
        <f t="shared" si="108"/>
        <v>943.63098655147576</v>
      </c>
      <c r="P244">
        <f t="shared" si="132"/>
        <v>4.0531248433886731</v>
      </c>
      <c r="Q244">
        <f t="shared" si="133"/>
        <v>867.42449500795237</v>
      </c>
      <c r="R244">
        <f t="shared" si="109"/>
        <v>-0.76206491543523414</v>
      </c>
      <c r="S244">
        <f t="shared" si="110"/>
        <v>-0.64750062908285233</v>
      </c>
      <c r="U244">
        <f t="shared" si="127"/>
        <v>3</v>
      </c>
      <c r="V244" cm="1">
        <f t="array" ref="V244:AA244">INDEX(surface!$A$2:$I$40,U244+1,COLUMN(surface!$B$1:$G$1))</f>
        <v>-500</v>
      </c>
      <c r="W244">
        <v>1000</v>
      </c>
      <c r="X244">
        <v>0</v>
      </c>
      <c r="Y244">
        <v>1000</v>
      </c>
      <c r="Z244">
        <v>-500</v>
      </c>
      <c r="AA244">
        <v>0</v>
      </c>
      <c r="AB244">
        <f t="shared" si="134"/>
        <v>637.60637550334786</v>
      </c>
      <c r="AC244">
        <f t="shared" si="135"/>
        <v>887.26197310295152</v>
      </c>
      <c r="AD244">
        <f t="shared" si="111"/>
        <v>-381.03245771761709</v>
      </c>
      <c r="AE244">
        <f t="shared" si="112"/>
        <v>-73.96878180165335</v>
      </c>
      <c r="AF244">
        <f t="shared" si="113"/>
        <v>1.2333960410014733</v>
      </c>
      <c r="AG244" t="b">
        <f t="shared" si="121"/>
        <v>0</v>
      </c>
      <c r="AH244">
        <f t="shared" si="114"/>
        <v>25000</v>
      </c>
      <c r="AI244">
        <f t="shared" si="122"/>
        <v>4</v>
      </c>
      <c r="AJ244" cm="1">
        <f t="array" ref="AJ244:AO244">INDEX(surface!$A$2:$I$40,AI244+1,COLUMN(surface!$B$1:$G$1))</f>
        <v>0</v>
      </c>
      <c r="AK244">
        <v>1000</v>
      </c>
      <c r="AL244">
        <v>0</v>
      </c>
      <c r="AM244">
        <v>1</v>
      </c>
      <c r="AN244">
        <v>0</v>
      </c>
      <c r="AO244">
        <v>999</v>
      </c>
      <c r="AP244">
        <f t="shared" si="123"/>
        <v>137.60637550334781</v>
      </c>
      <c r="AQ244">
        <f t="shared" si="124"/>
        <v>887.26197310295152</v>
      </c>
      <c r="AR244">
        <f t="shared" si="125"/>
        <v>-646.8531284537695</v>
      </c>
      <c r="AS244">
        <f t="shared" si="115"/>
        <v>106.2596461861816</v>
      </c>
      <c r="AT244">
        <f t="shared" si="116"/>
        <v>0.13748324497855319</v>
      </c>
      <c r="AU244" t="b">
        <f t="shared" si="126"/>
        <v>1</v>
      </c>
      <c r="AV244">
        <f t="shared" si="117"/>
        <v>106.2596461861816</v>
      </c>
    </row>
    <row r="245" spans="1:48" x14ac:dyDescent="0.25">
      <c r="A245">
        <f t="shared" si="128"/>
        <v>24.300000000000075</v>
      </c>
      <c r="B245">
        <f t="shared" si="118"/>
        <v>0.1</v>
      </c>
      <c r="C245">
        <f>sim!C244+(sim!$G244*$B245*COS($E245))</f>
        <v>79.348231445217721</v>
      </c>
      <c r="D245">
        <f>sim!D244+(sim!$G244*$B245*SIN($E245))</f>
        <v>942.11737079065847</v>
      </c>
      <c r="E245">
        <f t="shared" si="129"/>
        <v>-6736.7262742095163</v>
      </c>
      <c r="F245">
        <f t="shared" si="104"/>
        <v>105.30785704988261</v>
      </c>
      <c r="G245">
        <v>100</v>
      </c>
      <c r="H245">
        <f t="shared" si="130"/>
        <v>-0.46319790872822258</v>
      </c>
      <c r="I245">
        <f t="shared" si="105"/>
        <v>-26.539285249413069</v>
      </c>
      <c r="J245">
        <f t="shared" si="119"/>
        <v>0</v>
      </c>
      <c r="K245">
        <f t="shared" si="120"/>
        <v>0</v>
      </c>
      <c r="L245">
        <f t="shared" si="106"/>
        <v>0</v>
      </c>
      <c r="M245">
        <f t="shared" si="131"/>
        <v>-26.539285249413069</v>
      </c>
      <c r="N245">
        <f t="shared" si="107"/>
        <v>72.466806928682701</v>
      </c>
      <c r="O245">
        <f t="shared" si="108"/>
        <v>934.86161468786463</v>
      </c>
      <c r="P245">
        <f t="shared" si="132"/>
        <v>3.6525617633325425</v>
      </c>
      <c r="Q245">
        <f t="shared" si="133"/>
        <v>862.30405365992567</v>
      </c>
      <c r="R245">
        <f t="shared" si="109"/>
        <v>-0.72557561027938922</v>
      </c>
      <c r="S245">
        <f t="shared" si="110"/>
        <v>-0.68814245165350163</v>
      </c>
      <c r="U245">
        <f t="shared" si="127"/>
        <v>3</v>
      </c>
      <c r="V245" cm="1">
        <f t="array" ref="V245:AA245">INDEX(surface!$A$2:$I$40,U245+1,COLUMN(surface!$B$1:$G$1))</f>
        <v>-500</v>
      </c>
      <c r="W245">
        <v>1000</v>
      </c>
      <c r="X245">
        <v>0</v>
      </c>
      <c r="Y245">
        <v>1000</v>
      </c>
      <c r="Z245">
        <v>-500</v>
      </c>
      <c r="AA245">
        <v>0</v>
      </c>
      <c r="AB245">
        <f t="shared" si="134"/>
        <v>644.93361385736534</v>
      </c>
      <c r="AC245">
        <f t="shared" si="135"/>
        <v>869.72322937572926</v>
      </c>
      <c r="AD245">
        <f t="shared" si="111"/>
        <v>-362.78780513969463</v>
      </c>
      <c r="AE245">
        <f t="shared" si="112"/>
        <v>-89.774772455558775</v>
      </c>
      <c r="AF245">
        <f t="shared" si="113"/>
        <v>1.2684892778857721</v>
      </c>
      <c r="AG245" t="b">
        <f t="shared" si="121"/>
        <v>0</v>
      </c>
      <c r="AH245">
        <f t="shared" si="114"/>
        <v>25000</v>
      </c>
      <c r="AI245">
        <f t="shared" si="122"/>
        <v>4</v>
      </c>
      <c r="AJ245" cm="1">
        <f t="array" ref="AJ245:AO245">INDEX(surface!$A$2:$I$40,AI245+1,COLUMN(surface!$B$1:$G$1))</f>
        <v>0</v>
      </c>
      <c r="AK245">
        <v>1000</v>
      </c>
      <c r="AL245">
        <v>0</v>
      </c>
      <c r="AM245">
        <v>1</v>
      </c>
      <c r="AN245">
        <v>0</v>
      </c>
      <c r="AO245">
        <v>999</v>
      </c>
      <c r="AP245">
        <f t="shared" si="123"/>
        <v>144.9336138573654</v>
      </c>
      <c r="AQ245">
        <f t="shared" si="124"/>
        <v>869.72322937572926</v>
      </c>
      <c r="AR245">
        <f t="shared" si="125"/>
        <v>-687.4543092018481</v>
      </c>
      <c r="AS245">
        <f t="shared" si="115"/>
        <v>105.30785704988261</v>
      </c>
      <c r="AT245">
        <f t="shared" si="116"/>
        <v>0.14168888684516379</v>
      </c>
      <c r="AU245" t="b">
        <f t="shared" si="126"/>
        <v>1</v>
      </c>
      <c r="AV245">
        <f t="shared" si="117"/>
        <v>105.30785704988261</v>
      </c>
    </row>
    <row r="246" spans="1:48" x14ac:dyDescent="0.25">
      <c r="A246">
        <f t="shared" si="128"/>
        <v>24.400000000000077</v>
      </c>
      <c r="B246">
        <f t="shared" si="118"/>
        <v>0.1</v>
      </c>
      <c r="C246">
        <f>sim!C245+(sim!$G245*$B246*COS($E246))</f>
        <v>82.99095748630576</v>
      </c>
      <c r="D246">
        <f>sim!D245+(sim!$G245*$B246*SIN($E246))</f>
        <v>932.8044471364251</v>
      </c>
      <c r="E246">
        <f t="shared" si="129"/>
        <v>-6736.7725940003893</v>
      </c>
      <c r="F246">
        <f t="shared" si="104"/>
        <v>105.10521213597163</v>
      </c>
      <c r="G246">
        <v>100</v>
      </c>
      <c r="H246">
        <f t="shared" si="130"/>
        <v>-0.44551380392738665</v>
      </c>
      <c r="I246">
        <f t="shared" si="105"/>
        <v>-25.526060679858134</v>
      </c>
      <c r="J246">
        <f t="shared" si="119"/>
        <v>0</v>
      </c>
      <c r="K246">
        <f t="shared" si="120"/>
        <v>0</v>
      </c>
      <c r="L246">
        <f t="shared" si="106"/>
        <v>0</v>
      </c>
      <c r="M246">
        <f t="shared" si="131"/>
        <v>-25.526060679858134</v>
      </c>
      <c r="N246">
        <f t="shared" si="107"/>
        <v>75.78094883888933</v>
      </c>
      <c r="O246">
        <f t="shared" si="108"/>
        <v>925.87510551516118</v>
      </c>
      <c r="P246">
        <f t="shared" si="132"/>
        <v>3.6808623647250869</v>
      </c>
      <c r="Q246">
        <f t="shared" si="133"/>
        <v>856.58168930252202</v>
      </c>
      <c r="R246">
        <f t="shared" si="109"/>
        <v>-0.69293416212639114</v>
      </c>
      <c r="S246">
        <f t="shared" si="110"/>
        <v>-0.72100086474164249</v>
      </c>
      <c r="U246">
        <f t="shared" si="127"/>
        <v>3</v>
      </c>
      <c r="V246" cm="1">
        <f t="array" ref="V246:AA246">INDEX(surface!$A$2:$I$40,U246+1,COLUMN(surface!$B$1:$G$1))</f>
        <v>-500</v>
      </c>
      <c r="W246">
        <v>1000</v>
      </c>
      <c r="X246">
        <v>0</v>
      </c>
      <c r="Y246">
        <v>1000</v>
      </c>
      <c r="Z246">
        <v>-500</v>
      </c>
      <c r="AA246">
        <v>0</v>
      </c>
      <c r="AB246">
        <f t="shared" si="134"/>
        <v>651.56189767777869</v>
      </c>
      <c r="AC246">
        <f t="shared" si="135"/>
        <v>851.75021103032236</v>
      </c>
      <c r="AD246">
        <f t="shared" si="111"/>
        <v>-346.46708106319556</v>
      </c>
      <c r="AE246">
        <f t="shared" si="112"/>
        <v>-106.97249253431734</v>
      </c>
      <c r="AF246">
        <f t="shared" si="113"/>
        <v>1.305816416919402</v>
      </c>
      <c r="AG246" t="b">
        <f t="shared" si="121"/>
        <v>0</v>
      </c>
      <c r="AH246">
        <f t="shared" si="114"/>
        <v>25000</v>
      </c>
      <c r="AI246">
        <f t="shared" si="122"/>
        <v>4</v>
      </c>
      <c r="AJ246" cm="1">
        <f t="array" ref="AJ246:AO246">INDEX(surface!$A$2:$I$40,AI246+1,COLUMN(surface!$B$1:$G$1))</f>
        <v>0</v>
      </c>
      <c r="AK246">
        <v>1000</v>
      </c>
      <c r="AL246">
        <v>0</v>
      </c>
      <c r="AM246">
        <v>1</v>
      </c>
      <c r="AN246">
        <v>0</v>
      </c>
      <c r="AO246">
        <v>999</v>
      </c>
      <c r="AP246">
        <f t="shared" si="123"/>
        <v>151.56189767777866</v>
      </c>
      <c r="AQ246">
        <f t="shared" si="124"/>
        <v>851.75021103032236</v>
      </c>
      <c r="AR246">
        <f t="shared" si="125"/>
        <v>-720.27986387690089</v>
      </c>
      <c r="AS246">
        <f t="shared" si="115"/>
        <v>105.10521213597163</v>
      </c>
      <c r="AT246">
        <f t="shared" si="116"/>
        <v>0.1471029895809759</v>
      </c>
      <c r="AU246" t="b">
        <f t="shared" si="126"/>
        <v>1</v>
      </c>
      <c r="AV246">
        <f t="shared" si="117"/>
        <v>105.10521213597163</v>
      </c>
    </row>
    <row r="247" spans="1:48" x14ac:dyDescent="0.25">
      <c r="A247">
        <f t="shared" si="128"/>
        <v>24.500000000000078</v>
      </c>
      <c r="B247">
        <f t="shared" si="118"/>
        <v>0.1</v>
      </c>
      <c r="C247">
        <f>sim!C246+(sim!$G246*$B247*COS($E247))</f>
        <v>86.215302671507871</v>
      </c>
      <c r="D247">
        <f>sim!D246+(sim!$G246*$B247*SIN($E247))</f>
        <v>923.33852942462011</v>
      </c>
      <c r="E247">
        <f t="shared" si="129"/>
        <v>-6736.8171453807818</v>
      </c>
      <c r="F247">
        <f t="shared" si="104"/>
        <v>104.77829218836695</v>
      </c>
      <c r="G247">
        <v>100</v>
      </c>
      <c r="H247">
        <f t="shared" si="130"/>
        <v>-0.41698465654664163</v>
      </c>
      <c r="I247">
        <f t="shared" si="105"/>
        <v>-23.891460941834737</v>
      </c>
      <c r="J247">
        <f t="shared" si="119"/>
        <v>0</v>
      </c>
      <c r="K247">
        <f t="shared" si="120"/>
        <v>0</v>
      </c>
      <c r="L247">
        <f t="shared" si="106"/>
        <v>0</v>
      </c>
      <c r="M247">
        <f t="shared" si="131"/>
        <v>-23.891460941834737</v>
      </c>
      <c r="N247">
        <f t="shared" si="107"/>
        <v>78.703838523738824</v>
      </c>
      <c r="O247">
        <f t="shared" si="108"/>
        <v>916.73717302182069</v>
      </c>
      <c r="P247">
        <f t="shared" si="132"/>
        <v>3.5891970460483265</v>
      </c>
      <c r="Q247">
        <f t="shared" si="133"/>
        <v>850.72360899382704</v>
      </c>
      <c r="R247">
        <f t="shared" si="109"/>
        <v>-0.66013564027993654</v>
      </c>
      <c r="S247">
        <f t="shared" si="110"/>
        <v>-0.75114641477690502</v>
      </c>
      <c r="U247">
        <f t="shared" si="127"/>
        <v>3</v>
      </c>
      <c r="V247" cm="1">
        <f t="array" ref="V247:AA247">INDEX(surface!$A$2:$I$40,U247+1,COLUMN(surface!$B$1:$G$1))</f>
        <v>-500</v>
      </c>
      <c r="W247">
        <v>1000</v>
      </c>
      <c r="X247">
        <v>0</v>
      </c>
      <c r="Y247">
        <v>1000</v>
      </c>
      <c r="Z247">
        <v>-500</v>
      </c>
      <c r="AA247">
        <v>0</v>
      </c>
      <c r="AB247">
        <f t="shared" si="134"/>
        <v>657.40767704747759</v>
      </c>
      <c r="AC247">
        <f t="shared" si="135"/>
        <v>833.47434604364139</v>
      </c>
      <c r="AD247">
        <f t="shared" si="111"/>
        <v>-330.06782013996826</v>
      </c>
      <c r="AE247">
        <f t="shared" si="112"/>
        <v>-126.12987679754868</v>
      </c>
      <c r="AF247">
        <f t="shared" si="113"/>
        <v>1.3468916865529403</v>
      </c>
      <c r="AG247" t="b">
        <f t="shared" si="121"/>
        <v>0</v>
      </c>
      <c r="AH247">
        <f t="shared" si="114"/>
        <v>25000</v>
      </c>
      <c r="AI247">
        <f t="shared" si="122"/>
        <v>4</v>
      </c>
      <c r="AJ247" cm="1">
        <f t="array" ref="AJ247:AO247">INDEX(surface!$A$2:$I$40,AI247+1,COLUMN(surface!$B$1:$G$1))</f>
        <v>0</v>
      </c>
      <c r="AK247">
        <v>1000</v>
      </c>
      <c r="AL247">
        <v>0</v>
      </c>
      <c r="AM247">
        <v>1</v>
      </c>
      <c r="AN247">
        <v>0</v>
      </c>
      <c r="AO247">
        <v>999</v>
      </c>
      <c r="AP247">
        <f t="shared" si="123"/>
        <v>157.40767704747765</v>
      </c>
      <c r="AQ247">
        <f t="shared" si="124"/>
        <v>833.47434604364139</v>
      </c>
      <c r="AR247">
        <f t="shared" si="125"/>
        <v>-750.39526836212815</v>
      </c>
      <c r="AS247">
        <f t="shared" si="115"/>
        <v>104.77829218836695</v>
      </c>
      <c r="AT247">
        <f t="shared" si="116"/>
        <v>0.15258329527465983</v>
      </c>
      <c r="AU247" t="b">
        <f t="shared" si="126"/>
        <v>1</v>
      </c>
      <c r="AV247">
        <f t="shared" si="117"/>
        <v>104.77829218836695</v>
      </c>
    </row>
    <row r="248" spans="1:48" x14ac:dyDescent="0.25">
      <c r="A248">
        <f t="shared" si="128"/>
        <v>24.60000000000008</v>
      </c>
      <c r="B248">
        <f t="shared" si="118"/>
        <v>0.1</v>
      </c>
      <c r="C248">
        <f>sim!C247+(sim!$G247*$B248*COS($E248))</f>
        <v>89.042245209505012</v>
      </c>
      <c r="D248">
        <f>sim!D247+(sim!$G247*$B248*SIN($E248))</f>
        <v>913.74642872212212</v>
      </c>
      <c r="E248">
        <f t="shared" si="129"/>
        <v>-6736.8588438464367</v>
      </c>
      <c r="F248">
        <f t="shared" si="104"/>
        <v>104.44840020092414</v>
      </c>
      <c r="G248">
        <v>100</v>
      </c>
      <c r="H248">
        <f t="shared" si="130"/>
        <v>-0.38819614976251782</v>
      </c>
      <c r="I248">
        <f t="shared" si="105"/>
        <v>-22.242001004620704</v>
      </c>
      <c r="J248">
        <f t="shared" si="119"/>
        <v>0</v>
      </c>
      <c r="K248">
        <f t="shared" si="120"/>
        <v>0</v>
      </c>
      <c r="L248">
        <f t="shared" si="106"/>
        <v>0</v>
      </c>
      <c r="M248">
        <f t="shared" si="131"/>
        <v>-22.242001004620704</v>
      </c>
      <c r="N248">
        <f t="shared" si="107"/>
        <v>81.262123770220271</v>
      </c>
      <c r="O248">
        <f t="shared" si="108"/>
        <v>907.46393635125673</v>
      </c>
      <c r="P248">
        <f t="shared" si="132"/>
        <v>3.4609093773728574</v>
      </c>
      <c r="Q248">
        <f t="shared" si="133"/>
        <v>844.63901264260278</v>
      </c>
      <c r="R248">
        <f t="shared" si="109"/>
        <v>-0.62824923708653968</v>
      </c>
      <c r="S248">
        <f t="shared" si="110"/>
        <v>-0.77801214392847418</v>
      </c>
      <c r="U248">
        <f t="shared" si="127"/>
        <v>3</v>
      </c>
      <c r="V248" cm="1">
        <f t="array" ref="V248:AA248">INDEX(surface!$A$2:$I$40,U248+1,COLUMN(surface!$B$1:$G$1))</f>
        <v>-500</v>
      </c>
      <c r="W248">
        <v>1000</v>
      </c>
      <c r="X248">
        <v>0</v>
      </c>
      <c r="Y248">
        <v>1000</v>
      </c>
      <c r="Z248">
        <v>-500</v>
      </c>
      <c r="AA248">
        <v>0</v>
      </c>
      <c r="AB248">
        <f t="shared" si="134"/>
        <v>662.52424754044057</v>
      </c>
      <c r="AC248">
        <f t="shared" si="135"/>
        <v>814.92787270251347</v>
      </c>
      <c r="AD248">
        <f t="shared" si="111"/>
        <v>-314.12461854326983</v>
      </c>
      <c r="AE248">
        <f t="shared" si="112"/>
        <v>-147.2919634218301</v>
      </c>
      <c r="AF248">
        <f t="shared" si="113"/>
        <v>1.3917141200309457</v>
      </c>
      <c r="AG248" t="b">
        <f t="shared" si="121"/>
        <v>0</v>
      </c>
      <c r="AH248">
        <f t="shared" si="114"/>
        <v>25000</v>
      </c>
      <c r="AI248">
        <f t="shared" si="122"/>
        <v>4</v>
      </c>
      <c r="AJ248" cm="1">
        <f t="array" ref="AJ248:AO248">INDEX(surface!$A$2:$I$40,AI248+1,COLUMN(surface!$B$1:$G$1))</f>
        <v>0</v>
      </c>
      <c r="AK248">
        <v>1000</v>
      </c>
      <c r="AL248">
        <v>0</v>
      </c>
      <c r="AM248">
        <v>1</v>
      </c>
      <c r="AN248">
        <v>0</v>
      </c>
      <c r="AO248">
        <v>999</v>
      </c>
      <c r="AP248">
        <f t="shared" si="123"/>
        <v>162.52424754044054</v>
      </c>
      <c r="AQ248">
        <f t="shared" si="124"/>
        <v>814.92787270251347</v>
      </c>
      <c r="AR248">
        <f t="shared" si="125"/>
        <v>-777.23413178454575</v>
      </c>
      <c r="AS248">
        <f t="shared" si="115"/>
        <v>104.44840020092414</v>
      </c>
      <c r="AT248">
        <f t="shared" si="116"/>
        <v>0.15831400539527871</v>
      </c>
      <c r="AU248" t="b">
        <f t="shared" si="126"/>
        <v>1</v>
      </c>
      <c r="AV248">
        <f t="shared" si="117"/>
        <v>104.44840020092414</v>
      </c>
    </row>
    <row r="249" spans="1:48" x14ac:dyDescent="0.25">
      <c r="A249">
        <f t="shared" si="128"/>
        <v>24.700000000000081</v>
      </c>
      <c r="B249">
        <f t="shared" si="118"/>
        <v>0.1</v>
      </c>
      <c r="C249">
        <f>sim!C248+(sim!$G248*$B249*COS($E249))</f>
        <v>91.494789826153436</v>
      </c>
      <c r="D249">
        <f>sim!D248+(sim!$G248*$B249*SIN($E249))</f>
        <v>904.05184131969236</v>
      </c>
      <c r="E249">
        <f t="shared" si="129"/>
        <v>-6736.8976634614128</v>
      </c>
      <c r="F249">
        <f t="shared" si="104"/>
        <v>104.11055911619101</v>
      </c>
      <c r="G249">
        <v>100</v>
      </c>
      <c r="H249">
        <f t="shared" si="130"/>
        <v>-0.35871395337700662</v>
      </c>
      <c r="I249">
        <f t="shared" si="105"/>
        <v>-20.552795580955063</v>
      </c>
      <c r="J249">
        <f t="shared" si="119"/>
        <v>0</v>
      </c>
      <c r="K249">
        <f t="shared" si="120"/>
        <v>0</v>
      </c>
      <c r="L249">
        <f t="shared" si="106"/>
        <v>0</v>
      </c>
      <c r="M249">
        <f t="shared" si="131"/>
        <v>-20.552795580955063</v>
      </c>
      <c r="N249">
        <f t="shared" si="107"/>
        <v>83.476707140835018</v>
      </c>
      <c r="O249">
        <f t="shared" si="108"/>
        <v>898.07602756327412</v>
      </c>
      <c r="P249">
        <f t="shared" si="132"/>
        <v>3.2958802876508884</v>
      </c>
      <c r="Q249">
        <f t="shared" si="133"/>
        <v>838.31788999909202</v>
      </c>
      <c r="R249">
        <f t="shared" si="109"/>
        <v>-0.59758137564182057</v>
      </c>
      <c r="S249">
        <f t="shared" si="110"/>
        <v>-0.80180826853184128</v>
      </c>
      <c r="U249">
        <f t="shared" si="127"/>
        <v>3</v>
      </c>
      <c r="V249" cm="1">
        <f t="array" ref="V249:AA249">INDEX(surface!$A$2:$I$40,U249+1,COLUMN(surface!$B$1:$G$1))</f>
        <v>-500</v>
      </c>
      <c r="W249">
        <v>1000</v>
      </c>
      <c r="X249">
        <v>0</v>
      </c>
      <c r="Y249">
        <v>1000</v>
      </c>
      <c r="Z249">
        <v>-500</v>
      </c>
      <c r="AA249">
        <v>0</v>
      </c>
      <c r="AB249">
        <f t="shared" si="134"/>
        <v>666.95341428167001</v>
      </c>
      <c r="AC249">
        <f t="shared" si="135"/>
        <v>796.15205512654825</v>
      </c>
      <c r="AD249">
        <f t="shared" si="111"/>
        <v>-298.79068782091031</v>
      </c>
      <c r="AE249">
        <f t="shared" si="112"/>
        <v>-170.56082500438777</v>
      </c>
      <c r="AF249">
        <f t="shared" si="113"/>
        <v>1.4404675738339308</v>
      </c>
      <c r="AG249" t="b">
        <f t="shared" si="121"/>
        <v>0</v>
      </c>
      <c r="AH249">
        <f t="shared" si="114"/>
        <v>25000</v>
      </c>
      <c r="AI249">
        <f t="shared" si="122"/>
        <v>4</v>
      </c>
      <c r="AJ249" cm="1">
        <f t="array" ref="AJ249:AO249">INDEX(surface!$A$2:$I$40,AI249+1,COLUMN(surface!$B$1:$G$1))</f>
        <v>0</v>
      </c>
      <c r="AK249">
        <v>1000</v>
      </c>
      <c r="AL249">
        <v>0</v>
      </c>
      <c r="AM249">
        <v>1</v>
      </c>
      <c r="AN249">
        <v>0</v>
      </c>
      <c r="AO249">
        <v>999</v>
      </c>
      <c r="AP249">
        <f t="shared" si="123"/>
        <v>166.95341428167004</v>
      </c>
      <c r="AQ249">
        <f t="shared" si="124"/>
        <v>796.15205512654825</v>
      </c>
      <c r="AR249">
        <f t="shared" si="125"/>
        <v>-801.00646026330946</v>
      </c>
      <c r="AS249">
        <f t="shared" si="115"/>
        <v>104.11055911619101</v>
      </c>
      <c r="AT249">
        <f t="shared" si="116"/>
        <v>0.16430280637859696</v>
      </c>
      <c r="AU249" t="b">
        <f t="shared" si="126"/>
        <v>1</v>
      </c>
      <c r="AV249">
        <f t="shared" si="117"/>
        <v>104.11055911619101</v>
      </c>
    </row>
    <row r="250" spans="1:48" x14ac:dyDescent="0.25">
      <c r="A250">
        <f t="shared" si="128"/>
        <v>24.800000000000082</v>
      </c>
      <c r="B250">
        <f t="shared" si="118"/>
        <v>0.1</v>
      </c>
      <c r="C250">
        <f>sim!C249+(sim!$G249*$B250*COS($E250))</f>
        <v>93.598072895457506</v>
      </c>
      <c r="D250">
        <f>sim!D249+(sim!$G249*$B250*SIN($E250))</f>
        <v>894.27553320617733</v>
      </c>
      <c r="E250">
        <f t="shared" si="129"/>
        <v>-6736.9335348567502</v>
      </c>
      <c r="F250">
        <f t="shared" si="104"/>
        <v>103.76607451281744</v>
      </c>
      <c r="G250">
        <v>100</v>
      </c>
      <c r="H250">
        <f t="shared" si="130"/>
        <v>-0.32865200062052857</v>
      </c>
      <c r="I250">
        <f t="shared" si="105"/>
        <v>-18.830372564087199</v>
      </c>
      <c r="J250">
        <f t="shared" si="119"/>
        <v>0</v>
      </c>
      <c r="K250">
        <f t="shared" si="120"/>
        <v>0</v>
      </c>
      <c r="L250">
        <f t="shared" si="106"/>
        <v>0</v>
      </c>
      <c r="M250">
        <f t="shared" si="131"/>
        <v>-18.830372564087199</v>
      </c>
      <c r="N250">
        <f t="shared" si="107"/>
        <v>85.37083351005424</v>
      </c>
      <c r="O250">
        <f t="shared" si="108"/>
        <v>888.59112188263032</v>
      </c>
      <c r="P250">
        <f t="shared" si="132"/>
        <v>3.0984396560215117</v>
      </c>
      <c r="Q250">
        <f t="shared" si="133"/>
        <v>831.74700864716044</v>
      </c>
      <c r="R250">
        <f t="shared" si="109"/>
        <v>-0.56844113235469862</v>
      </c>
      <c r="S250">
        <f t="shared" si="110"/>
        <v>-0.82272393854032722</v>
      </c>
      <c r="U250">
        <f t="shared" si="127"/>
        <v>3</v>
      </c>
      <c r="V250" cm="1">
        <f t="array" ref="V250:AA250">INDEX(surface!$A$2:$I$40,U250+1,COLUMN(surface!$B$1:$G$1))</f>
        <v>-500</v>
      </c>
      <c r="W250">
        <v>1000</v>
      </c>
      <c r="X250">
        <v>0</v>
      </c>
      <c r="Y250">
        <v>1000</v>
      </c>
      <c r="Z250">
        <v>-500</v>
      </c>
      <c r="AA250">
        <v>0</v>
      </c>
      <c r="AB250">
        <f t="shared" si="134"/>
        <v>670.74166702010848</v>
      </c>
      <c r="AC250">
        <f t="shared" si="135"/>
        <v>777.18224376526064</v>
      </c>
      <c r="AD250">
        <f t="shared" si="111"/>
        <v>-284.22056617734933</v>
      </c>
      <c r="AE250">
        <f t="shared" si="112"/>
        <v>-195.99017695266329</v>
      </c>
      <c r="AF250">
        <f t="shared" si="113"/>
        <v>1.4932332876155299</v>
      </c>
      <c r="AG250" t="b">
        <f t="shared" si="121"/>
        <v>0</v>
      </c>
      <c r="AH250">
        <f t="shared" si="114"/>
        <v>25000</v>
      </c>
      <c r="AI250">
        <f t="shared" si="122"/>
        <v>4</v>
      </c>
      <c r="AJ250" cm="1">
        <f t="array" ref="AJ250:AO250">INDEX(surface!$A$2:$I$40,AI250+1,COLUMN(surface!$B$1:$G$1))</f>
        <v>0</v>
      </c>
      <c r="AK250">
        <v>1000</v>
      </c>
      <c r="AL250">
        <v>0</v>
      </c>
      <c r="AM250">
        <v>1</v>
      </c>
      <c r="AN250">
        <v>0</v>
      </c>
      <c r="AO250">
        <v>999</v>
      </c>
      <c r="AP250">
        <f t="shared" si="123"/>
        <v>170.74166702010848</v>
      </c>
      <c r="AQ250">
        <f t="shared" si="124"/>
        <v>777.18224376526064</v>
      </c>
      <c r="AR250">
        <f t="shared" si="125"/>
        <v>-821.90121460178693</v>
      </c>
      <c r="AS250">
        <f t="shared" si="115"/>
        <v>103.76607451281744</v>
      </c>
      <c r="AT250">
        <f t="shared" si="116"/>
        <v>0.17056434736079845</v>
      </c>
      <c r="AU250" t="b">
        <f t="shared" si="126"/>
        <v>1</v>
      </c>
      <c r="AV250">
        <f t="shared" si="117"/>
        <v>103.76607451281744</v>
      </c>
    </row>
    <row r="251" spans="1:48" x14ac:dyDescent="0.25">
      <c r="A251">
        <f t="shared" si="128"/>
        <v>24.900000000000084</v>
      </c>
      <c r="B251">
        <f t="shared" si="118"/>
        <v>0.1</v>
      </c>
      <c r="C251">
        <f>sim!C250+(sim!$G250*$B251*COS($E251))</f>
        <v>95.37897768191857</v>
      </c>
      <c r="D251">
        <f>sim!D250+(sim!$G250*$B251*SIN($E251))</f>
        <v>884.4353920414602</v>
      </c>
      <c r="E251">
        <f t="shared" si="129"/>
        <v>-6736.9664000568118</v>
      </c>
      <c r="F251">
        <f t="shared" si="104"/>
        <v>103.41702203795222</v>
      </c>
      <c r="G251">
        <v>100</v>
      </c>
      <c r="H251">
        <f t="shared" si="130"/>
        <v>-0.29819142587736458</v>
      </c>
      <c r="I251">
        <f t="shared" si="105"/>
        <v>-17.08511018976111</v>
      </c>
      <c r="J251">
        <f t="shared" si="119"/>
        <v>0</v>
      </c>
      <c r="K251">
        <f t="shared" si="120"/>
        <v>0</v>
      </c>
      <c r="L251">
        <f t="shared" si="106"/>
        <v>0</v>
      </c>
      <c r="M251">
        <f t="shared" si="131"/>
        <v>-17.08511018976111</v>
      </c>
      <c r="N251">
        <f t="shared" si="107"/>
        <v>86.969395419213569</v>
      </c>
      <c r="O251">
        <f t="shared" si="108"/>
        <v>879.02439156402556</v>
      </c>
      <c r="P251">
        <f t="shared" si="132"/>
        <v>2.8735727921635146</v>
      </c>
      <c r="Q251">
        <f t="shared" si="133"/>
        <v>824.91438678967961</v>
      </c>
      <c r="R251">
        <f t="shared" si="109"/>
        <v>-0.54110004774345899</v>
      </c>
      <c r="S251">
        <f t="shared" si="110"/>
        <v>-0.84095822627050054</v>
      </c>
      <c r="U251">
        <f t="shared" si="127"/>
        <v>3</v>
      </c>
      <c r="V251" cm="1">
        <f t="array" ref="V251:AA251">INDEX(surface!$A$2:$I$40,U251+1,COLUMN(surface!$B$1:$G$1))</f>
        <v>-500</v>
      </c>
      <c r="W251">
        <v>1000</v>
      </c>
      <c r="X251">
        <v>0</v>
      </c>
      <c r="Y251">
        <v>1000</v>
      </c>
      <c r="Z251">
        <v>-500</v>
      </c>
      <c r="AA251">
        <v>0</v>
      </c>
      <c r="AB251">
        <f t="shared" si="134"/>
        <v>673.93879083842717</v>
      </c>
      <c r="AC251">
        <f t="shared" si="135"/>
        <v>758.04878312805113</v>
      </c>
      <c r="AD251">
        <f t="shared" si="111"/>
        <v>-270.55002387172948</v>
      </c>
      <c r="AE251">
        <f t="shared" si="112"/>
        <v>-223.5734573310003</v>
      </c>
      <c r="AF251">
        <f t="shared" si="113"/>
        <v>1.54997066707491</v>
      </c>
      <c r="AG251" t="b">
        <f t="shared" si="121"/>
        <v>0</v>
      </c>
      <c r="AH251">
        <f t="shared" si="114"/>
        <v>25000</v>
      </c>
      <c r="AI251">
        <f t="shared" si="122"/>
        <v>4</v>
      </c>
      <c r="AJ251" cm="1">
        <f t="array" ref="AJ251:AO251">INDEX(surface!$A$2:$I$40,AI251+1,COLUMN(surface!$B$1:$G$1))</f>
        <v>0</v>
      </c>
      <c r="AK251">
        <v>1000</v>
      </c>
      <c r="AL251">
        <v>0</v>
      </c>
      <c r="AM251">
        <v>1</v>
      </c>
      <c r="AN251">
        <v>0</v>
      </c>
      <c r="AO251">
        <v>999</v>
      </c>
      <c r="AP251">
        <f t="shared" si="123"/>
        <v>173.93879083842714</v>
      </c>
      <c r="AQ251">
        <f t="shared" si="124"/>
        <v>758.04878312805113</v>
      </c>
      <c r="AR251">
        <f t="shared" si="125"/>
        <v>-840.11726804423006</v>
      </c>
      <c r="AS251">
        <f t="shared" si="115"/>
        <v>103.41702203795222</v>
      </c>
      <c r="AT251">
        <f t="shared" si="116"/>
        <v>0.17711167567387059</v>
      </c>
      <c r="AU251" t="b">
        <f t="shared" si="126"/>
        <v>1</v>
      </c>
      <c r="AV251">
        <f t="shared" si="117"/>
        <v>103.41702203795222</v>
      </c>
    </row>
    <row r="252" spans="1:48" x14ac:dyDescent="0.25">
      <c r="A252">
        <f t="shared" si="128"/>
        <v>25.000000000000085</v>
      </c>
      <c r="B252">
        <f t="shared" si="118"/>
        <v>0.1</v>
      </c>
      <c r="C252">
        <f>sim!C251+(sim!$G251*$B252*COS($E252))</f>
        <v>96.865709663655707</v>
      </c>
      <c r="D252">
        <f>sim!D251+(sim!$G251*$B252*SIN($E252))</f>
        <v>874.54652820305694</v>
      </c>
      <c r="E252">
        <f t="shared" si="129"/>
        <v>-6736.9962191994</v>
      </c>
      <c r="F252">
        <f t="shared" si="104"/>
        <v>103.06615378189473</v>
      </c>
      <c r="G252">
        <v>100</v>
      </c>
      <c r="H252">
        <f t="shared" si="130"/>
        <v>-0.26757239433269542</v>
      </c>
      <c r="I252">
        <f t="shared" si="105"/>
        <v>-15.330768909473633</v>
      </c>
      <c r="J252">
        <f t="shared" si="119"/>
        <v>0</v>
      </c>
      <c r="K252">
        <f t="shared" si="120"/>
        <v>0</v>
      </c>
      <c r="L252">
        <f t="shared" si="106"/>
        <v>0</v>
      </c>
      <c r="M252">
        <f t="shared" si="131"/>
        <v>-15.330768909473633</v>
      </c>
      <c r="N252">
        <f t="shared" si="107"/>
        <v>88.298538461342574</v>
      </c>
      <c r="O252">
        <f t="shared" si="108"/>
        <v>869.38866259892802</v>
      </c>
      <c r="P252">
        <f t="shared" si="132"/>
        <v>2.6268264382111965</v>
      </c>
      <c r="Q252">
        <f t="shared" si="133"/>
        <v>817.81000655763853</v>
      </c>
      <c r="R252">
        <f t="shared" si="109"/>
        <v>-0.51578656041289472</v>
      </c>
      <c r="S252">
        <f t="shared" si="110"/>
        <v>-0.85671712023131374</v>
      </c>
      <c r="U252">
        <f t="shared" si="127"/>
        <v>3</v>
      </c>
      <c r="V252" cm="1">
        <f t="array" ref="V252:AA252">INDEX(surface!$A$2:$I$40,U252+1,COLUMN(surface!$B$1:$G$1))</f>
        <v>-500</v>
      </c>
      <c r="W252">
        <v>1000</v>
      </c>
      <c r="X252">
        <v>0</v>
      </c>
      <c r="Y252">
        <v>1000</v>
      </c>
      <c r="Z252">
        <v>-500</v>
      </c>
      <c r="AA252">
        <v>0</v>
      </c>
      <c r="AB252">
        <f t="shared" si="134"/>
        <v>676.59707692268512</v>
      </c>
      <c r="AC252">
        <f t="shared" si="135"/>
        <v>738.77732519785604</v>
      </c>
      <c r="AD252">
        <f t="shared" si="111"/>
        <v>-257.89328020644734</v>
      </c>
      <c r="AE252">
        <f t="shared" si="112"/>
        <v>-253.22749258242729</v>
      </c>
      <c r="AF252">
        <f t="shared" si="113"/>
        <v>1.6104857333399121</v>
      </c>
      <c r="AG252" t="b">
        <f t="shared" si="121"/>
        <v>0</v>
      </c>
      <c r="AH252">
        <f t="shared" si="114"/>
        <v>25000</v>
      </c>
      <c r="AI252">
        <f t="shared" si="122"/>
        <v>4</v>
      </c>
      <c r="AJ252" cm="1">
        <f t="array" ref="AJ252:AO252">INDEX(surface!$A$2:$I$40,AI252+1,COLUMN(surface!$B$1:$G$1))</f>
        <v>0</v>
      </c>
      <c r="AK252">
        <v>1000</v>
      </c>
      <c r="AL252">
        <v>0</v>
      </c>
      <c r="AM252">
        <v>1</v>
      </c>
      <c r="AN252">
        <v>0</v>
      </c>
      <c r="AO252">
        <v>999</v>
      </c>
      <c r="AP252">
        <f t="shared" si="123"/>
        <v>176.59707692268515</v>
      </c>
      <c r="AQ252">
        <f t="shared" si="124"/>
        <v>738.77732519785604</v>
      </c>
      <c r="AR252">
        <f t="shared" si="125"/>
        <v>-855.86040311108241</v>
      </c>
      <c r="AS252">
        <f t="shared" si="115"/>
        <v>103.06615378189473</v>
      </c>
      <c r="AT252">
        <f t="shared" si="116"/>
        <v>0.18395542978500692</v>
      </c>
      <c r="AU252" t="b">
        <f t="shared" si="126"/>
        <v>1</v>
      </c>
      <c r="AV252">
        <f t="shared" si="117"/>
        <v>103.06615378189473</v>
      </c>
    </row>
    <row r="253" spans="1:48" x14ac:dyDescent="0.25">
      <c r="A253">
        <f t="shared" si="128"/>
        <v>25.100000000000087</v>
      </c>
      <c r="B253">
        <f t="shared" si="118"/>
        <v>0.1</v>
      </c>
      <c r="C253">
        <f>sim!C252+(sim!$G252*$B253*COS($E253))</f>
        <v>98.08734233902328</v>
      </c>
      <c r="D253">
        <f>sim!D252+(sim!$G252*$B253*SIN($E253))</f>
        <v>864.62142802187623</v>
      </c>
      <c r="E253">
        <f t="shared" si="129"/>
        <v>-6737.0229764388332</v>
      </c>
      <c r="F253">
        <f t="shared" si="104"/>
        <v>102.71688576354244</v>
      </c>
      <c r="G253">
        <v>100</v>
      </c>
      <c r="H253">
        <f t="shared" si="130"/>
        <v>-0.23709300987187812</v>
      </c>
      <c r="I253">
        <f t="shared" si="105"/>
        <v>-13.58442881771218</v>
      </c>
      <c r="J253">
        <f t="shared" si="119"/>
        <v>0</v>
      </c>
      <c r="K253">
        <f t="shared" si="120"/>
        <v>0</v>
      </c>
      <c r="L253">
        <f t="shared" si="106"/>
        <v>0</v>
      </c>
      <c r="M253">
        <f t="shared" si="131"/>
        <v>-13.58442881771218</v>
      </c>
      <c r="N253">
        <f t="shared" si="107"/>
        <v>89.385244008805842</v>
      </c>
      <c r="O253">
        <f t="shared" si="108"/>
        <v>859.69461519295464</v>
      </c>
      <c r="P253">
        <f t="shared" si="132"/>
        <v>2.3642607066314127</v>
      </c>
      <c r="Q253">
        <f t="shared" si="133"/>
        <v>810.42648690373835</v>
      </c>
      <c r="R253">
        <f t="shared" si="109"/>
        <v>-0.49268128289216351</v>
      </c>
      <c r="S253">
        <f t="shared" si="110"/>
        <v>-0.87020983302174426</v>
      </c>
      <c r="U253">
        <f t="shared" si="127"/>
        <v>3</v>
      </c>
      <c r="V253" cm="1">
        <f t="array" ref="V253:AA253">INDEX(surface!$A$2:$I$40,U253+1,COLUMN(surface!$B$1:$G$1))</f>
        <v>-500</v>
      </c>
      <c r="W253">
        <v>1000</v>
      </c>
      <c r="X253">
        <v>0</v>
      </c>
      <c r="Y253">
        <v>1000</v>
      </c>
      <c r="Z253">
        <v>-500</v>
      </c>
      <c r="AA253">
        <v>0</v>
      </c>
      <c r="AB253">
        <f t="shared" si="134"/>
        <v>678.77048801761168</v>
      </c>
      <c r="AC253">
        <f t="shared" si="135"/>
        <v>719.38923038590929</v>
      </c>
      <c r="AD253">
        <f t="shared" si="111"/>
        <v>-246.34064144608175</v>
      </c>
      <c r="AE253">
        <f t="shared" si="112"/>
        <v>-284.77920651545224</v>
      </c>
      <c r="AF253">
        <f t="shared" si="113"/>
        <v>1.6744058195173646</v>
      </c>
      <c r="AG253" t="b">
        <f t="shared" si="121"/>
        <v>0</v>
      </c>
      <c r="AH253">
        <f t="shared" si="114"/>
        <v>25000</v>
      </c>
      <c r="AI253">
        <f t="shared" si="122"/>
        <v>4</v>
      </c>
      <c r="AJ253" cm="1">
        <f t="array" ref="AJ253:AO253">INDEX(surface!$A$2:$I$40,AI253+1,COLUMN(surface!$B$1:$G$1))</f>
        <v>0</v>
      </c>
      <c r="AK253">
        <v>1000</v>
      </c>
      <c r="AL253">
        <v>0</v>
      </c>
      <c r="AM253">
        <v>1</v>
      </c>
      <c r="AN253">
        <v>0</v>
      </c>
      <c r="AO253">
        <v>999</v>
      </c>
      <c r="AP253">
        <f t="shared" si="123"/>
        <v>178.77048801761168</v>
      </c>
      <c r="AQ253">
        <f t="shared" si="124"/>
        <v>719.38923038590929</v>
      </c>
      <c r="AR253">
        <f t="shared" si="125"/>
        <v>-869.3396231887225</v>
      </c>
      <c r="AS253">
        <f t="shared" si="115"/>
        <v>102.71688576354244</v>
      </c>
      <c r="AT253">
        <f t="shared" si="116"/>
        <v>0.19110317503474999</v>
      </c>
      <c r="AU253" t="b">
        <f t="shared" si="126"/>
        <v>1</v>
      </c>
      <c r="AV253">
        <f t="shared" si="117"/>
        <v>102.71688576354244</v>
      </c>
    </row>
    <row r="254" spans="1:48" x14ac:dyDescent="0.25">
      <c r="A254">
        <f t="shared" si="128"/>
        <v>25.200000000000088</v>
      </c>
      <c r="B254">
        <f t="shared" si="118"/>
        <v>0.1</v>
      </c>
      <c r="C254">
        <f>sim!C253+(sim!$G253*$B254*COS($E254))</f>
        <v>99.073336530072666</v>
      </c>
      <c r="D254">
        <f>sim!D253+(sim!$G253*$B254*SIN($E254))</f>
        <v>854.67015596976069</v>
      </c>
      <c r="E254">
        <f t="shared" si="129"/>
        <v>-6737.0466857398205</v>
      </c>
      <c r="F254">
        <f t="shared" si="104"/>
        <v>102.37323821247634</v>
      </c>
      <c r="G254">
        <v>100</v>
      </c>
      <c r="H254">
        <f t="shared" si="130"/>
        <v>-0.20710410370928431</v>
      </c>
      <c r="I254">
        <f t="shared" si="105"/>
        <v>-11.866191062381688</v>
      </c>
      <c r="J254">
        <f t="shared" si="119"/>
        <v>0</v>
      </c>
      <c r="K254">
        <f t="shared" si="120"/>
        <v>0</v>
      </c>
      <c r="L254">
        <f t="shared" si="106"/>
        <v>0</v>
      </c>
      <c r="M254">
        <f t="shared" si="131"/>
        <v>-11.866191062381688</v>
      </c>
      <c r="N254">
        <f t="shared" si="107"/>
        <v>90.256883599994779</v>
      </c>
      <c r="O254">
        <f t="shared" si="108"/>
        <v>849.95102917217184</v>
      </c>
      <c r="P254">
        <f t="shared" si="132"/>
        <v>2.0923542992159838</v>
      </c>
      <c r="Q254">
        <f t="shared" si="133"/>
        <v>802.75976119628342</v>
      </c>
      <c r="R254">
        <f t="shared" si="109"/>
        <v>-0.47191267975888468</v>
      </c>
      <c r="S254">
        <f t="shared" si="110"/>
        <v>-0.88164529300778793</v>
      </c>
      <c r="U254">
        <f t="shared" si="127"/>
        <v>3</v>
      </c>
      <c r="V254" cm="1">
        <f t="array" ref="V254:AA254">INDEX(surface!$A$2:$I$40,U254+1,COLUMN(surface!$B$1:$G$1))</f>
        <v>-500</v>
      </c>
      <c r="W254">
        <v>1000</v>
      </c>
      <c r="X254">
        <v>0</v>
      </c>
      <c r="Y254">
        <v>1000</v>
      </c>
      <c r="Z254">
        <v>-500</v>
      </c>
      <c r="AA254">
        <v>0</v>
      </c>
      <c r="AB254">
        <f t="shared" si="134"/>
        <v>680.51376719998962</v>
      </c>
      <c r="AC254">
        <f t="shared" si="135"/>
        <v>699.90205834434369</v>
      </c>
      <c r="AD254">
        <f t="shared" si="111"/>
        <v>-235.95633987944234</v>
      </c>
      <c r="AE254">
        <f t="shared" si="112"/>
        <v>-317.95918453492919</v>
      </c>
      <c r="AF254">
        <f t="shared" si="113"/>
        <v>1.7411682040276195</v>
      </c>
      <c r="AG254" t="b">
        <f t="shared" si="121"/>
        <v>0</v>
      </c>
      <c r="AH254">
        <f t="shared" si="114"/>
        <v>25000</v>
      </c>
      <c r="AI254">
        <f t="shared" si="122"/>
        <v>4</v>
      </c>
      <c r="AJ254" cm="1">
        <f t="array" ref="AJ254:AO254">INDEX(surface!$A$2:$I$40,AI254+1,COLUMN(surface!$B$1:$G$1))</f>
        <v>0</v>
      </c>
      <c r="AK254">
        <v>1000</v>
      </c>
      <c r="AL254">
        <v>0</v>
      </c>
      <c r="AM254">
        <v>1</v>
      </c>
      <c r="AN254">
        <v>0</v>
      </c>
      <c r="AO254">
        <v>999</v>
      </c>
      <c r="AP254">
        <f t="shared" si="123"/>
        <v>180.51376719998956</v>
      </c>
      <c r="AQ254">
        <f t="shared" si="124"/>
        <v>699.90205834434369</v>
      </c>
      <c r="AR254">
        <f t="shared" si="125"/>
        <v>-880.76364771478018</v>
      </c>
      <c r="AS254">
        <f t="shared" si="115"/>
        <v>102.37323821247634</v>
      </c>
      <c r="AT254">
        <f t="shared" si="116"/>
        <v>0.19855875876703954</v>
      </c>
      <c r="AU254" t="b">
        <f t="shared" si="126"/>
        <v>1</v>
      </c>
      <c r="AV254">
        <f t="shared" si="117"/>
        <v>102.37323821247634</v>
      </c>
    </row>
    <row r="255" spans="1:48" x14ac:dyDescent="0.25">
      <c r="A255">
        <f t="shared" si="128"/>
        <v>25.30000000000009</v>
      </c>
      <c r="B255">
        <f t="shared" si="118"/>
        <v>0.1</v>
      </c>
      <c r="C255">
        <f>sim!C254+(sim!$G254*$B255*COS($E255))</f>
        <v>99.853039076672459</v>
      </c>
      <c r="D255">
        <f>sim!D254+(sim!$G254*$B255*SIN($E255))</f>
        <v>844.70059911206511</v>
      </c>
      <c r="E255">
        <f t="shared" si="129"/>
        <v>-6737.0673961501916</v>
      </c>
      <c r="F255">
        <f t="shared" si="104"/>
        <v>102.03970687002629</v>
      </c>
      <c r="G255">
        <v>100</v>
      </c>
      <c r="H255">
        <f t="shared" si="130"/>
        <v>-0.17799800328753429</v>
      </c>
      <c r="I255">
        <f t="shared" si="105"/>
        <v>-10.198534350131467</v>
      </c>
      <c r="J255">
        <f t="shared" si="119"/>
        <v>0</v>
      </c>
      <c r="K255">
        <f t="shared" si="120"/>
        <v>0</v>
      </c>
      <c r="L255">
        <f t="shared" si="106"/>
        <v>0</v>
      </c>
      <c r="M255">
        <f t="shared" si="131"/>
        <v>-10.198534350131467</v>
      </c>
      <c r="N255">
        <f t="shared" si="107"/>
        <v>90.940748794397024</v>
      </c>
      <c r="O255">
        <f t="shared" si="108"/>
        <v>840.16506365035184</v>
      </c>
      <c r="P255">
        <f t="shared" si="132"/>
        <v>1.8178459716425834</v>
      </c>
      <c r="Q255">
        <f t="shared" si="133"/>
        <v>794.80970903321906</v>
      </c>
      <c r="R255">
        <f t="shared" si="109"/>
        <v>-0.45355354617132793</v>
      </c>
      <c r="S255">
        <f t="shared" si="110"/>
        <v>-0.89122902822754435</v>
      </c>
      <c r="U255">
        <f t="shared" si="127"/>
        <v>3</v>
      </c>
      <c r="V255" cm="1">
        <f t="array" ref="V255:AA255">INDEX(surface!$A$2:$I$40,U255+1,COLUMN(surface!$B$1:$G$1))</f>
        <v>-500</v>
      </c>
      <c r="W255">
        <v>1000</v>
      </c>
      <c r="X255">
        <v>0</v>
      </c>
      <c r="Y255">
        <v>1000</v>
      </c>
      <c r="Z255">
        <v>-500</v>
      </c>
      <c r="AA255">
        <v>0</v>
      </c>
      <c r="AB255">
        <f t="shared" si="134"/>
        <v>681.88149758879399</v>
      </c>
      <c r="AC255">
        <f t="shared" si="135"/>
        <v>680.33012730070368</v>
      </c>
      <c r="AD255">
        <f t="shared" si="111"/>
        <v>-226.77677308566396</v>
      </c>
      <c r="AE255">
        <f t="shared" si="112"/>
        <v>-352.40587952380645</v>
      </c>
      <c r="AF255">
        <f t="shared" si="113"/>
        <v>1.810030196688144</v>
      </c>
      <c r="AG255" t="b">
        <f t="shared" si="121"/>
        <v>0</v>
      </c>
      <c r="AH255">
        <f t="shared" si="114"/>
        <v>25000</v>
      </c>
      <c r="AI255">
        <f t="shared" si="122"/>
        <v>4</v>
      </c>
      <c r="AJ255" cm="1">
        <f t="array" ref="AJ255:AO255">INDEX(surface!$A$2:$I$40,AI255+1,COLUMN(surface!$B$1:$G$1))</f>
        <v>0</v>
      </c>
      <c r="AK255">
        <v>1000</v>
      </c>
      <c r="AL255">
        <v>0</v>
      </c>
      <c r="AM255">
        <v>1</v>
      </c>
      <c r="AN255">
        <v>0</v>
      </c>
      <c r="AO255">
        <v>999</v>
      </c>
      <c r="AP255">
        <f t="shared" si="123"/>
        <v>181.88149758879405</v>
      </c>
      <c r="AQ255">
        <f t="shared" si="124"/>
        <v>680.33012730070368</v>
      </c>
      <c r="AR255">
        <f t="shared" si="125"/>
        <v>-890.33779919931681</v>
      </c>
      <c r="AS255">
        <f t="shared" si="115"/>
        <v>102.03970687002629</v>
      </c>
      <c r="AT255">
        <f t="shared" si="116"/>
        <v>0.20632172897981121</v>
      </c>
      <c r="AU255" t="b">
        <f t="shared" si="126"/>
        <v>1</v>
      </c>
      <c r="AV255">
        <f t="shared" si="117"/>
        <v>102.03970687002629</v>
      </c>
    </row>
    <row r="256" spans="1:48" x14ac:dyDescent="0.25">
      <c r="A256">
        <f t="shared" si="128"/>
        <v>25.400000000000091</v>
      </c>
      <c r="B256">
        <f t="shared" si="118"/>
        <v>0.1</v>
      </c>
      <c r="C256">
        <f>sim!C255+(sim!$G255*$B256*COS($E256))</f>
        <v>100.45517135789756</v>
      </c>
      <c r="D256">
        <f>sim!D255+(sim!$G255*$B256*SIN($E256))</f>
        <v>834.7187437376416</v>
      </c>
      <c r="E256">
        <f t="shared" si="129"/>
        <v>-6737.0851959505208</v>
      </c>
      <c r="F256">
        <f t="shared" si="104"/>
        <v>101.72105769598953</v>
      </c>
      <c r="G256">
        <v>100</v>
      </c>
      <c r="H256">
        <f t="shared" si="130"/>
        <v>-0.15019061705902445</v>
      </c>
      <c r="I256">
        <f t="shared" si="105"/>
        <v>-8.6052884799476459</v>
      </c>
      <c r="J256">
        <f t="shared" si="119"/>
        <v>0</v>
      </c>
      <c r="K256">
        <f t="shared" si="120"/>
        <v>0</v>
      </c>
      <c r="L256">
        <f t="shared" si="106"/>
        <v>0</v>
      </c>
      <c r="M256">
        <f t="shared" si="131"/>
        <v>-8.6052884799476459</v>
      </c>
      <c r="N256">
        <f t="shared" si="107"/>
        <v>91.463565529097423</v>
      </c>
      <c r="O256">
        <f t="shared" si="108"/>
        <v>830.34255537109618</v>
      </c>
      <c r="P256">
        <f t="shared" si="132"/>
        <v>1.5475072410960848</v>
      </c>
      <c r="Q256">
        <f t="shared" si="133"/>
        <v>786.58067170564198</v>
      </c>
      <c r="R256">
        <f t="shared" si="109"/>
        <v>-0.43761883665454188</v>
      </c>
      <c r="S256">
        <f t="shared" si="110"/>
        <v>-0.89916058288001333</v>
      </c>
      <c r="U256">
        <f t="shared" si="127"/>
        <v>3</v>
      </c>
      <c r="V256" cm="1">
        <f t="array" ref="V256:AA256">INDEX(surface!$A$2:$I$40,U256+1,COLUMN(surface!$B$1:$G$1))</f>
        <v>-500</v>
      </c>
      <c r="W256">
        <v>1000</v>
      </c>
      <c r="X256">
        <v>0</v>
      </c>
      <c r="Y256">
        <v>1000</v>
      </c>
      <c r="Z256">
        <v>-500</v>
      </c>
      <c r="AA256">
        <v>0</v>
      </c>
      <c r="AB256">
        <f t="shared" si="134"/>
        <v>682.92713105819485</v>
      </c>
      <c r="AC256">
        <f t="shared" si="135"/>
        <v>660.68511074219236</v>
      </c>
      <c r="AD256">
        <f t="shared" si="111"/>
        <v>-218.80941832727095</v>
      </c>
      <c r="AE256">
        <f t="shared" si="112"/>
        <v>-387.68313979782386</v>
      </c>
      <c r="AF256">
        <f t="shared" si="113"/>
        <v>1.8801059269649247</v>
      </c>
      <c r="AG256" t="b">
        <f t="shared" si="121"/>
        <v>0</v>
      </c>
      <c r="AH256">
        <f t="shared" si="114"/>
        <v>25000</v>
      </c>
      <c r="AI256">
        <f t="shared" si="122"/>
        <v>4</v>
      </c>
      <c r="AJ256" cm="1">
        <f t="array" ref="AJ256:AO256">INDEX(surface!$A$2:$I$40,AI256+1,COLUMN(surface!$B$1:$G$1))</f>
        <v>0</v>
      </c>
      <c r="AK256">
        <v>1000</v>
      </c>
      <c r="AL256">
        <v>0</v>
      </c>
      <c r="AM256">
        <v>1</v>
      </c>
      <c r="AN256">
        <v>0</v>
      </c>
      <c r="AO256">
        <v>999</v>
      </c>
      <c r="AP256">
        <f t="shared" si="123"/>
        <v>182.92713105819485</v>
      </c>
      <c r="AQ256">
        <f t="shared" si="124"/>
        <v>660.68511074219236</v>
      </c>
      <c r="AR256">
        <f t="shared" si="125"/>
        <v>-898.26142229713332</v>
      </c>
      <c r="AS256">
        <f t="shared" si="115"/>
        <v>101.72105769598953</v>
      </c>
      <c r="AT256">
        <f t="shared" si="116"/>
        <v>0.21438688244353582</v>
      </c>
      <c r="AU256" t="b">
        <f t="shared" si="126"/>
        <v>1</v>
      </c>
      <c r="AV256">
        <f t="shared" si="117"/>
        <v>101.72105769598953</v>
      </c>
    </row>
    <row r="257" spans="1:48" x14ac:dyDescent="0.25">
      <c r="A257">
        <f t="shared" si="128"/>
        <v>25.500000000000092</v>
      </c>
      <c r="B257">
        <f t="shared" si="118"/>
        <v>0.1</v>
      </c>
      <c r="C257">
        <f>sim!C256+(sim!$G256*$B257*COS($E257))</f>
        <v>100.90732326259744</v>
      </c>
      <c r="D257">
        <f>sim!D256+(sim!$G256*$B257*SIN($E257))</f>
        <v>824.72897103476816</v>
      </c>
      <c r="E257">
        <f t="shared" si="129"/>
        <v>-6737.1002150122267</v>
      </c>
      <c r="F257">
        <f t="shared" si="104"/>
        <v>101.42204945725317</v>
      </c>
      <c r="G257">
        <v>100</v>
      </c>
      <c r="H257">
        <f t="shared" si="130"/>
        <v>-0.12409722577633056</v>
      </c>
      <c r="I257">
        <f t="shared" si="105"/>
        <v>-7.1102472862658317</v>
      </c>
      <c r="J257">
        <f t="shared" si="119"/>
        <v>0</v>
      </c>
      <c r="K257">
        <f t="shared" si="120"/>
        <v>0</v>
      </c>
      <c r="L257">
        <f t="shared" si="106"/>
        <v>0</v>
      </c>
      <c r="M257">
        <f t="shared" si="131"/>
        <v>-7.1102472862658317</v>
      </c>
      <c r="N257">
        <f t="shared" si="107"/>
        <v>91.851007770814078</v>
      </c>
      <c r="O257">
        <f t="shared" si="108"/>
        <v>820.48831663794635</v>
      </c>
      <c r="P257">
        <f t="shared" si="132"/>
        <v>1.287852852980393</v>
      </c>
      <c r="Q257">
        <f t="shared" si="133"/>
        <v>778.0817726697278</v>
      </c>
      <c r="R257">
        <f t="shared" si="109"/>
        <v>-0.42406543968218591</v>
      </c>
      <c r="S257">
        <f t="shared" si="110"/>
        <v>-0.90563154917833688</v>
      </c>
      <c r="U257">
        <f t="shared" si="127"/>
        <v>3</v>
      </c>
      <c r="V257" cm="1">
        <f t="array" ref="V257:AA257">INDEX(surface!$A$2:$I$40,U257+1,COLUMN(surface!$B$1:$G$1))</f>
        <v>-500</v>
      </c>
      <c r="W257">
        <v>1000</v>
      </c>
      <c r="X257">
        <v>0</v>
      </c>
      <c r="Y257">
        <v>1000</v>
      </c>
      <c r="Z257">
        <v>-500</v>
      </c>
      <c r="AA257">
        <v>0</v>
      </c>
      <c r="AB257">
        <f t="shared" si="134"/>
        <v>683.70201554162816</v>
      </c>
      <c r="AC257">
        <f t="shared" si="135"/>
        <v>640.97663327589271</v>
      </c>
      <c r="AD257">
        <f t="shared" si="111"/>
        <v>-212.03271984109296</v>
      </c>
      <c r="AE257">
        <f t="shared" si="112"/>
        <v>-423.31127831729918</v>
      </c>
      <c r="AF257">
        <f t="shared" si="113"/>
        <v>1.9504301130759438</v>
      </c>
      <c r="AG257" t="b">
        <f t="shared" si="121"/>
        <v>0</v>
      </c>
      <c r="AH257">
        <f t="shared" si="114"/>
        <v>25000</v>
      </c>
      <c r="AI257">
        <f t="shared" si="122"/>
        <v>4</v>
      </c>
      <c r="AJ257" cm="1">
        <f t="array" ref="AJ257:AO257">INDEX(surface!$A$2:$I$40,AI257+1,COLUMN(surface!$B$1:$G$1))</f>
        <v>0</v>
      </c>
      <c r="AK257">
        <v>1000</v>
      </c>
      <c r="AL257">
        <v>0</v>
      </c>
      <c r="AM257">
        <v>1</v>
      </c>
      <c r="AN257">
        <v>0</v>
      </c>
      <c r="AO257">
        <v>999</v>
      </c>
      <c r="AP257">
        <f t="shared" si="123"/>
        <v>183.70201554162816</v>
      </c>
      <c r="AQ257">
        <f t="shared" si="124"/>
        <v>640.97663327589271</v>
      </c>
      <c r="AR257">
        <f t="shared" si="125"/>
        <v>-904.72591762915852</v>
      </c>
      <c r="AS257">
        <f t="shared" si="115"/>
        <v>101.42204945725317</v>
      </c>
      <c r="AT257">
        <f t="shared" si="116"/>
        <v>0.2227440133719841</v>
      </c>
      <c r="AU257" t="b">
        <f t="shared" si="126"/>
        <v>1</v>
      </c>
      <c r="AV257">
        <f t="shared" si="117"/>
        <v>101.42204945725317</v>
      </c>
    </row>
    <row r="258" spans="1:48" x14ac:dyDescent="0.25">
      <c r="A258">
        <f t="shared" si="128"/>
        <v>25.600000000000094</v>
      </c>
      <c r="B258">
        <f t="shared" si="118"/>
        <v>0.1</v>
      </c>
      <c r="C258">
        <f>sim!C257+(sim!$G257*$B258*COS($E258))</f>
        <v>101.235473225818</v>
      </c>
      <c r="D258">
        <f>sim!D257+(sim!$G257*$B258*SIN($E258))</f>
        <v>814.73435660490452</v>
      </c>
      <c r="E258">
        <f t="shared" si="129"/>
        <v>-6737.1126247348047</v>
      </c>
      <c r="F258">
        <f t="shared" ref="F258:F321" si="136">MIN(AH258,AV258)</f>
        <v>101.1471033895245</v>
      </c>
      <c r="G258">
        <v>100</v>
      </c>
      <c r="H258">
        <f t="shared" si="130"/>
        <v>-0.10010365503994803</v>
      </c>
      <c r="I258">
        <f t="shared" ref="I258:I321" si="137">(Ksoll-F258)*Kp</f>
        <v>-5.7355169476225143</v>
      </c>
      <c r="J258">
        <f t="shared" si="119"/>
        <v>0</v>
      </c>
      <c r="K258">
        <f t="shared" si="120"/>
        <v>0</v>
      </c>
      <c r="L258">
        <f t="shared" ref="L258:L321" si="138">IF(Dcap&lt;&gt;-1,MAX(MIN(K258,Dcap),-Dcap),K258)</f>
        <v>0</v>
      </c>
      <c r="M258">
        <f t="shared" si="131"/>
        <v>-5.7355169476225143</v>
      </c>
      <c r="N258">
        <f t="shared" ref="N258:N321" si="139">C258+usFrontD*S258</f>
        <v>92.127231072981175</v>
      </c>
      <c r="O258">
        <f t="shared" ref="O258:O321" si="140">D258+usFrontD*R258</f>
        <v>810.60641221510389</v>
      </c>
      <c r="P258">
        <f t="shared" si="132"/>
        <v>1.0448095446129173</v>
      </c>
      <c r="Q258">
        <f t="shared" si="133"/>
        <v>769.32696831709768</v>
      </c>
      <c r="R258">
        <f t="shared" ref="R258:R321" si="141">SIN(E258+usrot)</f>
        <v>-0.41279443898006157</v>
      </c>
      <c r="S258">
        <f t="shared" ref="S258:S321" si="142">COS(E258+usrot)</f>
        <v>-0.91082421528368263</v>
      </c>
      <c r="U258">
        <f t="shared" si="127"/>
        <v>3</v>
      </c>
      <c r="V258" cm="1">
        <f t="array" ref="V258:AA258">INDEX(surface!$A$2:$I$40,U258+1,COLUMN(surface!$B$1:$G$1))</f>
        <v>-500</v>
      </c>
      <c r="W258">
        <v>1000</v>
      </c>
      <c r="X258">
        <v>0</v>
      </c>
      <c r="Y258">
        <v>1000</v>
      </c>
      <c r="Z258">
        <v>-500</v>
      </c>
      <c r="AA258">
        <v>0</v>
      </c>
      <c r="AB258">
        <f t="shared" si="134"/>
        <v>684.25446214596241</v>
      </c>
      <c r="AC258">
        <f t="shared" si="135"/>
        <v>621.21282443020777</v>
      </c>
      <c r="AD258">
        <f t="shared" ref="AD258:AD321" si="143">AA258*$S258-Z258*$R258</f>
        <v>-206.39721949003078</v>
      </c>
      <c r="AE258">
        <f t="shared" ref="AE258:AE321" si="144">((($N258 - AB258) * AA258) - (($O258 - AC258) * Z258)) / AD258</f>
        <v>-458.80847681197577</v>
      </c>
      <c r="AF258">
        <f t="shared" ref="AF258:AF321" si="145">((AB258 - $N258) * $R258 - (AC258 - $O258) * $S258) / AD258</f>
        <v>2.0200422038615016</v>
      </c>
      <c r="AG258" t="b">
        <f t="shared" si="121"/>
        <v>0</v>
      </c>
      <c r="AH258">
        <f t="shared" ref="AH258:AH321" si="146">IF(AG258,AE258,usNoTarget)</f>
        <v>25000</v>
      </c>
      <c r="AI258">
        <f t="shared" si="122"/>
        <v>4</v>
      </c>
      <c r="AJ258" cm="1">
        <f t="array" ref="AJ258:AO258">INDEX(surface!$A$2:$I$40,AI258+1,COLUMN(surface!$B$1:$G$1))</f>
        <v>0</v>
      </c>
      <c r="AK258">
        <v>1000</v>
      </c>
      <c r="AL258">
        <v>0</v>
      </c>
      <c r="AM258">
        <v>1</v>
      </c>
      <c r="AN258">
        <v>0</v>
      </c>
      <c r="AO258">
        <v>999</v>
      </c>
      <c r="AP258">
        <f t="shared" si="123"/>
        <v>184.25446214596235</v>
      </c>
      <c r="AQ258">
        <f t="shared" si="124"/>
        <v>621.21282443020777</v>
      </c>
      <c r="AR258">
        <f t="shared" si="125"/>
        <v>-909.91339106839894</v>
      </c>
      <c r="AS258">
        <f t="shared" ref="AS258:AS321" si="147">((($N258 - AP258) * AO258) - (($O258 - AQ258) * AN258)) / AR258</f>
        <v>101.1471033895245</v>
      </c>
      <c r="AT258">
        <f t="shared" ref="AT258:AT321" si="148">((AP258 - $N258) * $R258 - (AQ258 - $O258) * $S258) / AR258</f>
        <v>0.2313779275105437</v>
      </c>
      <c r="AU258" t="b">
        <f t="shared" si="126"/>
        <v>1</v>
      </c>
      <c r="AV258">
        <f t="shared" ref="AV258:AV321" si="149">IF(AU258,AS258,usNoTarget)</f>
        <v>101.1471033895245</v>
      </c>
    </row>
    <row r="259" spans="1:48" x14ac:dyDescent="0.25">
      <c r="A259">
        <f t="shared" si="128"/>
        <v>25.700000000000095</v>
      </c>
      <c r="B259">
        <f t="shared" ref="B259:B322" si="150">DT</f>
        <v>0.1</v>
      </c>
      <c r="C259">
        <f>sim!C258+(sim!$G258*$B259*COS($E259))</f>
        <v>101.46355867507663</v>
      </c>
      <c r="D259">
        <f>sim!D258+(sim!$G258*$B259*SIN($E259))</f>
        <v>804.7369580918994</v>
      </c>
      <c r="E259">
        <f t="shared" si="129"/>
        <v>-6737.1226351003088</v>
      </c>
      <c r="F259">
        <f t="shared" si="136"/>
        <v>100.89995437050442</v>
      </c>
      <c r="G259">
        <v>100</v>
      </c>
      <c r="H259">
        <f t="shared" si="130"/>
        <v>-7.853583441507514E-2</v>
      </c>
      <c r="I259">
        <f t="shared" si="137"/>
        <v>-4.4997718525220876</v>
      </c>
      <c r="J259">
        <f t="shared" ref="J259:J322" si="151">J258+(Ksoll-F258)*B259*Ki</f>
        <v>0</v>
      </c>
      <c r="K259">
        <f t="shared" ref="K259:K322" si="152">((Ksoll-F259)-(Ksoll-F258))/B259*Kd</f>
        <v>0</v>
      </c>
      <c r="L259">
        <f t="shared" si="138"/>
        <v>0</v>
      </c>
      <c r="M259">
        <f t="shared" si="131"/>
        <v>-4.4997718525220876</v>
      </c>
      <c r="N259">
        <f t="shared" si="139"/>
        <v>92.314451333147687</v>
      </c>
      <c r="O259">
        <f t="shared" si="140"/>
        <v>800.70039583598634</v>
      </c>
      <c r="P259">
        <f t="shared" si="132"/>
        <v>0.82337791385829462</v>
      </c>
      <c r="Q259">
        <f t="shared" si="133"/>
        <v>760.33477327685569</v>
      </c>
      <c r="R259">
        <f t="shared" si="141"/>
        <v>-0.40365622559130665</v>
      </c>
      <c r="S259">
        <f t="shared" si="142"/>
        <v>-0.91491073419289393</v>
      </c>
      <c r="U259">
        <f t="shared" si="127"/>
        <v>3</v>
      </c>
      <c r="V259" cm="1">
        <f t="array" ref="V259:AA259">INDEX(surface!$A$2:$I$40,U259+1,COLUMN(surface!$B$1:$G$1))</f>
        <v>-500</v>
      </c>
      <c r="W259">
        <v>1000</v>
      </c>
      <c r="X259">
        <v>0</v>
      </c>
      <c r="Y259">
        <v>1000</v>
      </c>
      <c r="Z259">
        <v>-500</v>
      </c>
      <c r="AA259">
        <v>0</v>
      </c>
      <c r="AB259">
        <f t="shared" si="134"/>
        <v>684.6289026662954</v>
      </c>
      <c r="AC259">
        <f t="shared" si="135"/>
        <v>601.40079167197268</v>
      </c>
      <c r="AD259">
        <f t="shared" si="143"/>
        <v>-201.82811279565331</v>
      </c>
      <c r="AE259">
        <f t="shared" si="144"/>
        <v>-493.73598505030935</v>
      </c>
      <c r="AF259">
        <f t="shared" si="145"/>
        <v>2.088077607825956</v>
      </c>
      <c r="AG259" t="b">
        <f t="shared" ref="AG259:AG322" si="153">IF(NOT(OR(ISERROR(AE259),ISERROR(AF259))),IF(AND(AF259&gt;=0,AF259&lt;=1,AE259&gt;=0),TRUE,FALSE),FALSE)</f>
        <v>0</v>
      </c>
      <c r="AH259">
        <f t="shared" si="146"/>
        <v>25000</v>
      </c>
      <c r="AI259">
        <f t="shared" ref="AI259:AI322" si="154">U259+1</f>
        <v>4</v>
      </c>
      <c r="AJ259" cm="1">
        <f t="array" ref="AJ259:AO259">INDEX(surface!$A$2:$I$40,AI259+1,COLUMN(surface!$B$1:$G$1))</f>
        <v>0</v>
      </c>
      <c r="AK259">
        <v>1000</v>
      </c>
      <c r="AL259">
        <v>0</v>
      </c>
      <c r="AM259">
        <v>1</v>
      </c>
      <c r="AN259">
        <v>0</v>
      </c>
      <c r="AO259">
        <v>999</v>
      </c>
      <c r="AP259">
        <f t="shared" ref="AP259:AP322" si="155">2*$N259-AJ259</f>
        <v>184.62890266629537</v>
      </c>
      <c r="AQ259">
        <f t="shared" ref="AQ259:AQ322" si="156">2*$O259-AK259</f>
        <v>601.40079167197268</v>
      </c>
      <c r="AR259">
        <f t="shared" ref="AR259:AR322" si="157">AO259*$S259-AN259*$R259</f>
        <v>-913.99582345870101</v>
      </c>
      <c r="AS259">
        <f t="shared" si="147"/>
        <v>100.89995437050442</v>
      </c>
      <c r="AT259">
        <f t="shared" si="148"/>
        <v>0.24026876767522176</v>
      </c>
      <c r="AU259" t="b">
        <f t="shared" ref="AU259:AU322" si="158">IF(NOT(OR(ISERROR(AS259),ISERROR(AT259))),IF(AND(AT259&gt;=0,AT259&lt;=1,AS259&gt;=0),TRUE,FALSE),FALSE)</f>
        <v>1</v>
      </c>
      <c r="AV259">
        <f t="shared" si="149"/>
        <v>100.89995437050442</v>
      </c>
    </row>
    <row r="260" spans="1:48" x14ac:dyDescent="0.25">
      <c r="A260">
        <f t="shared" si="128"/>
        <v>25.800000000000097</v>
      </c>
      <c r="B260">
        <f t="shared" si="150"/>
        <v>0.1</v>
      </c>
      <c r="C260">
        <f>sim!C259+(sim!$G259*$B260*COS($E260))</f>
        <v>101.61312249405279</v>
      </c>
      <c r="D260">
        <f>sim!D259+(sim!$G259*$B260*SIN($E260))</f>
        <v>794.73807662125216</v>
      </c>
      <c r="E260">
        <f t="shared" si="129"/>
        <v>-6737.1304886837506</v>
      </c>
      <c r="F260">
        <f t="shared" si="136"/>
        <v>100.68332979628475</v>
      </c>
      <c r="G260">
        <v>100</v>
      </c>
      <c r="H260">
        <f t="shared" si="130"/>
        <v>-5.963177411075523E-2</v>
      </c>
      <c r="I260">
        <f t="shared" si="137"/>
        <v>-3.4166489814237622</v>
      </c>
      <c r="J260">
        <f t="shared" si="151"/>
        <v>0</v>
      </c>
      <c r="K260">
        <f t="shared" si="152"/>
        <v>0</v>
      </c>
      <c r="L260">
        <f t="shared" si="138"/>
        <v>0</v>
      </c>
      <c r="M260">
        <f t="shared" si="131"/>
        <v>-3.4166489814237622</v>
      </c>
      <c r="N260">
        <f t="shared" si="139"/>
        <v>92.432596150919267</v>
      </c>
      <c r="O260">
        <f t="shared" si="140"/>
        <v>790.77349138909597</v>
      </c>
      <c r="P260">
        <f t="shared" si="132"/>
        <v>0.62733271958401815</v>
      </c>
      <c r="Q260">
        <f t="shared" si="133"/>
        <v>751.12763906753355</v>
      </c>
      <c r="R260">
        <f t="shared" si="141"/>
        <v>-0.39645852321562458</v>
      </c>
      <c r="S260">
        <f t="shared" si="142"/>
        <v>-0.91805263431335249</v>
      </c>
      <c r="U260">
        <f t="shared" si="127"/>
        <v>3</v>
      </c>
      <c r="V260" cm="1">
        <f t="array" ref="V260:AA260">INDEX(surface!$A$2:$I$40,U260+1,COLUMN(surface!$B$1:$G$1))</f>
        <v>-500</v>
      </c>
      <c r="W260">
        <v>1000</v>
      </c>
      <c r="X260">
        <v>0</v>
      </c>
      <c r="Y260">
        <v>1000</v>
      </c>
      <c r="Z260">
        <v>-500</v>
      </c>
      <c r="AA260">
        <v>0</v>
      </c>
      <c r="AB260">
        <f t="shared" si="134"/>
        <v>684.86519230183853</v>
      </c>
      <c r="AC260">
        <f t="shared" si="135"/>
        <v>581.54698277819193</v>
      </c>
      <c r="AD260">
        <f t="shared" si="143"/>
        <v>-198.2292616078123</v>
      </c>
      <c r="AE260">
        <f t="shared" si="144"/>
        <v>-527.7387074791443</v>
      </c>
      <c r="AF260">
        <f t="shared" si="145"/>
        <v>2.1538490135625428</v>
      </c>
      <c r="AG260" t="b">
        <f t="shared" si="153"/>
        <v>0</v>
      </c>
      <c r="AH260">
        <f t="shared" si="146"/>
        <v>25000</v>
      </c>
      <c r="AI260">
        <f t="shared" si="154"/>
        <v>4</v>
      </c>
      <c r="AJ260" cm="1">
        <f t="array" ref="AJ260:AO260">INDEX(surface!$A$2:$I$40,AI260+1,COLUMN(surface!$B$1:$G$1))</f>
        <v>0</v>
      </c>
      <c r="AK260">
        <v>1000</v>
      </c>
      <c r="AL260">
        <v>0</v>
      </c>
      <c r="AM260">
        <v>1</v>
      </c>
      <c r="AN260">
        <v>0</v>
      </c>
      <c r="AO260">
        <v>999</v>
      </c>
      <c r="AP260">
        <f t="shared" si="155"/>
        <v>184.86519230183853</v>
      </c>
      <c r="AQ260">
        <f t="shared" si="156"/>
        <v>581.54698277819193</v>
      </c>
      <c r="AR260">
        <f t="shared" si="157"/>
        <v>-917.13458167903912</v>
      </c>
      <c r="AS260">
        <f t="shared" si="147"/>
        <v>100.68332979628475</v>
      </c>
      <c r="AT260">
        <f t="shared" si="148"/>
        <v>0.24939266551989067</v>
      </c>
      <c r="AU260" t="b">
        <f t="shared" si="158"/>
        <v>1</v>
      </c>
      <c r="AV260">
        <f t="shared" si="149"/>
        <v>100.68332979628475</v>
      </c>
    </row>
    <row r="261" spans="1:48" x14ac:dyDescent="0.25">
      <c r="A261">
        <f t="shared" si="128"/>
        <v>25.900000000000098</v>
      </c>
      <c r="B261">
        <f t="shared" si="150"/>
        <v>0.1</v>
      </c>
      <c r="C261">
        <f>sim!C260+(sim!$G260*$B261*COS($E261))</f>
        <v>101.70305890308096</v>
      </c>
      <c r="D261">
        <f>sim!D260+(sim!$G260*$B261*SIN($E261))</f>
        <v>784.73848105731406</v>
      </c>
      <c r="E261">
        <f t="shared" si="129"/>
        <v>-6737.1364518611617</v>
      </c>
      <c r="F261">
        <f t="shared" si="136"/>
        <v>100.49870617696607</v>
      </c>
      <c r="G261">
        <v>100</v>
      </c>
      <c r="H261">
        <f t="shared" si="130"/>
        <v>-4.3520323940456872E-2</v>
      </c>
      <c r="I261">
        <f t="shared" si="137"/>
        <v>-2.493530884830335</v>
      </c>
      <c r="J261">
        <f t="shared" si="151"/>
        <v>0</v>
      </c>
      <c r="K261">
        <f t="shared" si="152"/>
        <v>0</v>
      </c>
      <c r="L261">
        <f t="shared" si="138"/>
        <v>0</v>
      </c>
      <c r="M261">
        <f t="shared" si="131"/>
        <v>-2.493530884830335</v>
      </c>
      <c r="N261">
        <f t="shared" si="139"/>
        <v>92.499054401869756</v>
      </c>
      <c r="O261">
        <f t="shared" si="140"/>
        <v>780.8287110971138</v>
      </c>
      <c r="P261">
        <f t="shared" si="132"/>
        <v>0.45900938975775318</v>
      </c>
      <c r="Q261">
        <f t="shared" si="133"/>
        <v>741.73101149511172</v>
      </c>
      <c r="R261">
        <f t="shared" si="141"/>
        <v>-0.39097699602002101</v>
      </c>
      <c r="S261">
        <f t="shared" si="142"/>
        <v>-0.92040045012112004</v>
      </c>
      <c r="U261">
        <f t="shared" ref="U261:U324" si="159">IF(((AJ260-C260)^2+(AK260-D260)^2)&gt;((AL260-C260)^2+(AM260-D260)^2),U260+1,U260)</f>
        <v>3</v>
      </c>
      <c r="V261" cm="1">
        <f t="array" ref="V261:AA261">INDEX(surface!$A$2:$I$40,U261+1,COLUMN(surface!$B$1:$G$1))</f>
        <v>-500</v>
      </c>
      <c r="W261">
        <v>1000</v>
      </c>
      <c r="X261">
        <v>0</v>
      </c>
      <c r="Y261">
        <v>1000</v>
      </c>
      <c r="Z261">
        <v>-500</v>
      </c>
      <c r="AA261">
        <v>0</v>
      </c>
      <c r="AB261">
        <f t="shared" si="134"/>
        <v>684.99810880373957</v>
      </c>
      <c r="AC261">
        <f t="shared" si="135"/>
        <v>561.65742219422759</v>
      </c>
      <c r="AD261">
        <f t="shared" si="143"/>
        <v>-195.48849801001052</v>
      </c>
      <c r="AE261">
        <f t="shared" si="144"/>
        <v>-560.57336143547161</v>
      </c>
      <c r="AF261">
        <f t="shared" si="145"/>
        <v>2.2169020571859743</v>
      </c>
      <c r="AG261" t="b">
        <f t="shared" si="153"/>
        <v>0</v>
      </c>
      <c r="AH261">
        <f t="shared" si="146"/>
        <v>25000</v>
      </c>
      <c r="AI261">
        <f t="shared" si="154"/>
        <v>4</v>
      </c>
      <c r="AJ261" cm="1">
        <f t="array" ref="AJ261:AO261">INDEX(surface!$A$2:$I$40,AI261+1,COLUMN(surface!$B$1:$G$1))</f>
        <v>0</v>
      </c>
      <c r="AK261">
        <v>1000</v>
      </c>
      <c r="AL261">
        <v>0</v>
      </c>
      <c r="AM261">
        <v>1</v>
      </c>
      <c r="AN261">
        <v>0</v>
      </c>
      <c r="AO261">
        <v>999</v>
      </c>
      <c r="AP261">
        <f t="shared" si="155"/>
        <v>184.99810880373951</v>
      </c>
      <c r="AQ261">
        <f t="shared" si="156"/>
        <v>561.65742219422759</v>
      </c>
      <c r="AR261">
        <f t="shared" si="157"/>
        <v>-919.48004967099894</v>
      </c>
      <c r="AS261">
        <f t="shared" si="147"/>
        <v>100.49870617696607</v>
      </c>
      <c r="AT261">
        <f t="shared" si="148"/>
        <v>0.25872269384169683</v>
      </c>
      <c r="AU261" t="b">
        <f t="shared" si="158"/>
        <v>1</v>
      </c>
      <c r="AV261">
        <f t="shared" si="149"/>
        <v>100.49870617696607</v>
      </c>
    </row>
    <row r="262" spans="1:48" x14ac:dyDescent="0.25">
      <c r="A262">
        <f t="shared" si="128"/>
        <v>26.000000000000099</v>
      </c>
      <c r="B262">
        <f t="shared" si="150"/>
        <v>0.1</v>
      </c>
      <c r="C262">
        <f>sim!C261+(sim!$G261*$B262*COS($E262))</f>
        <v>101.74947603395489</v>
      </c>
      <c r="D262">
        <f>sim!D261+(sim!$G261*$B262*SIN($E262))</f>
        <v>774.73858878539625</v>
      </c>
      <c r="E262">
        <f t="shared" si="129"/>
        <v>-6737.140803893556</v>
      </c>
      <c r="F262">
        <f t="shared" si="136"/>
        <v>100.34618623638322</v>
      </c>
      <c r="G262">
        <v>100</v>
      </c>
      <c r="H262">
        <f t="shared" si="130"/>
        <v>-3.0210448249872721E-2</v>
      </c>
      <c r="I262">
        <f t="shared" si="137"/>
        <v>-1.7309311819160911</v>
      </c>
      <c r="J262">
        <f t="shared" si="151"/>
        <v>0</v>
      </c>
      <c r="K262">
        <f t="shared" si="152"/>
        <v>0</v>
      </c>
      <c r="L262">
        <f t="shared" si="138"/>
        <v>0</v>
      </c>
      <c r="M262">
        <f t="shared" si="131"/>
        <v>-1.7309311819160911</v>
      </c>
      <c r="N262">
        <f t="shared" si="139"/>
        <v>92.528543303576015</v>
      </c>
      <c r="O262">
        <f t="shared" si="140"/>
        <v>770.86891185032437</v>
      </c>
      <c r="P262">
        <f t="shared" si="132"/>
        <v>0.319215999787275</v>
      </c>
      <c r="Q262">
        <f t="shared" si="133"/>
        <v>732.17214249960512</v>
      </c>
      <c r="R262">
        <f t="shared" si="141"/>
        <v>-0.38696769350719207</v>
      </c>
      <c r="S262">
        <f t="shared" si="142"/>
        <v>-0.92209327303788735</v>
      </c>
      <c r="U262">
        <f t="shared" si="159"/>
        <v>3</v>
      </c>
      <c r="V262" cm="1">
        <f t="array" ref="V262:AA262">INDEX(surface!$A$2:$I$40,U262+1,COLUMN(surface!$B$1:$G$1))</f>
        <v>-500</v>
      </c>
      <c r="W262">
        <v>1000</v>
      </c>
      <c r="X262">
        <v>0</v>
      </c>
      <c r="Y262">
        <v>1000</v>
      </c>
      <c r="Z262">
        <v>-500</v>
      </c>
      <c r="AA262">
        <v>0</v>
      </c>
      <c r="AB262">
        <f t="shared" si="134"/>
        <v>685.05708660715209</v>
      </c>
      <c r="AC262">
        <f t="shared" si="135"/>
        <v>541.73782370064873</v>
      </c>
      <c r="AD262">
        <f t="shared" si="143"/>
        <v>-193.48384675359603</v>
      </c>
      <c r="AE262">
        <f t="shared" si="144"/>
        <v>-592.11942493958372</v>
      </c>
      <c r="AF262">
        <f t="shared" si="145"/>
        <v>2.2770357637508574</v>
      </c>
      <c r="AG262" t="b">
        <f t="shared" si="153"/>
        <v>0</v>
      </c>
      <c r="AH262">
        <f t="shared" si="146"/>
        <v>25000</v>
      </c>
      <c r="AI262">
        <f t="shared" si="154"/>
        <v>4</v>
      </c>
      <c r="AJ262" cm="1">
        <f t="array" ref="AJ262:AO262">INDEX(surface!$A$2:$I$40,AI262+1,COLUMN(surface!$B$1:$G$1))</f>
        <v>0</v>
      </c>
      <c r="AK262">
        <v>1000</v>
      </c>
      <c r="AL262">
        <v>0</v>
      </c>
      <c r="AM262">
        <v>1</v>
      </c>
      <c r="AN262">
        <v>0</v>
      </c>
      <c r="AO262">
        <v>999</v>
      </c>
      <c r="AP262">
        <f t="shared" si="155"/>
        <v>185.05708660715203</v>
      </c>
      <c r="AQ262">
        <f t="shared" si="156"/>
        <v>541.73782370064873</v>
      </c>
      <c r="AR262">
        <f t="shared" si="157"/>
        <v>-921.17117976484951</v>
      </c>
      <c r="AS262">
        <f t="shared" si="147"/>
        <v>100.34618623638322</v>
      </c>
      <c r="AT262">
        <f t="shared" si="148"/>
        <v>0.26823005044025222</v>
      </c>
      <c r="AU262" t="b">
        <f t="shared" si="158"/>
        <v>1</v>
      </c>
      <c r="AV262">
        <f t="shared" si="149"/>
        <v>100.34618623638322</v>
      </c>
    </row>
    <row r="263" spans="1:48" x14ac:dyDescent="0.25">
      <c r="A263">
        <f t="shared" si="128"/>
        <v>26.100000000000101</v>
      </c>
      <c r="B263">
        <f t="shared" si="150"/>
        <v>0.1</v>
      </c>
      <c r="C263">
        <f>sim!C262+(sim!$G262*$B263*COS($E263))</f>
        <v>101.76568287616672</v>
      </c>
      <c r="D263">
        <f>sim!D262+(sim!$G262*$B263*SIN($E263))</f>
        <v>764.73860191849155</v>
      </c>
      <c r="E263">
        <f t="shared" si="129"/>
        <v>-6737.1438249383809</v>
      </c>
      <c r="F263">
        <f t="shared" si="136"/>
        <v>100.22452091683083</v>
      </c>
      <c r="G263">
        <v>100</v>
      </c>
      <c r="H263">
        <f t="shared" si="130"/>
        <v>-1.9593146191471369E-2</v>
      </c>
      <c r="I263">
        <f t="shared" si="137"/>
        <v>-1.1226045841541321</v>
      </c>
      <c r="J263">
        <f t="shared" si="151"/>
        <v>0</v>
      </c>
      <c r="K263">
        <f t="shared" si="152"/>
        <v>0</v>
      </c>
      <c r="L263">
        <f t="shared" si="138"/>
        <v>0</v>
      </c>
      <c r="M263">
        <f t="shared" si="131"/>
        <v>-1.1226045841541321</v>
      </c>
      <c r="N263">
        <f t="shared" si="139"/>
        <v>92.533101774457663</v>
      </c>
      <c r="O263">
        <f t="shared" si="140"/>
        <v>760.89679945085152</v>
      </c>
      <c r="P263">
        <f t="shared" si="132"/>
        <v>0.20729075736706193</v>
      </c>
      <c r="Q263">
        <f t="shared" si="133"/>
        <v>722.47877477445161</v>
      </c>
      <c r="R263">
        <f t="shared" si="141"/>
        <v>-0.38418024676399909</v>
      </c>
      <c r="S263">
        <f t="shared" si="142"/>
        <v>-0.92325811017090598</v>
      </c>
      <c r="U263">
        <f t="shared" si="159"/>
        <v>3</v>
      </c>
      <c r="V263" cm="1">
        <f t="array" ref="V263:AA263">INDEX(surface!$A$2:$I$40,U263+1,COLUMN(surface!$B$1:$G$1))</f>
        <v>-500</v>
      </c>
      <c r="W263">
        <v>1000</v>
      </c>
      <c r="X263">
        <v>0</v>
      </c>
      <c r="Y263">
        <v>1000</v>
      </c>
      <c r="Z263">
        <v>-500</v>
      </c>
      <c r="AA263">
        <v>0</v>
      </c>
      <c r="AB263">
        <f t="shared" si="134"/>
        <v>685.06620354891538</v>
      </c>
      <c r="AC263">
        <f t="shared" si="135"/>
        <v>521.79359890170304</v>
      </c>
      <c r="AD263">
        <f t="shared" si="143"/>
        <v>-192.09012338199955</v>
      </c>
      <c r="AE263">
        <f t="shared" si="144"/>
        <v>-622.37244773292298</v>
      </c>
      <c r="AF263">
        <f t="shared" si="145"/>
        <v>2.3342870233815942</v>
      </c>
      <c r="AG263" t="b">
        <f t="shared" si="153"/>
        <v>0</v>
      </c>
      <c r="AH263">
        <f t="shared" si="146"/>
        <v>25000</v>
      </c>
      <c r="AI263">
        <f t="shared" si="154"/>
        <v>4</v>
      </c>
      <c r="AJ263" cm="1">
        <f t="array" ref="AJ263:AO263">INDEX(surface!$A$2:$I$40,AI263+1,COLUMN(surface!$B$1:$G$1))</f>
        <v>0</v>
      </c>
      <c r="AK263">
        <v>1000</v>
      </c>
      <c r="AL263">
        <v>0</v>
      </c>
      <c r="AM263">
        <v>1</v>
      </c>
      <c r="AN263">
        <v>0</v>
      </c>
      <c r="AO263">
        <v>999</v>
      </c>
      <c r="AP263">
        <f t="shared" si="155"/>
        <v>185.06620354891533</v>
      </c>
      <c r="AQ263">
        <f t="shared" si="156"/>
        <v>521.79359890170304</v>
      </c>
      <c r="AR263">
        <f t="shared" si="157"/>
        <v>-922.3348520607351</v>
      </c>
      <c r="AS263">
        <f t="shared" si="147"/>
        <v>100.22452091683083</v>
      </c>
      <c r="AT263">
        <f t="shared" si="148"/>
        <v>0.27788536709387401</v>
      </c>
      <c r="AU263" t="b">
        <f t="shared" si="158"/>
        <v>1</v>
      </c>
      <c r="AV263">
        <f t="shared" si="149"/>
        <v>100.22452091683083</v>
      </c>
    </row>
    <row r="264" spans="1:48" x14ac:dyDescent="0.25">
      <c r="A264">
        <f t="shared" si="128"/>
        <v>26.200000000000102</v>
      </c>
      <c r="B264">
        <f t="shared" si="150"/>
        <v>0.1</v>
      </c>
      <c r="C264">
        <f>sim!C263+(sim!$G263*$B264*COS($E264))</f>
        <v>101.7622965793487</v>
      </c>
      <c r="D264">
        <f>sim!D263+(sim!$G263*$B264*SIN($E264))</f>
        <v>754.7386024918419</v>
      </c>
      <c r="E264">
        <f t="shared" si="129"/>
        <v>-6737.1457842529999</v>
      </c>
      <c r="F264">
        <f t="shared" si="136"/>
        <v>100.13127485169464</v>
      </c>
      <c r="G264">
        <v>100</v>
      </c>
      <c r="H264">
        <f t="shared" si="130"/>
        <v>-1.1455891935693749E-2</v>
      </c>
      <c r="I264">
        <f t="shared" si="137"/>
        <v>-0.65637425847320685</v>
      </c>
      <c r="J264">
        <f t="shared" si="151"/>
        <v>0</v>
      </c>
      <c r="K264">
        <f t="shared" si="152"/>
        <v>0</v>
      </c>
      <c r="L264">
        <f t="shared" si="138"/>
        <v>0</v>
      </c>
      <c r="M264">
        <f t="shared" si="131"/>
        <v>-0.65637425847320685</v>
      </c>
      <c r="N264">
        <f t="shared" si="139"/>
        <v>92.522205904253525</v>
      </c>
      <c r="O264">
        <f t="shared" si="140"/>
        <v>750.91489691792287</v>
      </c>
      <c r="P264">
        <f t="shared" si="132"/>
        <v>0.12129915330180552</v>
      </c>
      <c r="Q264">
        <f t="shared" si="133"/>
        <v>712.67784117873282</v>
      </c>
      <c r="R264">
        <f t="shared" si="141"/>
        <v>-0.38237055739190029</v>
      </c>
      <c r="S264">
        <f t="shared" si="142"/>
        <v>-0.92400906750951717</v>
      </c>
      <c r="U264">
        <f t="shared" si="159"/>
        <v>3</v>
      </c>
      <c r="V264" cm="1">
        <f t="array" ref="V264:AA264">INDEX(surface!$A$2:$I$40,U264+1,COLUMN(surface!$B$1:$G$1))</f>
        <v>-500</v>
      </c>
      <c r="W264">
        <v>1000</v>
      </c>
      <c r="X264">
        <v>0</v>
      </c>
      <c r="Y264">
        <v>1000</v>
      </c>
      <c r="Z264">
        <v>-500</v>
      </c>
      <c r="AA264">
        <v>0</v>
      </c>
      <c r="AB264">
        <f t="shared" si="134"/>
        <v>685.04441180850699</v>
      </c>
      <c r="AC264">
        <f t="shared" si="135"/>
        <v>501.82979383584575</v>
      </c>
      <c r="AD264">
        <f t="shared" si="143"/>
        <v>-191.18527869595013</v>
      </c>
      <c r="AE264">
        <f t="shared" si="144"/>
        <v>-651.42333337863181</v>
      </c>
      <c r="AF264">
        <f t="shared" si="145"/>
        <v>2.3888865454667689</v>
      </c>
      <c r="AG264" t="b">
        <f t="shared" si="153"/>
        <v>0</v>
      </c>
      <c r="AH264">
        <f t="shared" si="146"/>
        <v>25000</v>
      </c>
      <c r="AI264">
        <f t="shared" si="154"/>
        <v>4</v>
      </c>
      <c r="AJ264" cm="1">
        <f t="array" ref="AJ264:AO264">INDEX(surface!$A$2:$I$40,AI264+1,COLUMN(surface!$B$1:$G$1))</f>
        <v>0</v>
      </c>
      <c r="AK264">
        <v>1000</v>
      </c>
      <c r="AL264">
        <v>0</v>
      </c>
      <c r="AM264">
        <v>1</v>
      </c>
      <c r="AN264">
        <v>0</v>
      </c>
      <c r="AO264">
        <v>999</v>
      </c>
      <c r="AP264">
        <f t="shared" si="155"/>
        <v>185.04441180850705</v>
      </c>
      <c r="AQ264">
        <f t="shared" si="156"/>
        <v>501.82979383584575</v>
      </c>
      <c r="AR264">
        <f t="shared" si="157"/>
        <v>-923.08505844200761</v>
      </c>
      <c r="AS264">
        <f t="shared" si="147"/>
        <v>100.13127485169464</v>
      </c>
      <c r="AT264">
        <f t="shared" si="148"/>
        <v>0.28766001447395517</v>
      </c>
      <c r="AU264" t="b">
        <f t="shared" si="158"/>
        <v>1</v>
      </c>
      <c r="AV264">
        <f t="shared" si="149"/>
        <v>100.13127485169464</v>
      </c>
    </row>
    <row r="265" spans="1:48" x14ac:dyDescent="0.25">
      <c r="A265">
        <f t="shared" si="128"/>
        <v>26.300000000000104</v>
      </c>
      <c r="B265">
        <f t="shared" si="150"/>
        <v>0.1</v>
      </c>
      <c r="C265">
        <f>sim!C264+(sim!$G264*$B265*COS($E265))</f>
        <v>101.74745439597945</v>
      </c>
      <c r="D265">
        <f>sim!D264+(sim!$G264*$B265*SIN($E265))</f>
        <v>744.73861350636832</v>
      </c>
      <c r="E265">
        <f t="shared" si="129"/>
        <v>-6737.1469298421935</v>
      </c>
      <c r="F265">
        <f t="shared" si="136"/>
        <v>100.06310729968671</v>
      </c>
      <c r="G265">
        <v>100</v>
      </c>
      <c r="H265">
        <f t="shared" si="130"/>
        <v>-5.5071508078790412E-3</v>
      </c>
      <c r="I265">
        <f t="shared" si="137"/>
        <v>-0.31553649843353071</v>
      </c>
      <c r="J265">
        <f t="shared" si="151"/>
        <v>0</v>
      </c>
      <c r="K265">
        <f t="shared" si="152"/>
        <v>0</v>
      </c>
      <c r="L265">
        <f t="shared" si="138"/>
        <v>0</v>
      </c>
      <c r="M265">
        <f t="shared" si="131"/>
        <v>-0.31553649843353071</v>
      </c>
      <c r="N265">
        <f t="shared" si="139"/>
        <v>92.502989389286952</v>
      </c>
      <c r="O265">
        <f t="shared" si="140"/>
        <v>740.92549578722594</v>
      </c>
      <c r="P265">
        <f t="shared" si="132"/>
        <v>5.8339322362058965E-2</v>
      </c>
      <c r="Q265">
        <f t="shared" si="133"/>
        <v>702.79431859580154</v>
      </c>
      <c r="R265">
        <f t="shared" si="141"/>
        <v>-0.38131177191424392</v>
      </c>
      <c r="S265">
        <f t="shared" si="142"/>
        <v>-0.92444650066924894</v>
      </c>
      <c r="U265">
        <f t="shared" si="159"/>
        <v>3</v>
      </c>
      <c r="V265" cm="1">
        <f t="array" ref="V265:AA265">INDEX(surface!$A$2:$I$40,U265+1,COLUMN(surface!$B$1:$G$1))</f>
        <v>-500</v>
      </c>
      <c r="W265">
        <v>1000</v>
      </c>
      <c r="X265">
        <v>0</v>
      </c>
      <c r="Y265">
        <v>1000</v>
      </c>
      <c r="Z265">
        <v>-500</v>
      </c>
      <c r="AA265">
        <v>0</v>
      </c>
      <c r="AB265">
        <f t="shared" si="134"/>
        <v>685.00597877857388</v>
      </c>
      <c r="AC265">
        <f t="shared" si="135"/>
        <v>481.85099157445188</v>
      </c>
      <c r="AD265">
        <f t="shared" si="143"/>
        <v>-190.65588595712197</v>
      </c>
      <c r="AE265">
        <f t="shared" si="144"/>
        <v>-679.42959880881745</v>
      </c>
      <c r="AF265">
        <f t="shared" si="145"/>
        <v>2.4411986089184197</v>
      </c>
      <c r="AG265" t="b">
        <f t="shared" si="153"/>
        <v>0</v>
      </c>
      <c r="AH265">
        <f t="shared" si="146"/>
        <v>25000</v>
      </c>
      <c r="AI265">
        <f t="shared" si="154"/>
        <v>4</v>
      </c>
      <c r="AJ265" cm="1">
        <f t="array" ref="AJ265:AO265">INDEX(surface!$A$2:$I$40,AI265+1,COLUMN(surface!$B$1:$G$1))</f>
        <v>0</v>
      </c>
      <c r="AK265">
        <v>1000</v>
      </c>
      <c r="AL265">
        <v>0</v>
      </c>
      <c r="AM265">
        <v>1</v>
      </c>
      <c r="AN265">
        <v>0</v>
      </c>
      <c r="AO265">
        <v>999</v>
      </c>
      <c r="AP265">
        <f t="shared" si="155"/>
        <v>185.0059787785739</v>
      </c>
      <c r="AQ265">
        <f t="shared" si="156"/>
        <v>481.85099157445188</v>
      </c>
      <c r="AR265">
        <f t="shared" si="157"/>
        <v>-923.52205416857964</v>
      </c>
      <c r="AS265">
        <f t="shared" si="147"/>
        <v>100.06310729968671</v>
      </c>
      <c r="AT265">
        <f t="shared" si="148"/>
        <v>0.29752727223269543</v>
      </c>
      <c r="AU265" t="b">
        <f t="shared" si="158"/>
        <v>1</v>
      </c>
      <c r="AV265">
        <f t="shared" si="149"/>
        <v>100.06310729968671</v>
      </c>
    </row>
    <row r="266" spans="1:48" x14ac:dyDescent="0.25">
      <c r="A266">
        <f t="shared" si="128"/>
        <v>26.400000000000105</v>
      </c>
      <c r="B266">
        <f t="shared" si="150"/>
        <v>0.1</v>
      </c>
      <c r="C266">
        <f>sim!C265+(sim!$G265*$B266*COS($E266))</f>
        <v>101.72710507039652</v>
      </c>
      <c r="D266">
        <f>sim!D265+(sim!$G265*$B266*SIN($E266))</f>
        <v>734.73863421114231</v>
      </c>
      <c r="E266">
        <f t="shared" si="129"/>
        <v>-6737.1474805572743</v>
      </c>
      <c r="F266">
        <f t="shared" si="136"/>
        <v>100.01612065131764</v>
      </c>
      <c r="G266">
        <v>100</v>
      </c>
      <c r="H266">
        <f t="shared" si="130"/>
        <v>-1.4067922152934905E-3</v>
      </c>
      <c r="I266">
        <f t="shared" si="137"/>
        <v>-8.0603256588176464E-2</v>
      </c>
      <c r="J266">
        <f t="shared" si="151"/>
        <v>0</v>
      </c>
      <c r="K266">
        <f t="shared" si="152"/>
        <v>0</v>
      </c>
      <c r="L266">
        <f t="shared" si="138"/>
        <v>0</v>
      </c>
      <c r="M266">
        <f t="shared" si="131"/>
        <v>-8.0603256588176464E-2</v>
      </c>
      <c r="N266">
        <f t="shared" si="139"/>
        <v>92.480541524240593</v>
      </c>
      <c r="O266">
        <f t="shared" si="140"/>
        <v>730.93060813627096</v>
      </c>
      <c r="P266">
        <f t="shared" si="132"/>
        <v>1.4906062681390608E-2</v>
      </c>
      <c r="Q266">
        <f t="shared" si="133"/>
        <v>692.85034738755701</v>
      </c>
      <c r="R266">
        <f t="shared" si="141"/>
        <v>-0.38080260748713962</v>
      </c>
      <c r="S266">
        <f t="shared" si="142"/>
        <v>-0.92465635461559204</v>
      </c>
      <c r="U266">
        <f t="shared" si="159"/>
        <v>3</v>
      </c>
      <c r="V266" cm="1">
        <f t="array" ref="V266:AA266">INDEX(surface!$A$2:$I$40,U266+1,COLUMN(surface!$B$1:$G$1))</f>
        <v>-500</v>
      </c>
      <c r="W266">
        <v>1000</v>
      </c>
      <c r="X266">
        <v>0</v>
      </c>
      <c r="Y266">
        <v>1000</v>
      </c>
      <c r="Z266">
        <v>-500</v>
      </c>
      <c r="AA266">
        <v>0</v>
      </c>
      <c r="AB266">
        <f t="shared" si="134"/>
        <v>684.96108304848121</v>
      </c>
      <c r="AC266">
        <f t="shared" si="135"/>
        <v>461.86121627254192</v>
      </c>
      <c r="AD266">
        <f t="shared" si="143"/>
        <v>-190.4013037435698</v>
      </c>
      <c r="AE266">
        <f t="shared" si="144"/>
        <v>-706.58495129347557</v>
      </c>
      <c r="AF266">
        <f t="shared" si="145"/>
        <v>2.491657613627003</v>
      </c>
      <c r="AG266" t="b">
        <f t="shared" si="153"/>
        <v>0</v>
      </c>
      <c r="AH266">
        <f t="shared" si="146"/>
        <v>25000</v>
      </c>
      <c r="AI266">
        <f t="shared" si="154"/>
        <v>4</v>
      </c>
      <c r="AJ266" cm="1">
        <f t="array" ref="AJ266:AO266">INDEX(surface!$A$2:$I$40,AI266+1,COLUMN(surface!$B$1:$G$1))</f>
        <v>0</v>
      </c>
      <c r="AK266">
        <v>1000</v>
      </c>
      <c r="AL266">
        <v>0</v>
      </c>
      <c r="AM266">
        <v>1</v>
      </c>
      <c r="AN266">
        <v>0</v>
      </c>
      <c r="AO266">
        <v>999</v>
      </c>
      <c r="AP266">
        <f t="shared" si="155"/>
        <v>184.96108304848119</v>
      </c>
      <c r="AQ266">
        <f t="shared" si="156"/>
        <v>461.86121627254192</v>
      </c>
      <c r="AR266">
        <f t="shared" si="157"/>
        <v>-923.73169826097649</v>
      </c>
      <c r="AS266">
        <f t="shared" si="147"/>
        <v>100.01612065131764</v>
      </c>
      <c r="AT266">
        <f t="shared" si="148"/>
        <v>0.30746325465315227</v>
      </c>
      <c r="AU266" t="b">
        <f t="shared" si="158"/>
        <v>1</v>
      </c>
      <c r="AV266">
        <f t="shared" si="149"/>
        <v>100.01612065131764</v>
      </c>
    </row>
    <row r="267" spans="1:48" x14ac:dyDescent="0.25">
      <c r="A267">
        <f t="shared" si="128"/>
        <v>26.500000000000107</v>
      </c>
      <c r="B267">
        <f t="shared" si="150"/>
        <v>0.1</v>
      </c>
      <c r="C267">
        <f>sim!C266+(sim!$G266*$B267*COS($E267))</f>
        <v>101.70534895571575</v>
      </c>
      <c r="D267">
        <f>sim!D266+(sim!$G266*$B267*SIN($E267))</f>
        <v>724.73865787759667</v>
      </c>
      <c r="E267">
        <f t="shared" si="129"/>
        <v>-6737.147621236496</v>
      </c>
      <c r="F267">
        <f t="shared" si="136"/>
        <v>99.98622069811853</v>
      </c>
      <c r="G267">
        <v>100</v>
      </c>
      <c r="H267">
        <f t="shared" si="130"/>
        <v>1.2024709322895459E-3</v>
      </c>
      <c r="I267">
        <f t="shared" si="137"/>
        <v>6.8896509407352369E-2</v>
      </c>
      <c r="J267">
        <f t="shared" si="151"/>
        <v>0</v>
      </c>
      <c r="K267">
        <f t="shared" si="152"/>
        <v>0</v>
      </c>
      <c r="L267">
        <f t="shared" si="138"/>
        <v>0</v>
      </c>
      <c r="M267">
        <f t="shared" si="131"/>
        <v>6.8896509407352369E-2</v>
      </c>
      <c r="N267">
        <f t="shared" si="139"/>
        <v>92.458249790915048</v>
      </c>
      <c r="O267">
        <f t="shared" si="140"/>
        <v>720.93193263976536</v>
      </c>
      <c r="P267">
        <f t="shared" si="132"/>
        <v>-1.2741857091953079E-2</v>
      </c>
      <c r="Q267">
        <f t="shared" si="133"/>
        <v>682.86468026145178</v>
      </c>
      <c r="R267">
        <f t="shared" si="141"/>
        <v>-0.38067252378313549</v>
      </c>
      <c r="S267">
        <f t="shared" si="142"/>
        <v>-0.92470991648007006</v>
      </c>
      <c r="U267">
        <f t="shared" si="159"/>
        <v>3</v>
      </c>
      <c r="V267" cm="1">
        <f t="array" ref="V267:AA267">INDEX(surface!$A$2:$I$40,U267+1,COLUMN(surface!$B$1:$G$1))</f>
        <v>-500</v>
      </c>
      <c r="W267">
        <v>1000</v>
      </c>
      <c r="X267">
        <v>0</v>
      </c>
      <c r="Y267">
        <v>1000</v>
      </c>
      <c r="Z267">
        <v>-500</v>
      </c>
      <c r="AA267">
        <v>0</v>
      </c>
      <c r="AB267">
        <f t="shared" si="134"/>
        <v>684.91649958183007</v>
      </c>
      <c r="AC267">
        <f t="shared" si="135"/>
        <v>441.86386527953073</v>
      </c>
      <c r="AD267">
        <f t="shared" si="143"/>
        <v>-190.33626189156774</v>
      </c>
      <c r="AE267">
        <f t="shared" si="144"/>
        <v>-733.09222474700141</v>
      </c>
      <c r="AF267">
        <f t="shared" si="145"/>
        <v>2.5407117994178074</v>
      </c>
      <c r="AG267" t="b">
        <f t="shared" si="153"/>
        <v>0</v>
      </c>
      <c r="AH267">
        <f t="shared" si="146"/>
        <v>25000</v>
      </c>
      <c r="AI267">
        <f t="shared" si="154"/>
        <v>4</v>
      </c>
      <c r="AJ267" cm="1">
        <f t="array" ref="AJ267:AO267">INDEX(surface!$A$2:$I$40,AI267+1,COLUMN(surface!$B$1:$G$1))</f>
        <v>0</v>
      </c>
      <c r="AK267">
        <v>1000</v>
      </c>
      <c r="AL267">
        <v>0</v>
      </c>
      <c r="AM267">
        <v>1</v>
      </c>
      <c r="AN267">
        <v>0</v>
      </c>
      <c r="AO267">
        <v>999</v>
      </c>
      <c r="AP267">
        <f t="shared" si="155"/>
        <v>184.9164995818301</v>
      </c>
      <c r="AQ267">
        <f t="shared" si="156"/>
        <v>441.86386527953073</v>
      </c>
      <c r="AR267">
        <f t="shared" si="157"/>
        <v>-923.78520656359001</v>
      </c>
      <c r="AS267">
        <f t="shared" si="147"/>
        <v>99.98622069811853</v>
      </c>
      <c r="AT267">
        <f t="shared" si="148"/>
        <v>0.31744752185878378</v>
      </c>
      <c r="AU267" t="b">
        <f t="shared" si="158"/>
        <v>1</v>
      </c>
      <c r="AV267">
        <f t="shared" si="149"/>
        <v>99.98622069811853</v>
      </c>
    </row>
    <row r="268" spans="1:48" x14ac:dyDescent="0.25">
      <c r="A268">
        <f t="shared" si="128"/>
        <v>26.600000000000108</v>
      </c>
      <c r="B268">
        <f t="shared" si="150"/>
        <v>0.1</v>
      </c>
      <c r="C268">
        <f>sim!C267+(sim!$G267*$B268*COS($E268))</f>
        <v>101.68479530927391</v>
      </c>
      <c r="D268">
        <f>sim!D267+(sim!$G267*$B268*SIN($E268))</f>
        <v>714.73867900023811</v>
      </c>
      <c r="E268">
        <f t="shared" si="129"/>
        <v>-6737.1475009894029</v>
      </c>
      <c r="F268">
        <f t="shared" si="136"/>
        <v>99.969438044578894</v>
      </c>
      <c r="G268">
        <v>100</v>
      </c>
      <c r="H268">
        <f t="shared" si="130"/>
        <v>2.6670337397301743E-3</v>
      </c>
      <c r="I268">
        <f t="shared" si="137"/>
        <v>0.15280977710553145</v>
      </c>
      <c r="J268">
        <f t="shared" si="151"/>
        <v>0</v>
      </c>
      <c r="K268">
        <f t="shared" si="152"/>
        <v>0</v>
      </c>
      <c r="L268">
        <f t="shared" si="138"/>
        <v>0</v>
      </c>
      <c r="M268">
        <f t="shared" si="131"/>
        <v>0.15280977710553145</v>
      </c>
      <c r="N268">
        <f t="shared" si="139"/>
        <v>92.438153958969522</v>
      </c>
      <c r="O268">
        <f t="shared" si="140"/>
        <v>710.93084185313728</v>
      </c>
      <c r="P268">
        <f t="shared" si="132"/>
        <v>-2.8259544074302312E-2</v>
      </c>
      <c r="Q268">
        <f t="shared" si="133"/>
        <v>672.85247038212879</v>
      </c>
      <c r="R268">
        <f t="shared" si="141"/>
        <v>-0.38078371471008521</v>
      </c>
      <c r="S268">
        <f t="shared" si="142"/>
        <v>-0.92466413503043821</v>
      </c>
      <c r="U268">
        <f t="shared" si="159"/>
        <v>3</v>
      </c>
      <c r="V268" cm="1">
        <f t="array" ref="V268:AA268">INDEX(surface!$A$2:$I$40,U268+1,COLUMN(surface!$B$1:$G$1))</f>
        <v>-500</v>
      </c>
      <c r="W268">
        <v>1000</v>
      </c>
      <c r="X268">
        <v>0</v>
      </c>
      <c r="Y268">
        <v>1000</v>
      </c>
      <c r="Z268">
        <v>-500</v>
      </c>
      <c r="AA268">
        <v>0</v>
      </c>
      <c r="AB268">
        <f t="shared" si="134"/>
        <v>684.87630791793902</v>
      </c>
      <c r="AC268">
        <f t="shared" si="135"/>
        <v>421.86168370627456</v>
      </c>
      <c r="AD268">
        <f t="shared" si="143"/>
        <v>-190.39185735504262</v>
      </c>
      <c r="AE268">
        <f t="shared" si="144"/>
        <v>-759.14264969800342</v>
      </c>
      <c r="AF268">
        <f t="shared" si="145"/>
        <v>2.5887802710133774</v>
      </c>
      <c r="AG268" t="b">
        <f t="shared" si="153"/>
        <v>0</v>
      </c>
      <c r="AH268">
        <f t="shared" si="146"/>
        <v>25000</v>
      </c>
      <c r="AI268">
        <f t="shared" si="154"/>
        <v>4</v>
      </c>
      <c r="AJ268" cm="1">
        <f t="array" ref="AJ268:AO268">INDEX(surface!$A$2:$I$40,AI268+1,COLUMN(surface!$B$1:$G$1))</f>
        <v>0</v>
      </c>
      <c r="AK268">
        <v>1000</v>
      </c>
      <c r="AL268">
        <v>0</v>
      </c>
      <c r="AM268">
        <v>1</v>
      </c>
      <c r="AN268">
        <v>0</v>
      </c>
      <c r="AO268">
        <v>999</v>
      </c>
      <c r="AP268">
        <f t="shared" si="155"/>
        <v>184.87630791793904</v>
      </c>
      <c r="AQ268">
        <f t="shared" si="156"/>
        <v>421.86168370627456</v>
      </c>
      <c r="AR268">
        <f t="shared" si="157"/>
        <v>-923.73947089540775</v>
      </c>
      <c r="AS268">
        <f t="shared" si="147"/>
        <v>99.969438044578894</v>
      </c>
      <c r="AT268">
        <f t="shared" si="148"/>
        <v>0.32746335547843558</v>
      </c>
      <c r="AU268" t="b">
        <f t="shared" si="158"/>
        <v>1</v>
      </c>
      <c r="AV268">
        <f t="shared" si="149"/>
        <v>99.969438044578894</v>
      </c>
    </row>
    <row r="269" spans="1:48" x14ac:dyDescent="0.25">
      <c r="A269">
        <f t="shared" si="128"/>
        <v>26.700000000000109</v>
      </c>
      <c r="B269">
        <f t="shared" si="150"/>
        <v>0.1</v>
      </c>
      <c r="C269">
        <f>sim!C268+(sim!$G268*$B269*COS($E269))</f>
        <v>101.66690869163907</v>
      </c>
      <c r="D269">
        <f>sim!D268+(sim!$G268*$B269*SIN($E269))</f>
        <v>704.73869499680541</v>
      </c>
      <c r="E269">
        <f t="shared" si="129"/>
        <v>-6737.1472342860288</v>
      </c>
      <c r="F269">
        <f t="shared" si="136"/>
        <v>99.962175245610112</v>
      </c>
      <c r="G269">
        <v>100</v>
      </c>
      <c r="H269">
        <f t="shared" si="130"/>
        <v>3.3008325143086201E-3</v>
      </c>
      <c r="I269">
        <f t="shared" si="137"/>
        <v>0.18912377194943986</v>
      </c>
      <c r="J269">
        <f t="shared" si="151"/>
        <v>0</v>
      </c>
      <c r="K269">
        <f t="shared" si="152"/>
        <v>0</v>
      </c>
      <c r="L269">
        <f t="shared" si="138"/>
        <v>0</v>
      </c>
      <c r="M269">
        <f t="shared" si="131"/>
        <v>0.18912377194943986</v>
      </c>
      <c r="N269">
        <f t="shared" si="139"/>
        <v>92.421283233197812</v>
      </c>
      <c r="O269">
        <f t="shared" si="140"/>
        <v>700.9283918747135</v>
      </c>
      <c r="P269">
        <f t="shared" si="132"/>
        <v>-3.4971351214650781E-2</v>
      </c>
      <c r="Q269">
        <f t="shared" si="133"/>
        <v>662.82536065379475</v>
      </c>
      <c r="R269">
        <f t="shared" si="141"/>
        <v>-0.38103031220918776</v>
      </c>
      <c r="S269">
        <f t="shared" si="142"/>
        <v>-0.92456254584412456</v>
      </c>
      <c r="U269">
        <f t="shared" si="159"/>
        <v>3</v>
      </c>
      <c r="V269" cm="1">
        <f t="array" ref="V269:AA269">INDEX(surface!$A$2:$I$40,U269+1,COLUMN(surface!$B$1:$G$1))</f>
        <v>-500</v>
      </c>
      <c r="W269">
        <v>1000</v>
      </c>
      <c r="X269">
        <v>0</v>
      </c>
      <c r="Y269">
        <v>1000</v>
      </c>
      <c r="Z269">
        <v>-500</v>
      </c>
      <c r="AA269">
        <v>0</v>
      </c>
      <c r="AB269">
        <f t="shared" si="134"/>
        <v>684.84256646639562</v>
      </c>
      <c r="AC269">
        <f t="shared" si="135"/>
        <v>401.856783749427</v>
      </c>
      <c r="AD269">
        <f t="shared" si="143"/>
        <v>-190.51515610459387</v>
      </c>
      <c r="AE269">
        <f t="shared" si="144"/>
        <v>-784.90240419794884</v>
      </c>
      <c r="AF269">
        <f t="shared" si="145"/>
        <v>2.6362252965952546</v>
      </c>
      <c r="AG269" t="b">
        <f t="shared" si="153"/>
        <v>0</v>
      </c>
      <c r="AH269">
        <f t="shared" si="146"/>
        <v>25000</v>
      </c>
      <c r="AI269">
        <f t="shared" si="154"/>
        <v>4</v>
      </c>
      <c r="AJ269" cm="1">
        <f t="array" ref="AJ269:AO269">INDEX(surface!$A$2:$I$40,AI269+1,COLUMN(surface!$B$1:$G$1))</f>
        <v>0</v>
      </c>
      <c r="AK269">
        <v>1000</v>
      </c>
      <c r="AL269">
        <v>0</v>
      </c>
      <c r="AM269">
        <v>1</v>
      </c>
      <c r="AN269">
        <v>0</v>
      </c>
      <c r="AO269">
        <v>999</v>
      </c>
      <c r="AP269">
        <f t="shared" si="155"/>
        <v>184.84256646639562</v>
      </c>
      <c r="AQ269">
        <f t="shared" si="156"/>
        <v>401.856783749427</v>
      </c>
      <c r="AR269">
        <f t="shared" si="157"/>
        <v>-923.63798329828046</v>
      </c>
      <c r="AS269">
        <f t="shared" si="147"/>
        <v>99.962175245610112</v>
      </c>
      <c r="AT269">
        <f t="shared" si="148"/>
        <v>0.33749772469292372</v>
      </c>
      <c r="AU269" t="b">
        <f t="shared" si="158"/>
        <v>1</v>
      </c>
      <c r="AV269">
        <f t="shared" si="149"/>
        <v>99.962175245610112</v>
      </c>
    </row>
    <row r="270" spans="1:48" x14ac:dyDescent="0.25">
      <c r="A270">
        <f t="shared" si="128"/>
        <v>26.800000000000111</v>
      </c>
      <c r="B270">
        <f t="shared" si="150"/>
        <v>0.1</v>
      </c>
      <c r="C270">
        <f>sim!C269+(sim!$G269*$B270*COS($E270))</f>
        <v>101.65232290215205</v>
      </c>
      <c r="D270">
        <f>sim!D269+(sim!$G269*$B270*SIN($E270))</f>
        <v>694.73870563407377</v>
      </c>
      <c r="E270">
        <f t="shared" si="129"/>
        <v>-6737.1469042027775</v>
      </c>
      <c r="F270">
        <f t="shared" si="136"/>
        <v>99.961363812256394</v>
      </c>
      <c r="G270">
        <v>100</v>
      </c>
      <c r="H270">
        <f t="shared" si="130"/>
        <v>3.3716434327230073E-3</v>
      </c>
      <c r="I270">
        <f t="shared" si="137"/>
        <v>0.19318093871802944</v>
      </c>
      <c r="J270">
        <f t="shared" si="151"/>
        <v>0</v>
      </c>
      <c r="K270">
        <f t="shared" si="152"/>
        <v>0</v>
      </c>
      <c r="L270">
        <f t="shared" si="138"/>
        <v>0</v>
      </c>
      <c r="M270">
        <f t="shared" si="131"/>
        <v>0.19318093871802944</v>
      </c>
      <c r="N270">
        <f t="shared" si="139"/>
        <v>92.407955664609489</v>
      </c>
      <c r="O270">
        <f t="shared" si="140"/>
        <v>690.92535089350088</v>
      </c>
      <c r="P270">
        <f t="shared" si="132"/>
        <v>-3.5716710816060981E-2</v>
      </c>
      <c r="Q270">
        <f t="shared" si="133"/>
        <v>652.79180348777186</v>
      </c>
      <c r="R270">
        <f t="shared" si="141"/>
        <v>-0.38133547405729046</v>
      </c>
      <c r="S270">
        <f t="shared" si="142"/>
        <v>-0.92443672375425545</v>
      </c>
      <c r="U270">
        <f t="shared" si="159"/>
        <v>3</v>
      </c>
      <c r="V270" cm="1">
        <f t="array" ref="V270:AA270">INDEX(surface!$A$2:$I$40,U270+1,COLUMN(surface!$B$1:$G$1))</f>
        <v>-500</v>
      </c>
      <c r="W270">
        <v>1000</v>
      </c>
      <c r="X270">
        <v>0</v>
      </c>
      <c r="Y270">
        <v>1000</v>
      </c>
      <c r="Z270">
        <v>-500</v>
      </c>
      <c r="AA270">
        <v>0</v>
      </c>
      <c r="AB270">
        <f t="shared" si="134"/>
        <v>684.81591132921903</v>
      </c>
      <c r="AC270">
        <f t="shared" si="135"/>
        <v>381.85070178700175</v>
      </c>
      <c r="AD270">
        <f t="shared" si="143"/>
        <v>-190.66773702864523</v>
      </c>
      <c r="AE270">
        <f t="shared" si="144"/>
        <v>-810.50589345397441</v>
      </c>
      <c r="AF270">
        <f t="shared" si="145"/>
        <v>2.6833387367854349</v>
      </c>
      <c r="AG270" t="b">
        <f t="shared" si="153"/>
        <v>0</v>
      </c>
      <c r="AH270">
        <f t="shared" si="146"/>
        <v>25000</v>
      </c>
      <c r="AI270">
        <f t="shared" si="154"/>
        <v>4</v>
      </c>
      <c r="AJ270" cm="1">
        <f t="array" ref="AJ270:AO270">INDEX(surface!$A$2:$I$40,AI270+1,COLUMN(surface!$B$1:$G$1))</f>
        <v>0</v>
      </c>
      <c r="AK270">
        <v>1000</v>
      </c>
      <c r="AL270">
        <v>0</v>
      </c>
      <c r="AM270">
        <v>1</v>
      </c>
      <c r="AN270">
        <v>0</v>
      </c>
      <c r="AO270">
        <v>999</v>
      </c>
      <c r="AP270">
        <f t="shared" si="155"/>
        <v>184.81591132921898</v>
      </c>
      <c r="AQ270">
        <f t="shared" si="156"/>
        <v>381.85070178700175</v>
      </c>
      <c r="AR270">
        <f t="shared" si="157"/>
        <v>-923.51228703050117</v>
      </c>
      <c r="AS270">
        <f t="shared" si="147"/>
        <v>99.961363812256394</v>
      </c>
      <c r="AT270">
        <f t="shared" si="148"/>
        <v>0.34754100416742661</v>
      </c>
      <c r="AU270" t="b">
        <f t="shared" si="158"/>
        <v>1</v>
      </c>
      <c r="AV270">
        <f t="shared" si="149"/>
        <v>99.961363812256394</v>
      </c>
    </row>
    <row r="271" spans="1:48" x14ac:dyDescent="0.25">
      <c r="A271">
        <f t="shared" si="128"/>
        <v>26.900000000000112</v>
      </c>
      <c r="B271">
        <f t="shared" si="150"/>
        <v>0.1</v>
      </c>
      <c r="C271">
        <f>sim!C270+(sim!$G270*$B271*COS($E271))</f>
        <v>101.64110875327735</v>
      </c>
      <c r="D271">
        <f>sim!D270+(sim!$G270*$B271*SIN($E271))</f>
        <v>684.73871192193246</v>
      </c>
      <c r="E271">
        <f t="shared" si="129"/>
        <v>-6737.1465670384341</v>
      </c>
      <c r="F271">
        <f t="shared" si="136"/>
        <v>99.964533384099525</v>
      </c>
      <c r="G271">
        <v>100</v>
      </c>
      <c r="H271">
        <f t="shared" si="130"/>
        <v>3.0950461100173166E-3</v>
      </c>
      <c r="I271">
        <f t="shared" si="137"/>
        <v>0.17733307950237531</v>
      </c>
      <c r="J271">
        <f t="shared" si="151"/>
        <v>0</v>
      </c>
      <c r="K271">
        <f t="shared" si="152"/>
        <v>0</v>
      </c>
      <c r="L271">
        <f t="shared" si="138"/>
        <v>0</v>
      </c>
      <c r="M271">
        <f t="shared" si="131"/>
        <v>0.17733307950237531</v>
      </c>
      <c r="N271">
        <f t="shared" si="139"/>
        <v>92.398027768406436</v>
      </c>
      <c r="O271">
        <f t="shared" si="140"/>
        <v>680.92224052715983</v>
      </c>
      <c r="P271">
        <f t="shared" si="132"/>
        <v>-3.2782080302737882E-2</v>
      </c>
      <c r="Q271">
        <f t="shared" si="133"/>
        <v>642.7575265794336</v>
      </c>
      <c r="R271">
        <f t="shared" si="141"/>
        <v>-0.38164713947726209</v>
      </c>
      <c r="S271">
        <f t="shared" si="142"/>
        <v>-0.92430809848709172</v>
      </c>
      <c r="U271">
        <f t="shared" si="159"/>
        <v>3</v>
      </c>
      <c r="V271" cm="1">
        <f t="array" ref="V271:AA271">INDEX(surface!$A$2:$I$40,U271+1,COLUMN(surface!$B$1:$G$1))</f>
        <v>-500</v>
      </c>
      <c r="W271">
        <v>1000</v>
      </c>
      <c r="X271">
        <v>0</v>
      </c>
      <c r="Y271">
        <v>1000</v>
      </c>
      <c r="Z271">
        <v>-500</v>
      </c>
      <c r="AA271">
        <v>0</v>
      </c>
      <c r="AB271">
        <f t="shared" si="134"/>
        <v>684.7960555368129</v>
      </c>
      <c r="AC271">
        <f t="shared" si="135"/>
        <v>361.84448105431966</v>
      </c>
      <c r="AD271">
        <f t="shared" si="143"/>
        <v>-190.82356973863105</v>
      </c>
      <c r="AE271">
        <f t="shared" si="144"/>
        <v>-836.0543718731326</v>
      </c>
      <c r="AF271">
        <f t="shared" si="145"/>
        <v>2.7303397089325627</v>
      </c>
      <c r="AG271" t="b">
        <f t="shared" si="153"/>
        <v>0</v>
      </c>
      <c r="AH271">
        <f t="shared" si="146"/>
        <v>25000</v>
      </c>
      <c r="AI271">
        <f t="shared" si="154"/>
        <v>4</v>
      </c>
      <c r="AJ271" cm="1">
        <f t="array" ref="AJ271:AO271">INDEX(surface!$A$2:$I$40,AI271+1,COLUMN(surface!$B$1:$G$1))</f>
        <v>0</v>
      </c>
      <c r="AK271">
        <v>1000</v>
      </c>
      <c r="AL271">
        <v>0</v>
      </c>
      <c r="AM271">
        <v>1</v>
      </c>
      <c r="AN271">
        <v>0</v>
      </c>
      <c r="AO271">
        <v>999</v>
      </c>
      <c r="AP271">
        <f t="shared" si="155"/>
        <v>184.79605553681287</v>
      </c>
      <c r="AQ271">
        <f t="shared" si="156"/>
        <v>361.84448105431966</v>
      </c>
      <c r="AR271">
        <f t="shared" si="157"/>
        <v>-923.38379038860467</v>
      </c>
      <c r="AS271">
        <f t="shared" si="147"/>
        <v>99.964533384099525</v>
      </c>
      <c r="AT271">
        <f t="shared" si="148"/>
        <v>0.35758652421227327</v>
      </c>
      <c r="AU271" t="b">
        <f t="shared" si="158"/>
        <v>1</v>
      </c>
      <c r="AV271">
        <f t="shared" si="149"/>
        <v>99.964533384099525</v>
      </c>
    </row>
    <row r="272" spans="1:48" x14ac:dyDescent="0.25">
      <c r="A272">
        <f t="shared" si="128"/>
        <v>27.000000000000114</v>
      </c>
      <c r="B272">
        <f t="shared" si="150"/>
        <v>0.1</v>
      </c>
      <c r="C272">
        <f>sim!C271+(sim!$G271*$B272*COS($E272))</f>
        <v>101.63298964905746</v>
      </c>
      <c r="D272">
        <f>sim!D271+(sim!$G271*$B272*SIN($E272))</f>
        <v>674.73871521792569</v>
      </c>
      <c r="E272">
        <f t="shared" si="129"/>
        <v>-6737.1462575338228</v>
      </c>
      <c r="F272">
        <f t="shared" si="136"/>
        <v>99.969808214239677</v>
      </c>
      <c r="G272">
        <v>100</v>
      </c>
      <c r="H272">
        <f t="shared" si="130"/>
        <v>2.6347303428718698E-3</v>
      </c>
      <c r="I272">
        <f t="shared" si="137"/>
        <v>0.15095892880161443</v>
      </c>
      <c r="J272">
        <f t="shared" si="151"/>
        <v>0</v>
      </c>
      <c r="K272">
        <f t="shared" si="152"/>
        <v>0</v>
      </c>
      <c r="L272">
        <f t="shared" si="138"/>
        <v>0</v>
      </c>
      <c r="M272">
        <f t="shared" si="131"/>
        <v>0.15095892880161443</v>
      </c>
      <c r="N272">
        <f t="shared" si="139"/>
        <v>92.391090322375064</v>
      </c>
      <c r="O272">
        <f t="shared" si="140"/>
        <v>670.91938322980695</v>
      </c>
      <c r="P272">
        <f t="shared" si="132"/>
        <v>-2.7902944448968015E-2</v>
      </c>
      <c r="Q272">
        <f t="shared" si="133"/>
        <v>632.72606334861916</v>
      </c>
      <c r="R272">
        <f t="shared" si="141"/>
        <v>-0.38193319881187776</v>
      </c>
      <c r="S272">
        <f t="shared" si="142"/>
        <v>-0.92418993266824034</v>
      </c>
      <c r="U272">
        <f t="shared" si="159"/>
        <v>3</v>
      </c>
      <c r="V272" cm="1">
        <f t="array" ref="V272:AA272">INDEX(surface!$A$2:$I$40,U272+1,COLUMN(surface!$B$1:$G$1))</f>
        <v>-500</v>
      </c>
      <c r="W272">
        <v>1000</v>
      </c>
      <c r="X272">
        <v>0</v>
      </c>
      <c r="Y272">
        <v>1000</v>
      </c>
      <c r="Z272">
        <v>-500</v>
      </c>
      <c r="AA272">
        <v>0</v>
      </c>
      <c r="AB272">
        <f t="shared" si="134"/>
        <v>684.78218064475016</v>
      </c>
      <c r="AC272">
        <f t="shared" si="135"/>
        <v>341.83876645961391</v>
      </c>
      <c r="AD272">
        <f t="shared" si="143"/>
        <v>-190.96659940593889</v>
      </c>
      <c r="AE272">
        <f t="shared" si="144"/>
        <v>-861.61825626549569</v>
      </c>
      <c r="AF272">
        <f t="shared" si="145"/>
        <v>2.7773800171322205</v>
      </c>
      <c r="AG272" t="b">
        <f t="shared" si="153"/>
        <v>0</v>
      </c>
      <c r="AH272">
        <f t="shared" si="146"/>
        <v>25000</v>
      </c>
      <c r="AI272">
        <f t="shared" si="154"/>
        <v>4</v>
      </c>
      <c r="AJ272" cm="1">
        <f t="array" ref="AJ272:AO272">INDEX(surface!$A$2:$I$40,AI272+1,COLUMN(surface!$B$1:$G$1))</f>
        <v>0</v>
      </c>
      <c r="AK272">
        <v>1000</v>
      </c>
      <c r="AL272">
        <v>0</v>
      </c>
      <c r="AM272">
        <v>1</v>
      </c>
      <c r="AN272">
        <v>0</v>
      </c>
      <c r="AO272">
        <v>999</v>
      </c>
      <c r="AP272">
        <f t="shared" si="155"/>
        <v>184.78218064475013</v>
      </c>
      <c r="AQ272">
        <f t="shared" si="156"/>
        <v>341.83876645961391</v>
      </c>
      <c r="AR272">
        <f t="shared" si="157"/>
        <v>-923.26574273557208</v>
      </c>
      <c r="AS272">
        <f t="shared" si="147"/>
        <v>99.969808214239677</v>
      </c>
      <c r="AT272">
        <f t="shared" si="148"/>
        <v>0.36763003544150907</v>
      </c>
      <c r="AU272" t="b">
        <f t="shared" si="158"/>
        <v>1</v>
      </c>
      <c r="AV272">
        <f t="shared" si="149"/>
        <v>99.969808214239677</v>
      </c>
    </row>
    <row r="273" spans="1:48" x14ac:dyDescent="0.25">
      <c r="A273">
        <f t="shared" si="128"/>
        <v>27.100000000000115</v>
      </c>
      <c r="B273">
        <f t="shared" si="150"/>
        <v>0.1</v>
      </c>
      <c r="C273">
        <f>sim!C272+(sim!$G272*$B273*COS($E273))</f>
        <v>101.62750527456514</v>
      </c>
      <c r="D273">
        <f>sim!D272+(sim!$G272*$B273*SIN($E273))</f>
        <v>664.73871672184396</v>
      </c>
      <c r="E273">
        <f t="shared" si="129"/>
        <v>-6737.1459940607883</v>
      </c>
      <c r="F273">
        <f t="shared" si="136"/>
        <v>99.975852344211887</v>
      </c>
      <c r="G273">
        <v>100</v>
      </c>
      <c r="H273">
        <f t="shared" si="130"/>
        <v>2.1072805007041765E-3</v>
      </c>
      <c r="I273">
        <f t="shared" si="137"/>
        <v>0.12073827894056421</v>
      </c>
      <c r="J273">
        <f t="shared" si="151"/>
        <v>0</v>
      </c>
      <c r="K273">
        <f t="shared" si="152"/>
        <v>0</v>
      </c>
      <c r="L273">
        <f t="shared" si="138"/>
        <v>0</v>
      </c>
      <c r="M273">
        <f t="shared" si="131"/>
        <v>0.12073827894056421</v>
      </c>
      <c r="N273">
        <f t="shared" si="139"/>
        <v>92.386612559636902</v>
      </c>
      <c r="O273">
        <f t="shared" si="140"/>
        <v>660.91694987505878</v>
      </c>
      <c r="P273">
        <f t="shared" si="132"/>
        <v>-2.2314589645503702E-2</v>
      </c>
      <c r="Q273">
        <f t="shared" si="133"/>
        <v>622.6992814072072</v>
      </c>
      <c r="R273">
        <f t="shared" si="141"/>
        <v>-0.38217668467851595</v>
      </c>
      <c r="S273">
        <f t="shared" si="142"/>
        <v>-0.92408927149282405</v>
      </c>
      <c r="U273">
        <f t="shared" si="159"/>
        <v>3</v>
      </c>
      <c r="V273" cm="1">
        <f t="array" ref="V273:AA273">INDEX(surface!$A$2:$I$40,U273+1,COLUMN(surface!$B$1:$G$1))</f>
        <v>-500</v>
      </c>
      <c r="W273">
        <v>1000</v>
      </c>
      <c r="X273">
        <v>0</v>
      </c>
      <c r="Y273">
        <v>1000</v>
      </c>
      <c r="Z273">
        <v>-500</v>
      </c>
      <c r="AA273">
        <v>0</v>
      </c>
      <c r="AB273">
        <f t="shared" si="134"/>
        <v>684.77322511927377</v>
      </c>
      <c r="AC273">
        <f t="shared" si="135"/>
        <v>321.83389975011755</v>
      </c>
      <c r="AD273">
        <f t="shared" si="143"/>
        <v>-191.08834233925796</v>
      </c>
      <c r="AE273">
        <f t="shared" si="144"/>
        <v>-887.24159196204039</v>
      </c>
      <c r="AF273">
        <f t="shared" si="145"/>
        <v>2.8245540978279449</v>
      </c>
      <c r="AG273" t="b">
        <f t="shared" si="153"/>
        <v>0</v>
      </c>
      <c r="AH273">
        <f t="shared" si="146"/>
        <v>25000</v>
      </c>
      <c r="AI273">
        <f t="shared" si="154"/>
        <v>4</v>
      </c>
      <c r="AJ273" cm="1">
        <f t="array" ref="AJ273:AO273">INDEX(surface!$A$2:$I$40,AI273+1,COLUMN(surface!$B$1:$G$1))</f>
        <v>0</v>
      </c>
      <c r="AK273">
        <v>1000</v>
      </c>
      <c r="AL273">
        <v>0</v>
      </c>
      <c r="AM273">
        <v>1</v>
      </c>
      <c r="AN273">
        <v>0</v>
      </c>
      <c r="AO273">
        <v>999</v>
      </c>
      <c r="AP273">
        <f t="shared" si="155"/>
        <v>184.7732251192738</v>
      </c>
      <c r="AQ273">
        <f t="shared" si="156"/>
        <v>321.83389975011755</v>
      </c>
      <c r="AR273">
        <f t="shared" si="157"/>
        <v>-923.16518222133118</v>
      </c>
      <c r="AS273">
        <f t="shared" si="147"/>
        <v>99.975852344211887</v>
      </c>
      <c r="AT273">
        <f t="shared" si="148"/>
        <v>0.37766915908084181</v>
      </c>
      <c r="AU273" t="b">
        <f t="shared" si="158"/>
        <v>1</v>
      </c>
      <c r="AV273">
        <f t="shared" si="149"/>
        <v>99.975852344211887</v>
      </c>
    </row>
    <row r="274" spans="1:48" x14ac:dyDescent="0.25">
      <c r="A274">
        <f t="shared" si="128"/>
        <v>27.200000000000117</v>
      </c>
      <c r="B274">
        <f t="shared" si="150"/>
        <v>0.1</v>
      </c>
      <c r="C274">
        <f>sim!C273+(sim!$G273*$B274*COS($E274))</f>
        <v>101.62412818035959</v>
      </c>
      <c r="D274">
        <f>sim!D273+(sim!$G273*$B274*SIN($E274))</f>
        <v>654.73871729208224</v>
      </c>
      <c r="E274">
        <f t="shared" si="129"/>
        <v>-6737.1457833327386</v>
      </c>
      <c r="F274">
        <f t="shared" si="136"/>
        <v>99.981785303029383</v>
      </c>
      <c r="G274">
        <v>100</v>
      </c>
      <c r="H274">
        <f t="shared" si="130"/>
        <v>1.5895321719514937E-3</v>
      </c>
      <c r="I274">
        <f t="shared" si="137"/>
        <v>9.1073484853083642E-2</v>
      </c>
      <c r="J274">
        <f t="shared" si="151"/>
        <v>0</v>
      </c>
      <c r="K274">
        <f t="shared" si="152"/>
        <v>0</v>
      </c>
      <c r="L274">
        <f t="shared" si="138"/>
        <v>0</v>
      </c>
      <c r="M274">
        <f t="shared" si="131"/>
        <v>9.1073484853083642E-2</v>
      </c>
      <c r="N274">
        <f t="shared" si="139"/>
        <v>92.384041024076595</v>
      </c>
      <c r="O274">
        <f t="shared" si="140"/>
        <v>650.91500321486706</v>
      </c>
      <c r="P274">
        <f t="shared" si="132"/>
        <v>-1.6830538753367819E-2</v>
      </c>
      <c r="Q274">
        <f t="shared" si="133"/>
        <v>612.67786244271463</v>
      </c>
      <c r="R274">
        <f t="shared" si="141"/>
        <v>-0.38237140772152411</v>
      </c>
      <c r="S274">
        <f t="shared" si="142"/>
        <v>-0.92400871562829967</v>
      </c>
      <c r="U274">
        <f t="shared" si="159"/>
        <v>3</v>
      </c>
      <c r="V274" cm="1">
        <f t="array" ref="V274:AA274">INDEX(surface!$A$2:$I$40,U274+1,COLUMN(surface!$B$1:$G$1))</f>
        <v>-500</v>
      </c>
      <c r="W274">
        <v>1000</v>
      </c>
      <c r="X274">
        <v>0</v>
      </c>
      <c r="Y274">
        <v>1000</v>
      </c>
      <c r="Z274">
        <v>-500</v>
      </c>
      <c r="AA274">
        <v>0</v>
      </c>
      <c r="AB274">
        <f t="shared" si="134"/>
        <v>684.76808204815325</v>
      </c>
      <c r="AC274">
        <f t="shared" si="135"/>
        <v>301.83000642973411</v>
      </c>
      <c r="AD274">
        <f t="shared" si="143"/>
        <v>-191.18570386076206</v>
      </c>
      <c r="AE274">
        <f t="shared" si="144"/>
        <v>-912.94743732346956</v>
      </c>
      <c r="AF274">
        <f t="shared" si="145"/>
        <v>2.8719108600429664</v>
      </c>
      <c r="AG274" t="b">
        <f t="shared" si="153"/>
        <v>0</v>
      </c>
      <c r="AH274">
        <f t="shared" si="146"/>
        <v>25000</v>
      </c>
      <c r="AI274">
        <f t="shared" si="154"/>
        <v>4</v>
      </c>
      <c r="AJ274" cm="1">
        <f t="array" ref="AJ274:AO274">INDEX(surface!$A$2:$I$40,AI274+1,COLUMN(surface!$B$1:$G$1))</f>
        <v>0</v>
      </c>
      <c r="AK274">
        <v>1000</v>
      </c>
      <c r="AL274">
        <v>0</v>
      </c>
      <c r="AM274">
        <v>1</v>
      </c>
      <c r="AN274">
        <v>0</v>
      </c>
      <c r="AO274">
        <v>999</v>
      </c>
      <c r="AP274">
        <f t="shared" si="155"/>
        <v>184.76808204815319</v>
      </c>
      <c r="AQ274">
        <f t="shared" si="156"/>
        <v>301.83000642973411</v>
      </c>
      <c r="AR274">
        <f t="shared" si="157"/>
        <v>-923.08470691267132</v>
      </c>
      <c r="AS274">
        <f t="shared" si="147"/>
        <v>99.981785303029383</v>
      </c>
      <c r="AT274">
        <f t="shared" si="148"/>
        <v>0.38770287565361711</v>
      </c>
      <c r="AU274" t="b">
        <f t="shared" si="158"/>
        <v>1</v>
      </c>
      <c r="AV274">
        <f t="shared" si="149"/>
        <v>99.981785303029383</v>
      </c>
    </row>
    <row r="275" spans="1:48" x14ac:dyDescent="0.25">
      <c r="A275">
        <f t="shared" si="128"/>
        <v>27.300000000000118</v>
      </c>
      <c r="B275">
        <f t="shared" si="150"/>
        <v>0.1</v>
      </c>
      <c r="C275">
        <f>sim!C274+(sim!$G274*$B275*COS($E275))</f>
        <v>101.62234061827516</v>
      </c>
      <c r="D275">
        <f>sim!D274+(sim!$G274*$B275*SIN($E275))</f>
        <v>644.73871745185113</v>
      </c>
      <c r="E275">
        <f t="shared" si="129"/>
        <v>-6737.145624379521</v>
      </c>
      <c r="F275">
        <f t="shared" si="136"/>
        <v>99.987086817019843</v>
      </c>
      <c r="G275">
        <v>100</v>
      </c>
      <c r="H275">
        <f t="shared" si="130"/>
        <v>1.1268877995811255E-3</v>
      </c>
      <c r="I275">
        <f t="shared" si="137"/>
        <v>6.4565914900782673E-2</v>
      </c>
      <c r="J275">
        <f t="shared" si="151"/>
        <v>0</v>
      </c>
      <c r="K275">
        <f t="shared" si="152"/>
        <v>0</v>
      </c>
      <c r="L275">
        <f t="shared" si="138"/>
        <v>0</v>
      </c>
      <c r="M275">
        <f t="shared" si="131"/>
        <v>6.4565914900782673E-2</v>
      </c>
      <c r="N275">
        <f t="shared" si="139"/>
        <v>92.382861370375878</v>
      </c>
      <c r="O275">
        <f t="shared" si="140"/>
        <v>640.9135346813631</v>
      </c>
      <c r="P275">
        <f t="shared" si="132"/>
        <v>-1.1931108616948904E-2</v>
      </c>
      <c r="Q275">
        <f t="shared" si="133"/>
        <v>602.66170697648272</v>
      </c>
      <c r="R275">
        <f t="shared" si="141"/>
        <v>-0.38251827704880337</v>
      </c>
      <c r="S275">
        <f t="shared" si="142"/>
        <v>-0.92394792478992827</v>
      </c>
      <c r="U275">
        <f t="shared" si="159"/>
        <v>3</v>
      </c>
      <c r="V275" cm="1">
        <f t="array" ref="V275:AA275">INDEX(surface!$A$2:$I$40,U275+1,COLUMN(surface!$B$1:$G$1))</f>
        <v>-500</v>
      </c>
      <c r="W275">
        <v>1000</v>
      </c>
      <c r="X275">
        <v>0</v>
      </c>
      <c r="Y275">
        <v>1000</v>
      </c>
      <c r="Z275">
        <v>-500</v>
      </c>
      <c r="AA275">
        <v>0</v>
      </c>
      <c r="AB275">
        <f t="shared" si="134"/>
        <v>684.7657227407517</v>
      </c>
      <c r="AC275">
        <f t="shared" si="135"/>
        <v>281.82706936272621</v>
      </c>
      <c r="AD275">
        <f t="shared" si="143"/>
        <v>-191.25913852440169</v>
      </c>
      <c r="AE275">
        <f t="shared" si="144"/>
        <v>-938.74328852742133</v>
      </c>
      <c r="AF275">
        <f t="shared" si="145"/>
        <v>2.9194655494315191</v>
      </c>
      <c r="AG275" t="b">
        <f t="shared" si="153"/>
        <v>0</v>
      </c>
      <c r="AH275">
        <f t="shared" si="146"/>
        <v>25000</v>
      </c>
      <c r="AI275">
        <f t="shared" si="154"/>
        <v>4</v>
      </c>
      <c r="AJ275" cm="1">
        <f t="array" ref="AJ275:AO275">INDEX(surface!$A$2:$I$40,AI275+1,COLUMN(surface!$B$1:$G$1))</f>
        <v>0</v>
      </c>
      <c r="AK275">
        <v>1000</v>
      </c>
      <c r="AL275">
        <v>0</v>
      </c>
      <c r="AM275">
        <v>1</v>
      </c>
      <c r="AN275">
        <v>0</v>
      </c>
      <c r="AO275">
        <v>999</v>
      </c>
      <c r="AP275">
        <f t="shared" si="155"/>
        <v>184.76572274075176</v>
      </c>
      <c r="AQ275">
        <f t="shared" si="156"/>
        <v>281.82706936272621</v>
      </c>
      <c r="AR275">
        <f t="shared" si="157"/>
        <v>-923.02397686513837</v>
      </c>
      <c r="AS275">
        <f t="shared" si="147"/>
        <v>99.987086817019843</v>
      </c>
      <c r="AT275">
        <f t="shared" si="148"/>
        <v>0.397731084579592</v>
      </c>
      <c r="AU275" t="b">
        <f t="shared" si="158"/>
        <v>1</v>
      </c>
      <c r="AV275">
        <f t="shared" si="149"/>
        <v>99.987086817019843</v>
      </c>
    </row>
    <row r="276" spans="1:48" x14ac:dyDescent="0.25">
      <c r="A276">
        <f t="shared" si="128"/>
        <v>27.400000000000119</v>
      </c>
      <c r="B276">
        <f t="shared" si="150"/>
        <v>0.1</v>
      </c>
      <c r="C276">
        <f>sim!C275+(sim!$G275*$B276*COS($E276))</f>
        <v>101.62167994398231</v>
      </c>
      <c r="D276">
        <f>sim!D275+(sim!$G275*$B276*SIN($E276))</f>
        <v>634.73871747367571</v>
      </c>
      <c r="E276">
        <f t="shared" si="129"/>
        <v>-6737.1455116907409</v>
      </c>
      <c r="F276">
        <f t="shared" si="136"/>
        <v>99.991503961758767</v>
      </c>
      <c r="G276">
        <v>100</v>
      </c>
      <c r="H276">
        <f t="shared" si="130"/>
        <v>7.4141920342435115E-4</v>
      </c>
      <c r="I276">
        <f t="shared" si="137"/>
        <v>4.2480191206166751E-2</v>
      </c>
      <c r="J276">
        <f t="shared" si="151"/>
        <v>0</v>
      </c>
      <c r="K276">
        <f t="shared" si="152"/>
        <v>0</v>
      </c>
      <c r="L276">
        <f t="shared" si="138"/>
        <v>0</v>
      </c>
      <c r="M276">
        <f t="shared" si="131"/>
        <v>4.2480191206166751E-2</v>
      </c>
      <c r="N276">
        <f t="shared" si="139"/>
        <v>92.38263180992702</v>
      </c>
      <c r="O276">
        <f t="shared" si="140"/>
        <v>630.91249354183253</v>
      </c>
      <c r="P276">
        <f t="shared" si="132"/>
        <v>-7.8495306259611652E-3</v>
      </c>
      <c r="Q276">
        <f t="shared" si="133"/>
        <v>592.65025422340091</v>
      </c>
      <c r="R276">
        <f t="shared" si="141"/>
        <v>-0.3826223931843159</v>
      </c>
      <c r="S276">
        <f t="shared" si="142"/>
        <v>-0.92390481340552977</v>
      </c>
      <c r="U276">
        <f t="shared" si="159"/>
        <v>3</v>
      </c>
      <c r="V276" cm="1">
        <f t="array" ref="V276:AA276">INDEX(surface!$A$2:$I$40,U276+1,COLUMN(surface!$B$1:$G$1))</f>
        <v>-500</v>
      </c>
      <c r="W276">
        <v>1000</v>
      </c>
      <c r="X276">
        <v>0</v>
      </c>
      <c r="Y276">
        <v>1000</v>
      </c>
      <c r="Z276">
        <v>-500</v>
      </c>
      <c r="AA276">
        <v>0</v>
      </c>
      <c r="AB276">
        <f t="shared" si="134"/>
        <v>684.76526361985407</v>
      </c>
      <c r="AC276">
        <f t="shared" si="135"/>
        <v>261.82498708366506</v>
      </c>
      <c r="AD276">
        <f t="shared" si="143"/>
        <v>-191.31119659215796</v>
      </c>
      <c r="AE276">
        <f t="shared" si="144"/>
        <v>-964.62599427726525</v>
      </c>
      <c r="AF276">
        <f t="shared" si="145"/>
        <v>2.9672104621175754</v>
      </c>
      <c r="AG276" t="b">
        <f t="shared" si="153"/>
        <v>0</v>
      </c>
      <c r="AH276">
        <f t="shared" si="146"/>
        <v>25000</v>
      </c>
      <c r="AI276">
        <f t="shared" si="154"/>
        <v>4</v>
      </c>
      <c r="AJ276" cm="1">
        <f t="array" ref="AJ276:AO276">INDEX(surface!$A$2:$I$40,AI276+1,COLUMN(surface!$B$1:$G$1))</f>
        <v>0</v>
      </c>
      <c r="AK276">
        <v>1000</v>
      </c>
      <c r="AL276">
        <v>0</v>
      </c>
      <c r="AM276">
        <v>1</v>
      </c>
      <c r="AN276">
        <v>0</v>
      </c>
      <c r="AO276">
        <v>999</v>
      </c>
      <c r="AP276">
        <f t="shared" si="155"/>
        <v>184.76526361985404</v>
      </c>
      <c r="AQ276">
        <f t="shared" si="156"/>
        <v>261.82498708366506</v>
      </c>
      <c r="AR276">
        <f t="shared" si="157"/>
        <v>-922.98090859212425</v>
      </c>
      <c r="AS276">
        <f t="shared" si="147"/>
        <v>99.991503961758767</v>
      </c>
      <c r="AT276">
        <f t="shared" si="148"/>
        <v>0.407754249251366</v>
      </c>
      <c r="AU276" t="b">
        <f t="shared" si="158"/>
        <v>1</v>
      </c>
      <c r="AV276">
        <f t="shared" si="149"/>
        <v>99.991503961758767</v>
      </c>
    </row>
    <row r="277" spans="1:48" x14ac:dyDescent="0.25">
      <c r="A277">
        <f t="shared" si="128"/>
        <v>27.500000000000121</v>
      </c>
      <c r="B277">
        <f t="shared" si="150"/>
        <v>0.1</v>
      </c>
      <c r="C277">
        <f>sim!C276+(sim!$G276*$B277*COS($E277))</f>
        <v>101.62176068889677</v>
      </c>
      <c r="D277">
        <f>sim!D276+(sim!$G276*$B277*SIN($E277))</f>
        <v>624.73871747400165</v>
      </c>
      <c r="E277">
        <f t="shared" si="129"/>
        <v>-6737.1454375488202</v>
      </c>
      <c r="F277">
        <f t="shared" si="136"/>
        <v>99.994969038431364</v>
      </c>
      <c r="G277">
        <v>100</v>
      </c>
      <c r="H277">
        <f t="shared" si="130"/>
        <v>4.3903421956997715E-4</v>
      </c>
      <c r="I277">
        <f t="shared" si="137"/>
        <v>2.5154807843179583E-2</v>
      </c>
      <c r="J277">
        <f t="shared" si="151"/>
        <v>0</v>
      </c>
      <c r="K277">
        <f t="shared" si="152"/>
        <v>0</v>
      </c>
      <c r="L277">
        <f t="shared" si="138"/>
        <v>0</v>
      </c>
      <c r="M277">
        <f t="shared" si="131"/>
        <v>2.5154807843179583E-2</v>
      </c>
      <c r="N277">
        <f t="shared" si="139"/>
        <v>92.382996263826485</v>
      </c>
      <c r="O277">
        <f t="shared" si="140"/>
        <v>620.91180855190078</v>
      </c>
      <c r="P277">
        <f t="shared" si="132"/>
        <v>-4.6479868764208732E-3</v>
      </c>
      <c r="Q277">
        <f t="shared" si="133"/>
        <v>582.64271933089162</v>
      </c>
      <c r="R277">
        <f t="shared" si="141"/>
        <v>-0.38269089221009189</v>
      </c>
      <c r="S277">
        <f t="shared" si="142"/>
        <v>-0.92387644250702905</v>
      </c>
      <c r="U277">
        <f t="shared" si="159"/>
        <v>3</v>
      </c>
      <c r="V277" cm="1">
        <f t="array" ref="V277:AA277">INDEX(surface!$A$2:$I$40,U277+1,COLUMN(surface!$B$1:$G$1))</f>
        <v>-500</v>
      </c>
      <c r="W277">
        <v>1000</v>
      </c>
      <c r="X277">
        <v>0</v>
      </c>
      <c r="Y277">
        <v>1000</v>
      </c>
      <c r="Z277">
        <v>-500</v>
      </c>
      <c r="AA277">
        <v>0</v>
      </c>
      <c r="AB277">
        <f t="shared" si="134"/>
        <v>684.765992527653</v>
      </c>
      <c r="AC277">
        <f t="shared" si="135"/>
        <v>241.82361710380155</v>
      </c>
      <c r="AD277">
        <f t="shared" si="143"/>
        <v>-191.34544610504594</v>
      </c>
      <c r="AE277">
        <f t="shared" si="144"/>
        <v>-990.58587273612238</v>
      </c>
      <c r="AF277">
        <f t="shared" si="145"/>
        <v>3.015123896729992</v>
      </c>
      <c r="AG277" t="b">
        <f t="shared" si="153"/>
        <v>0</v>
      </c>
      <c r="AH277">
        <f t="shared" si="146"/>
        <v>25000</v>
      </c>
      <c r="AI277">
        <f t="shared" si="154"/>
        <v>4</v>
      </c>
      <c r="AJ277" cm="1">
        <f t="array" ref="AJ277:AO277">INDEX(surface!$A$2:$I$40,AI277+1,COLUMN(surface!$B$1:$G$1))</f>
        <v>0</v>
      </c>
      <c r="AK277">
        <v>1000</v>
      </c>
      <c r="AL277">
        <v>0</v>
      </c>
      <c r="AM277">
        <v>1</v>
      </c>
      <c r="AN277">
        <v>0</v>
      </c>
      <c r="AO277">
        <v>999</v>
      </c>
      <c r="AP277">
        <f t="shared" si="155"/>
        <v>184.76599252765297</v>
      </c>
      <c r="AQ277">
        <f t="shared" si="156"/>
        <v>241.82361710380155</v>
      </c>
      <c r="AR277">
        <f t="shared" si="157"/>
        <v>-922.95256606452199</v>
      </c>
      <c r="AS277">
        <f t="shared" si="147"/>
        <v>99.994969038431364</v>
      </c>
      <c r="AT277">
        <f t="shared" si="148"/>
        <v>0.41777312849443143</v>
      </c>
      <c r="AU277" t="b">
        <f t="shared" si="158"/>
        <v>1</v>
      </c>
      <c r="AV277">
        <f t="shared" si="149"/>
        <v>99.994969038431364</v>
      </c>
    </row>
    <row r="278" spans="1:48" x14ac:dyDescent="0.25">
      <c r="A278">
        <f t="shared" si="128"/>
        <v>27.600000000000122</v>
      </c>
      <c r="B278">
        <f t="shared" si="150"/>
        <v>0.1</v>
      </c>
      <c r="C278">
        <f>sim!C277+(sim!$G277*$B278*COS($E278))</f>
        <v>101.62228046803109</v>
      </c>
      <c r="D278">
        <f>sim!D277+(sim!$G277*$B278*SIN($E278))</f>
        <v>614.73871748751014</v>
      </c>
      <c r="E278">
        <f t="shared" si="129"/>
        <v>-6737.1453936453981</v>
      </c>
      <c r="F278">
        <f t="shared" si="136"/>
        <v>99.997532145220845</v>
      </c>
      <c r="G278">
        <v>100</v>
      </c>
      <c r="H278">
        <f t="shared" si="130"/>
        <v>2.1536095678668162E-4</v>
      </c>
      <c r="I278">
        <f t="shared" si="137"/>
        <v>1.2339273895776159E-2</v>
      </c>
      <c r="J278">
        <f t="shared" si="151"/>
        <v>0</v>
      </c>
      <c r="K278">
        <f t="shared" si="152"/>
        <v>0</v>
      </c>
      <c r="L278">
        <f t="shared" si="138"/>
        <v>0</v>
      </c>
      <c r="M278">
        <f t="shared" si="131"/>
        <v>1.2339273895776159E-2</v>
      </c>
      <c r="N278">
        <f t="shared" si="139"/>
        <v>92.383684066262063</v>
      </c>
      <c r="O278">
        <f t="shared" si="140"/>
        <v>610.91140295572416</v>
      </c>
      <c r="P278">
        <f t="shared" si="132"/>
        <v>-2.2799514282780819E-3</v>
      </c>
      <c r="Q278">
        <f t="shared" si="133"/>
        <v>572.63825763786417</v>
      </c>
      <c r="R278">
        <f t="shared" si="141"/>
        <v>-0.38273145317859969</v>
      </c>
      <c r="S278">
        <f t="shared" si="142"/>
        <v>-0.92385964017690336</v>
      </c>
      <c r="U278">
        <f t="shared" si="159"/>
        <v>3</v>
      </c>
      <c r="V278" cm="1">
        <f t="array" ref="V278:AA278">INDEX(surface!$A$2:$I$40,U278+1,COLUMN(surface!$B$1:$G$1))</f>
        <v>-500</v>
      </c>
      <c r="W278">
        <v>1000</v>
      </c>
      <c r="X278">
        <v>0</v>
      </c>
      <c r="Y278">
        <v>1000</v>
      </c>
      <c r="Z278">
        <v>-500</v>
      </c>
      <c r="AA278">
        <v>0</v>
      </c>
      <c r="AB278">
        <f t="shared" si="134"/>
        <v>684.7673681325241</v>
      </c>
      <c r="AC278">
        <f t="shared" si="135"/>
        <v>221.82280591144831</v>
      </c>
      <c r="AD278">
        <f t="shared" si="143"/>
        <v>-191.36572658929984</v>
      </c>
      <c r="AE278">
        <f t="shared" si="144"/>
        <v>-1016.6099331865198</v>
      </c>
      <c r="AF278">
        <f t="shared" si="145"/>
        <v>3.0631771422804519</v>
      </c>
      <c r="AG278" t="b">
        <f t="shared" si="153"/>
        <v>0</v>
      </c>
      <c r="AH278">
        <f t="shared" si="146"/>
        <v>25000</v>
      </c>
      <c r="AI278">
        <f t="shared" si="154"/>
        <v>4</v>
      </c>
      <c r="AJ278" cm="1">
        <f t="array" ref="AJ278:AO278">INDEX(surface!$A$2:$I$40,AI278+1,COLUMN(surface!$B$1:$G$1))</f>
        <v>0</v>
      </c>
      <c r="AK278">
        <v>1000</v>
      </c>
      <c r="AL278">
        <v>0</v>
      </c>
      <c r="AM278">
        <v>1</v>
      </c>
      <c r="AN278">
        <v>0</v>
      </c>
      <c r="AO278">
        <v>999</v>
      </c>
      <c r="AP278">
        <f t="shared" si="155"/>
        <v>184.76736813252413</v>
      </c>
      <c r="AQ278">
        <f t="shared" si="156"/>
        <v>221.82280591144831</v>
      </c>
      <c r="AR278">
        <f t="shared" si="157"/>
        <v>-922.9357805367265</v>
      </c>
      <c r="AS278">
        <f t="shared" si="147"/>
        <v>99.997532145220845</v>
      </c>
      <c r="AT278">
        <f t="shared" si="148"/>
        <v>0.42778858642291284</v>
      </c>
      <c r="AU278" t="b">
        <f t="shared" si="158"/>
        <v>1</v>
      </c>
      <c r="AV278">
        <f t="shared" si="149"/>
        <v>99.997532145220845</v>
      </c>
    </row>
    <row r="279" spans="1:48" x14ac:dyDescent="0.25">
      <c r="A279">
        <f t="shared" si="128"/>
        <v>27.700000000000124</v>
      </c>
      <c r="B279">
        <f t="shared" si="150"/>
        <v>0.1</v>
      </c>
      <c r="C279">
        <f>sim!C278+(sim!$G278*$B279*COS($E279))</f>
        <v>101.62301560812527</v>
      </c>
      <c r="D279">
        <f>sim!D278+(sim!$G278*$B279*SIN($E279))</f>
        <v>604.73871751453169</v>
      </c>
      <c r="E279">
        <f t="shared" si="129"/>
        <v>-6737.1453721093021</v>
      </c>
      <c r="F279">
        <f t="shared" si="136"/>
        <v>99.999309295604377</v>
      </c>
      <c r="G279">
        <v>100</v>
      </c>
      <c r="H279">
        <f t="shared" si="130"/>
        <v>6.0275329308115493E-5</v>
      </c>
      <c r="I279">
        <f t="shared" si="137"/>
        <v>3.4535219781162141E-3</v>
      </c>
      <c r="J279">
        <f t="shared" si="151"/>
        <v>0</v>
      </c>
      <c r="K279">
        <f t="shared" si="152"/>
        <v>0</v>
      </c>
      <c r="L279">
        <f t="shared" si="138"/>
        <v>0</v>
      </c>
      <c r="M279">
        <f t="shared" si="131"/>
        <v>3.4535219781162141E-3</v>
      </c>
      <c r="N279">
        <f t="shared" si="139"/>
        <v>92.384501633911967</v>
      </c>
      <c r="O279">
        <f t="shared" si="140"/>
        <v>600.91120402033403</v>
      </c>
      <c r="P279">
        <f t="shared" si="132"/>
        <v>-6.381082211106559E-4</v>
      </c>
      <c r="Q279">
        <f t="shared" si="133"/>
        <v>562.63606907835708</v>
      </c>
      <c r="R279">
        <f t="shared" si="141"/>
        <v>-0.38275134941976957</v>
      </c>
      <c r="S279">
        <f t="shared" si="142"/>
        <v>-0.92385139742133071</v>
      </c>
      <c r="U279">
        <f t="shared" si="159"/>
        <v>3</v>
      </c>
      <c r="V279" cm="1">
        <f t="array" ref="V279:AA279">INDEX(surface!$A$2:$I$40,U279+1,COLUMN(surface!$B$1:$G$1))</f>
        <v>-500</v>
      </c>
      <c r="W279">
        <v>1000</v>
      </c>
      <c r="X279">
        <v>0</v>
      </c>
      <c r="Y279">
        <v>1000</v>
      </c>
      <c r="Z279">
        <v>-500</v>
      </c>
      <c r="AA279">
        <v>0</v>
      </c>
      <c r="AB279">
        <f t="shared" si="134"/>
        <v>684.7690032678239</v>
      </c>
      <c r="AC279">
        <f t="shared" si="135"/>
        <v>201.82240804066805</v>
      </c>
      <c r="AD279">
        <f t="shared" si="143"/>
        <v>-191.37567470988478</v>
      </c>
      <c r="AE279">
        <f t="shared" si="144"/>
        <v>-1042.6842298130709</v>
      </c>
      <c r="AF279">
        <f t="shared" si="145"/>
        <v>3.1113395688318026</v>
      </c>
      <c r="AG279" t="b">
        <f t="shared" si="153"/>
        <v>0</v>
      </c>
      <c r="AH279">
        <f t="shared" si="146"/>
        <v>25000</v>
      </c>
      <c r="AI279">
        <f t="shared" si="154"/>
        <v>4</v>
      </c>
      <c r="AJ279" cm="1">
        <f t="array" ref="AJ279:AO279">INDEX(surface!$A$2:$I$40,AI279+1,COLUMN(surface!$B$1:$G$1))</f>
        <v>0</v>
      </c>
      <c r="AK279">
        <v>1000</v>
      </c>
      <c r="AL279">
        <v>0</v>
      </c>
      <c r="AM279">
        <v>1</v>
      </c>
      <c r="AN279">
        <v>0</v>
      </c>
      <c r="AO279">
        <v>999</v>
      </c>
      <c r="AP279">
        <f t="shared" si="155"/>
        <v>184.76900326782393</v>
      </c>
      <c r="AQ279">
        <f t="shared" si="156"/>
        <v>201.82240804066805</v>
      </c>
      <c r="AR279">
        <f t="shared" si="157"/>
        <v>-922.92754602390937</v>
      </c>
      <c r="AS279">
        <f t="shared" si="147"/>
        <v>99.999309295604377</v>
      </c>
      <c r="AT279">
        <f t="shared" si="148"/>
        <v>0.43780146802162506</v>
      </c>
      <c r="AU279" t="b">
        <f t="shared" si="158"/>
        <v>1</v>
      </c>
      <c r="AV279">
        <f t="shared" si="149"/>
        <v>99.999309295604377</v>
      </c>
    </row>
    <row r="280" spans="1:48" x14ac:dyDescent="0.25">
      <c r="A280">
        <f t="shared" si="128"/>
        <v>27.800000000000125</v>
      </c>
      <c r="B280">
        <f t="shared" si="150"/>
        <v>0.1</v>
      </c>
      <c r="C280">
        <f>sim!C279+(sim!$G279*$B280*COS($E280))</f>
        <v>101.62381102355273</v>
      </c>
      <c r="D280">
        <f>sim!D279+(sim!$G279*$B280*SIN($E280))</f>
        <v>594.73871754616596</v>
      </c>
      <c r="E280">
        <f t="shared" si="129"/>
        <v>-6737.1453660817688</v>
      </c>
      <c r="F280">
        <f t="shared" si="136"/>
        <v>100.00044496896092</v>
      </c>
      <c r="G280">
        <v>100</v>
      </c>
      <c r="H280">
        <f t="shared" si="130"/>
        <v>-3.8830867186184128E-5</v>
      </c>
      <c r="I280">
        <f t="shared" si="137"/>
        <v>-2.2248448046013891E-3</v>
      </c>
      <c r="J280">
        <f t="shared" si="151"/>
        <v>0</v>
      </c>
      <c r="K280">
        <f t="shared" si="152"/>
        <v>0</v>
      </c>
      <c r="L280">
        <f t="shared" si="138"/>
        <v>0</v>
      </c>
      <c r="M280">
        <f t="shared" si="131"/>
        <v>-2.2248448046013891E-3</v>
      </c>
      <c r="N280">
        <f t="shared" si="139"/>
        <v>92.385320119972462</v>
      </c>
      <c r="O280">
        <f t="shared" si="140"/>
        <v>590.91114836658676</v>
      </c>
      <c r="P280">
        <f t="shared" si="132"/>
        <v>4.1108416978374862E-4</v>
      </c>
      <c r="Q280">
        <f t="shared" si="133"/>
        <v>552.63545657079464</v>
      </c>
      <c r="R280">
        <f t="shared" si="141"/>
        <v>-0.38275691795792077</v>
      </c>
      <c r="S280">
        <f t="shared" si="142"/>
        <v>-0.92384909035802676</v>
      </c>
      <c r="U280">
        <f t="shared" si="159"/>
        <v>3</v>
      </c>
      <c r="V280" cm="1">
        <f t="array" ref="V280:AA280">INDEX(surface!$A$2:$I$40,U280+1,COLUMN(surface!$B$1:$G$1))</f>
        <v>-500</v>
      </c>
      <c r="W280">
        <v>1000</v>
      </c>
      <c r="X280">
        <v>0</v>
      </c>
      <c r="Y280">
        <v>1000</v>
      </c>
      <c r="Z280">
        <v>-500</v>
      </c>
      <c r="AA280">
        <v>0</v>
      </c>
      <c r="AB280">
        <f t="shared" si="134"/>
        <v>684.7706402399449</v>
      </c>
      <c r="AC280">
        <f t="shared" si="135"/>
        <v>181.82229673317352</v>
      </c>
      <c r="AD280">
        <f t="shared" si="143"/>
        <v>-191.3784589789604</v>
      </c>
      <c r="AE280">
        <f t="shared" si="144"/>
        <v>-1068.795448077015</v>
      </c>
      <c r="AF280">
        <f t="shared" si="145"/>
        <v>3.159582045209445</v>
      </c>
      <c r="AG280" t="b">
        <f t="shared" si="153"/>
        <v>0</v>
      </c>
      <c r="AH280">
        <f t="shared" si="146"/>
        <v>25000</v>
      </c>
      <c r="AI280">
        <f t="shared" si="154"/>
        <v>4</v>
      </c>
      <c r="AJ280" cm="1">
        <f t="array" ref="AJ280:AO280">INDEX(surface!$A$2:$I$40,AI280+1,COLUMN(surface!$B$1:$G$1))</f>
        <v>0</v>
      </c>
      <c r="AK280">
        <v>1000</v>
      </c>
      <c r="AL280">
        <v>0</v>
      </c>
      <c r="AM280">
        <v>1</v>
      </c>
      <c r="AN280">
        <v>0</v>
      </c>
      <c r="AO280">
        <v>999</v>
      </c>
      <c r="AP280">
        <f t="shared" si="155"/>
        <v>184.77064023994492</v>
      </c>
      <c r="AQ280">
        <f t="shared" si="156"/>
        <v>181.82229673317352</v>
      </c>
      <c r="AR280">
        <f t="shared" si="157"/>
        <v>-922.92524126766875</v>
      </c>
      <c r="AS280">
        <f t="shared" si="147"/>
        <v>100.00044496896092</v>
      </c>
      <c r="AT280">
        <f t="shared" si="148"/>
        <v>0.44781252627042384</v>
      </c>
      <c r="AU280" t="b">
        <f t="shared" si="158"/>
        <v>1</v>
      </c>
      <c r="AV280">
        <f t="shared" si="149"/>
        <v>100.00044496896092</v>
      </c>
    </row>
    <row r="281" spans="1:48" x14ac:dyDescent="0.25">
      <c r="A281">
        <f t="shared" si="128"/>
        <v>27.900000000000126</v>
      </c>
      <c r="B281">
        <f t="shared" si="150"/>
        <v>0.1</v>
      </c>
      <c r="C281">
        <f>sim!C280+(sim!$G280*$B281*COS($E281))</f>
        <v>101.62456760811311</v>
      </c>
      <c r="D281">
        <f>sim!D280+(sim!$G280*$B281*SIN($E281))</f>
        <v>584.73871757478696</v>
      </c>
      <c r="E281">
        <f t="shared" si="129"/>
        <v>-6737.1453699648555</v>
      </c>
      <c r="F281">
        <f t="shared" si="136"/>
        <v>100.00108694945716</v>
      </c>
      <c r="G281">
        <v>100</v>
      </c>
      <c r="H281">
        <f t="shared" si="130"/>
        <v>-9.4854234151106202E-5</v>
      </c>
      <c r="I281">
        <f t="shared" si="137"/>
        <v>-5.4347472858040646E-3</v>
      </c>
      <c r="J281">
        <f t="shared" si="151"/>
        <v>0</v>
      </c>
      <c r="K281">
        <f t="shared" si="152"/>
        <v>0</v>
      </c>
      <c r="L281">
        <f t="shared" si="138"/>
        <v>0</v>
      </c>
      <c r="M281">
        <f t="shared" si="131"/>
        <v>-5.4347472858040646E-3</v>
      </c>
      <c r="N281">
        <f t="shared" si="139"/>
        <v>92.386061841819441</v>
      </c>
      <c r="O281">
        <f t="shared" si="140"/>
        <v>580.91118426909793</v>
      </c>
      <c r="P281">
        <f t="shared" si="132"/>
        <v>1.0041788827663822E-3</v>
      </c>
      <c r="Q281">
        <f t="shared" si="133"/>
        <v>542.63585121220785</v>
      </c>
      <c r="R281">
        <f t="shared" si="141"/>
        <v>-0.38275333056890126</v>
      </c>
      <c r="S281">
        <f t="shared" si="142"/>
        <v>-0.92385057662936676</v>
      </c>
      <c r="U281">
        <f t="shared" si="159"/>
        <v>3</v>
      </c>
      <c r="V281" cm="1">
        <f t="array" ref="V281:AA281">INDEX(surface!$A$2:$I$40,U281+1,COLUMN(surface!$B$1:$G$1))</f>
        <v>-500</v>
      </c>
      <c r="W281">
        <v>1000</v>
      </c>
      <c r="X281">
        <v>0</v>
      </c>
      <c r="Y281">
        <v>1000</v>
      </c>
      <c r="Z281">
        <v>-500</v>
      </c>
      <c r="AA281">
        <v>0</v>
      </c>
      <c r="AB281">
        <f t="shared" si="134"/>
        <v>684.77212368363894</v>
      </c>
      <c r="AC281">
        <f t="shared" si="135"/>
        <v>161.82236853819586</v>
      </c>
      <c r="AD281">
        <f t="shared" si="143"/>
        <v>-191.37666528445064</v>
      </c>
      <c r="AE281">
        <f t="shared" si="144"/>
        <v>-1094.9318588763001</v>
      </c>
      <c r="AF281">
        <f t="shared" si="145"/>
        <v>3.2078789820691074</v>
      </c>
      <c r="AG281" t="b">
        <f t="shared" si="153"/>
        <v>0</v>
      </c>
      <c r="AH281">
        <f t="shared" si="146"/>
        <v>25000</v>
      </c>
      <c r="AI281">
        <f t="shared" si="154"/>
        <v>4</v>
      </c>
      <c r="AJ281" cm="1">
        <f t="array" ref="AJ281:AO281">INDEX(surface!$A$2:$I$40,AI281+1,COLUMN(surface!$B$1:$G$1))</f>
        <v>0</v>
      </c>
      <c r="AK281">
        <v>1000</v>
      </c>
      <c r="AL281">
        <v>0</v>
      </c>
      <c r="AM281">
        <v>1</v>
      </c>
      <c r="AN281">
        <v>0</v>
      </c>
      <c r="AO281">
        <v>999</v>
      </c>
      <c r="AP281">
        <f t="shared" si="155"/>
        <v>184.77212368363888</v>
      </c>
      <c r="AQ281">
        <f t="shared" si="156"/>
        <v>161.82236853819586</v>
      </c>
      <c r="AR281">
        <f t="shared" si="157"/>
        <v>-922.92672605273742</v>
      </c>
      <c r="AS281">
        <f t="shared" si="147"/>
        <v>100.00108694945716</v>
      </c>
      <c r="AT281">
        <f t="shared" si="148"/>
        <v>0.45782238720852558</v>
      </c>
      <c r="AU281" t="b">
        <f t="shared" si="158"/>
        <v>1</v>
      </c>
      <c r="AV281">
        <f t="shared" si="149"/>
        <v>100.00108694945716</v>
      </c>
    </row>
    <row r="282" spans="1:48" x14ac:dyDescent="0.25">
      <c r="A282">
        <f t="shared" si="128"/>
        <v>28.000000000000128</v>
      </c>
      <c r="B282">
        <f t="shared" si="150"/>
        <v>0.1</v>
      </c>
      <c r="C282">
        <f>sim!C281+(sim!$G281*$B282*COS($E282))</f>
        <v>101.62522933844267</v>
      </c>
      <c r="D282">
        <f>sim!D281+(sim!$G281*$B282*SIN($E282))</f>
        <v>574.73871759668134</v>
      </c>
      <c r="E282">
        <f t="shared" si="129"/>
        <v>-6737.1453794502786</v>
      </c>
      <c r="F282">
        <f t="shared" si="136"/>
        <v>100.00137094172736</v>
      </c>
      <c r="G282">
        <v>100</v>
      </c>
      <c r="H282">
        <f t="shared" si="130"/>
        <v>-1.1963723497695215E-4</v>
      </c>
      <c r="I282">
        <f t="shared" si="137"/>
        <v>-6.8547086367942711E-3</v>
      </c>
      <c r="J282">
        <f t="shared" si="151"/>
        <v>0</v>
      </c>
      <c r="K282">
        <f t="shared" si="152"/>
        <v>0</v>
      </c>
      <c r="L282">
        <f t="shared" si="138"/>
        <v>0</v>
      </c>
      <c r="M282">
        <f t="shared" si="131"/>
        <v>-6.8547086367942711E-3</v>
      </c>
      <c r="N282">
        <f t="shared" si="139"/>
        <v>92.386687266791753</v>
      </c>
      <c r="O282">
        <f t="shared" si="140"/>
        <v>570.91127192230056</v>
      </c>
      <c r="P282">
        <f t="shared" si="132"/>
        <v>1.2665502825939257E-3</v>
      </c>
      <c r="Q282">
        <f t="shared" si="133"/>
        <v>532.63681517849295</v>
      </c>
      <c r="R282">
        <f t="shared" si="141"/>
        <v>-0.38274456743807611</v>
      </c>
      <c r="S282">
        <f t="shared" si="142"/>
        <v>-0.92385420716509159</v>
      </c>
      <c r="U282">
        <f t="shared" si="159"/>
        <v>3</v>
      </c>
      <c r="V282" cm="1">
        <f t="array" ref="V282:AA282">INDEX(surface!$A$2:$I$40,U282+1,COLUMN(surface!$B$1:$G$1))</f>
        <v>-500</v>
      </c>
      <c r="W282">
        <v>1000</v>
      </c>
      <c r="X282">
        <v>0</v>
      </c>
      <c r="Y282">
        <v>1000</v>
      </c>
      <c r="Z282">
        <v>-500</v>
      </c>
      <c r="AA282">
        <v>0</v>
      </c>
      <c r="AB282">
        <f t="shared" si="134"/>
        <v>684.77337453358348</v>
      </c>
      <c r="AC282">
        <f t="shared" si="135"/>
        <v>141.82254384460111</v>
      </c>
      <c r="AD282">
        <f t="shared" si="143"/>
        <v>-191.37228371903805</v>
      </c>
      <c r="AE282">
        <f t="shared" si="144"/>
        <v>-1121.083784284205</v>
      </c>
      <c r="AF282">
        <f t="shared" si="145"/>
        <v>3.2562093159246328</v>
      </c>
      <c r="AG282" t="b">
        <f t="shared" si="153"/>
        <v>0</v>
      </c>
      <c r="AH282">
        <f t="shared" si="146"/>
        <v>25000</v>
      </c>
      <c r="AI282">
        <f t="shared" si="154"/>
        <v>4</v>
      </c>
      <c r="AJ282" cm="1">
        <f t="array" ref="AJ282:AO282">INDEX(surface!$A$2:$I$40,AI282+1,COLUMN(surface!$B$1:$G$1))</f>
        <v>0</v>
      </c>
      <c r="AK282">
        <v>1000</v>
      </c>
      <c r="AL282">
        <v>0</v>
      </c>
      <c r="AM282">
        <v>1</v>
      </c>
      <c r="AN282">
        <v>0</v>
      </c>
      <c r="AO282">
        <v>999</v>
      </c>
      <c r="AP282">
        <f t="shared" si="155"/>
        <v>184.77337453358351</v>
      </c>
      <c r="AQ282">
        <f t="shared" si="156"/>
        <v>141.82254384460111</v>
      </c>
      <c r="AR282">
        <f t="shared" si="157"/>
        <v>-922.93035295792652</v>
      </c>
      <c r="AS282">
        <f t="shared" si="147"/>
        <v>100.00137094172736</v>
      </c>
      <c r="AT282">
        <f t="shared" si="148"/>
        <v>0.46783154108308855</v>
      </c>
      <c r="AU282" t="b">
        <f t="shared" si="158"/>
        <v>1</v>
      </c>
      <c r="AV282">
        <f t="shared" si="149"/>
        <v>100.00137094172736</v>
      </c>
    </row>
    <row r="283" spans="1:48" x14ac:dyDescent="0.25">
      <c r="A283">
        <f t="shared" si="128"/>
        <v>28.100000000000129</v>
      </c>
      <c r="B283">
        <f t="shared" si="150"/>
        <v>0.1</v>
      </c>
      <c r="C283">
        <f>sim!C282+(sim!$G282*$B283*COS($E283))</f>
        <v>101.62577143153834</v>
      </c>
      <c r="D283">
        <f>sim!D282+(sim!$G282*$B283*SIN($E283))</f>
        <v>564.73871761137457</v>
      </c>
      <c r="E283">
        <f t="shared" si="129"/>
        <v>-6737.145391414002</v>
      </c>
      <c r="F283">
        <f t="shared" si="136"/>
        <v>100.00141250497919</v>
      </c>
      <c r="G283">
        <v>100</v>
      </c>
      <c r="H283">
        <f t="shared" si="130"/>
        <v>-1.2326431293802821E-4</v>
      </c>
      <c r="I283">
        <f t="shared" si="137"/>
        <v>-7.0625248959288456E-3</v>
      </c>
      <c r="J283">
        <f t="shared" si="151"/>
        <v>0</v>
      </c>
      <c r="K283">
        <f t="shared" si="152"/>
        <v>0</v>
      </c>
      <c r="L283">
        <f t="shared" si="138"/>
        <v>0</v>
      </c>
      <c r="M283">
        <f t="shared" si="131"/>
        <v>-7.0625248959288456E-3</v>
      </c>
      <c r="N283">
        <f t="shared" si="139"/>
        <v>92.387183570047171</v>
      </c>
      <c r="O283">
        <f t="shared" si="140"/>
        <v>560.91138246462981</v>
      </c>
      <c r="P283">
        <f t="shared" si="132"/>
        <v>1.3049551354953337E-3</v>
      </c>
      <c r="Q283">
        <f t="shared" si="133"/>
        <v>522.63803099718177</v>
      </c>
      <c r="R283">
        <f t="shared" si="141"/>
        <v>-0.38273351467448008</v>
      </c>
      <c r="S283">
        <f t="shared" si="142"/>
        <v>-0.92385878614911676</v>
      </c>
      <c r="U283">
        <f t="shared" si="159"/>
        <v>3</v>
      </c>
      <c r="V283" cm="1">
        <f t="array" ref="V283:AA283">INDEX(surface!$A$2:$I$40,U283+1,COLUMN(surface!$B$1:$G$1))</f>
        <v>-500</v>
      </c>
      <c r="W283">
        <v>1000</v>
      </c>
      <c r="X283">
        <v>0</v>
      </c>
      <c r="Y283">
        <v>1000</v>
      </c>
      <c r="Z283">
        <v>-500</v>
      </c>
      <c r="AA283">
        <v>0</v>
      </c>
      <c r="AB283">
        <f t="shared" si="134"/>
        <v>684.77436714009434</v>
      </c>
      <c r="AC283">
        <f t="shared" si="135"/>
        <v>121.82276492925962</v>
      </c>
      <c r="AD283">
        <f t="shared" si="143"/>
        <v>-191.36675733724005</v>
      </c>
      <c r="AE283">
        <f t="shared" si="144"/>
        <v>-1147.2437105718866</v>
      </c>
      <c r="AF283">
        <f t="shared" si="145"/>
        <v>3.3045567308723984</v>
      </c>
      <c r="AG283" t="b">
        <f t="shared" si="153"/>
        <v>0</v>
      </c>
      <c r="AH283">
        <f t="shared" si="146"/>
        <v>25000</v>
      </c>
      <c r="AI283">
        <f t="shared" si="154"/>
        <v>4</v>
      </c>
      <c r="AJ283" cm="1">
        <f t="array" ref="AJ283:AO283">INDEX(surface!$A$2:$I$40,AI283+1,COLUMN(surface!$B$1:$G$1))</f>
        <v>0</v>
      </c>
      <c r="AK283">
        <v>1000</v>
      </c>
      <c r="AL283">
        <v>0</v>
      </c>
      <c r="AM283">
        <v>1</v>
      </c>
      <c r="AN283">
        <v>0</v>
      </c>
      <c r="AO283">
        <v>999</v>
      </c>
      <c r="AP283">
        <f t="shared" si="155"/>
        <v>184.77436714009434</v>
      </c>
      <c r="AQ283">
        <f t="shared" si="156"/>
        <v>121.82276492925962</v>
      </c>
      <c r="AR283">
        <f t="shared" si="157"/>
        <v>-922.93492736296764</v>
      </c>
      <c r="AS283">
        <f t="shared" si="147"/>
        <v>100.00141250497919</v>
      </c>
      <c r="AT283">
        <f t="shared" si="148"/>
        <v>0.47784034996577918</v>
      </c>
      <c r="AU283" t="b">
        <f t="shared" si="158"/>
        <v>1</v>
      </c>
      <c r="AV283">
        <f t="shared" si="149"/>
        <v>100.00141250497919</v>
      </c>
    </row>
    <row r="284" spans="1:48" x14ac:dyDescent="0.25">
      <c r="A284">
        <f t="shared" si="128"/>
        <v>28.200000000000131</v>
      </c>
      <c r="B284">
        <f t="shared" si="150"/>
        <v>0.1</v>
      </c>
      <c r="C284">
        <f>sim!C283+(sim!$G283*$B284*COS($E284))</f>
        <v>101.626190260317</v>
      </c>
      <c r="D284">
        <f>sim!D283+(sim!$G283*$B284*SIN($E284))</f>
        <v>554.73871762014539</v>
      </c>
      <c r="E284">
        <f t="shared" si="129"/>
        <v>-6737.1454037404337</v>
      </c>
      <c r="F284">
        <f t="shared" si="136"/>
        <v>100.00130413247295</v>
      </c>
      <c r="G284">
        <v>100</v>
      </c>
      <c r="H284">
        <f t="shared" si="130"/>
        <v>-1.138070276760114E-4</v>
      </c>
      <c r="I284">
        <f t="shared" si="137"/>
        <v>-6.5206623647640072E-3</v>
      </c>
      <c r="J284">
        <f t="shared" si="151"/>
        <v>0</v>
      </c>
      <c r="K284">
        <f t="shared" si="152"/>
        <v>0</v>
      </c>
      <c r="L284">
        <f t="shared" si="138"/>
        <v>0</v>
      </c>
      <c r="M284">
        <f t="shared" si="131"/>
        <v>-6.5206623647640072E-3</v>
      </c>
      <c r="N284">
        <f t="shared" si="139"/>
        <v>92.387555222142353</v>
      </c>
      <c r="O284">
        <f t="shared" si="140"/>
        <v>550.91149635251372</v>
      </c>
      <c r="P284">
        <f t="shared" si="132"/>
        <v>1.2048403958999643E-3</v>
      </c>
      <c r="Q284">
        <f t="shared" si="133"/>
        <v>512.63928367619758</v>
      </c>
      <c r="R284">
        <f t="shared" si="141"/>
        <v>-0.38272212676316186</v>
      </c>
      <c r="S284">
        <f t="shared" si="142"/>
        <v>-0.92386350381746452</v>
      </c>
      <c r="U284">
        <f t="shared" si="159"/>
        <v>3</v>
      </c>
      <c r="V284" cm="1">
        <f t="array" ref="V284:AA284">INDEX(surface!$A$2:$I$40,U284+1,COLUMN(surface!$B$1:$G$1))</f>
        <v>-500</v>
      </c>
      <c r="W284">
        <v>1000</v>
      </c>
      <c r="X284">
        <v>0</v>
      </c>
      <c r="Y284">
        <v>1000</v>
      </c>
      <c r="Z284">
        <v>-500</v>
      </c>
      <c r="AA284">
        <v>0</v>
      </c>
      <c r="AB284">
        <f t="shared" si="134"/>
        <v>684.77511044428468</v>
      </c>
      <c r="AC284">
        <f t="shared" si="135"/>
        <v>101.82299270502745</v>
      </c>
      <c r="AD284">
        <f t="shared" si="143"/>
        <v>-191.36106338158092</v>
      </c>
      <c r="AE284">
        <f t="shared" si="144"/>
        <v>-1173.4061666243656</v>
      </c>
      <c r="AF284">
        <f t="shared" si="145"/>
        <v>3.3529093754414969</v>
      </c>
      <c r="AG284" t="b">
        <f t="shared" si="153"/>
        <v>0</v>
      </c>
      <c r="AH284">
        <f t="shared" si="146"/>
        <v>25000</v>
      </c>
      <c r="AI284">
        <f t="shared" si="154"/>
        <v>4</v>
      </c>
      <c r="AJ284" cm="1">
        <f t="array" ref="AJ284:AO284">INDEX(surface!$A$2:$I$40,AI284+1,COLUMN(surface!$B$1:$G$1))</f>
        <v>0</v>
      </c>
      <c r="AK284">
        <v>1000</v>
      </c>
      <c r="AL284">
        <v>0</v>
      </c>
      <c r="AM284">
        <v>1</v>
      </c>
      <c r="AN284">
        <v>0</v>
      </c>
      <c r="AO284">
        <v>999</v>
      </c>
      <c r="AP284">
        <f t="shared" si="155"/>
        <v>184.77511044428471</v>
      </c>
      <c r="AQ284">
        <f t="shared" si="156"/>
        <v>101.82299270502745</v>
      </c>
      <c r="AR284">
        <f t="shared" si="157"/>
        <v>-922.93964031364703</v>
      </c>
      <c r="AS284">
        <f t="shared" si="147"/>
        <v>100.00130413247295</v>
      </c>
      <c r="AT284">
        <f t="shared" si="148"/>
        <v>0.48784906450866478</v>
      </c>
      <c r="AU284" t="b">
        <f t="shared" si="158"/>
        <v>1</v>
      </c>
      <c r="AV284">
        <f t="shared" si="149"/>
        <v>100.00130413247295</v>
      </c>
    </row>
    <row r="285" spans="1:48" x14ac:dyDescent="0.25">
      <c r="A285">
        <f t="shared" si="128"/>
        <v>28.300000000000132</v>
      </c>
      <c r="B285">
        <f t="shared" si="150"/>
        <v>0.1</v>
      </c>
      <c r="C285">
        <f>sim!C284+(sim!$G284*$B285*COS($E285))</f>
        <v>101.62649528206829</v>
      </c>
      <c r="D285">
        <f>sim!D284+(sim!$G284*$B285*SIN($E285))</f>
        <v>544.73871762479735</v>
      </c>
      <c r="E285">
        <f t="shared" si="129"/>
        <v>-6737.1454151211365</v>
      </c>
      <c r="F285">
        <f t="shared" si="136"/>
        <v>100.00111568724309</v>
      </c>
      <c r="G285">
        <v>100</v>
      </c>
      <c r="H285">
        <f t="shared" si="130"/>
        <v>-9.7362079071742772E-5</v>
      </c>
      <c r="I285">
        <f t="shared" si="137"/>
        <v>-5.5784362154298606E-3</v>
      </c>
      <c r="J285">
        <f t="shared" si="151"/>
        <v>0</v>
      </c>
      <c r="K285">
        <f t="shared" si="152"/>
        <v>0</v>
      </c>
      <c r="L285">
        <f t="shared" si="138"/>
        <v>0</v>
      </c>
      <c r="M285">
        <f t="shared" si="131"/>
        <v>-5.5784362154298606E-3</v>
      </c>
      <c r="N285">
        <f t="shared" si="139"/>
        <v>92.387816688024358</v>
      </c>
      <c r="O285">
        <f t="shared" si="140"/>
        <v>540.91160149957273</v>
      </c>
      <c r="P285">
        <f t="shared" si="132"/>
        <v>1.0307475850339642E-3</v>
      </c>
      <c r="Q285">
        <f t="shared" si="133"/>
        <v>502.64044024732641</v>
      </c>
      <c r="R285">
        <f t="shared" si="141"/>
        <v>-0.38271161252246333</v>
      </c>
      <c r="S285">
        <f t="shared" si="142"/>
        <v>-0.92386785940439331</v>
      </c>
      <c r="U285">
        <f t="shared" si="159"/>
        <v>3</v>
      </c>
      <c r="V285" cm="1">
        <f t="array" ref="V285:AA285">INDEX(surface!$A$2:$I$40,U285+1,COLUMN(surface!$B$1:$G$1))</f>
        <v>-500</v>
      </c>
      <c r="W285">
        <v>1000</v>
      </c>
      <c r="X285">
        <v>0</v>
      </c>
      <c r="Y285">
        <v>1000</v>
      </c>
      <c r="Z285">
        <v>-500</v>
      </c>
      <c r="AA285">
        <v>0</v>
      </c>
      <c r="AB285">
        <f t="shared" si="134"/>
        <v>684.77563337604875</v>
      </c>
      <c r="AC285">
        <f t="shared" si="135"/>
        <v>81.823202999145451</v>
      </c>
      <c r="AD285">
        <f t="shared" si="143"/>
        <v>-191.35580626123166</v>
      </c>
      <c r="AE285">
        <f t="shared" si="144"/>
        <v>-1199.5674640614177</v>
      </c>
      <c r="AF285">
        <f t="shared" si="145"/>
        <v>3.4012592838432059</v>
      </c>
      <c r="AG285" t="b">
        <f t="shared" si="153"/>
        <v>0</v>
      </c>
      <c r="AH285">
        <f t="shared" si="146"/>
        <v>25000</v>
      </c>
      <c r="AI285">
        <f t="shared" si="154"/>
        <v>4</v>
      </c>
      <c r="AJ285" cm="1">
        <f t="array" ref="AJ285:AO285">INDEX(surface!$A$2:$I$40,AI285+1,COLUMN(surface!$B$1:$G$1))</f>
        <v>0</v>
      </c>
      <c r="AK285">
        <v>1000</v>
      </c>
      <c r="AL285">
        <v>0</v>
      </c>
      <c r="AM285">
        <v>1</v>
      </c>
      <c r="AN285">
        <v>0</v>
      </c>
      <c r="AO285">
        <v>999</v>
      </c>
      <c r="AP285">
        <f t="shared" si="155"/>
        <v>184.77563337604872</v>
      </c>
      <c r="AQ285">
        <f t="shared" si="156"/>
        <v>81.823202999145451</v>
      </c>
      <c r="AR285">
        <f t="shared" si="157"/>
        <v>-922.94399154498888</v>
      </c>
      <c r="AS285">
        <f t="shared" si="147"/>
        <v>100.00111568724309</v>
      </c>
      <c r="AT285">
        <f t="shared" si="148"/>
        <v>0.49785784458372123</v>
      </c>
      <c r="AU285" t="b">
        <f t="shared" si="158"/>
        <v>1</v>
      </c>
      <c r="AV285">
        <f t="shared" si="149"/>
        <v>100.00111568724309</v>
      </c>
    </row>
    <row r="286" spans="1:48" x14ac:dyDescent="0.25">
      <c r="A286">
        <f t="shared" si="128"/>
        <v>28.400000000000134</v>
      </c>
      <c r="B286">
        <f t="shared" si="150"/>
        <v>0.1</v>
      </c>
      <c r="C286">
        <f>sim!C285+(sim!$G285*$B286*COS($E286))</f>
        <v>101.62670294173877</v>
      </c>
      <c r="D286">
        <f>sim!D285+(sim!$G285*$B286*SIN($E286))</f>
        <v>534.73871762695342</v>
      </c>
      <c r="E286">
        <f t="shared" si="129"/>
        <v>-6737.1454248573446</v>
      </c>
      <c r="F286">
        <f t="shared" si="136"/>
        <v>100.00089680697691</v>
      </c>
      <c r="G286">
        <v>100</v>
      </c>
      <c r="H286">
        <f t="shared" si="130"/>
        <v>-7.826117250977555E-5</v>
      </c>
      <c r="I286">
        <f t="shared" si="137"/>
        <v>-4.484034884555399E-3</v>
      </c>
      <c r="J286">
        <f t="shared" si="151"/>
        <v>0</v>
      </c>
      <c r="K286">
        <f t="shared" si="152"/>
        <v>0</v>
      </c>
      <c r="L286">
        <f t="shared" si="138"/>
        <v>0</v>
      </c>
      <c r="M286">
        <f t="shared" si="131"/>
        <v>-4.484034884555399E-3</v>
      </c>
      <c r="N286">
        <f t="shared" si="139"/>
        <v>92.387987086533755</v>
      </c>
      <c r="O286">
        <f t="shared" si="140"/>
        <v>530.91169145160745</v>
      </c>
      <c r="P286">
        <f t="shared" si="132"/>
        <v>8.285344836593822E-4</v>
      </c>
      <c r="Q286">
        <f t="shared" si="133"/>
        <v>492.64142969814725</v>
      </c>
      <c r="R286">
        <f t="shared" si="141"/>
        <v>-0.38270261753460189</v>
      </c>
      <c r="S286">
        <f t="shared" si="142"/>
        <v>-0.92387158552050097</v>
      </c>
      <c r="U286">
        <f t="shared" si="159"/>
        <v>3</v>
      </c>
      <c r="V286" cm="1">
        <f t="array" ref="V286:AA286">INDEX(surface!$A$2:$I$40,U286+1,COLUMN(surface!$B$1:$G$1))</f>
        <v>-500</v>
      </c>
      <c r="W286">
        <v>1000</v>
      </c>
      <c r="X286">
        <v>0</v>
      </c>
      <c r="Y286">
        <v>1000</v>
      </c>
      <c r="Z286">
        <v>-500</v>
      </c>
      <c r="AA286">
        <v>0</v>
      </c>
      <c r="AB286">
        <f t="shared" si="134"/>
        <v>684.77597417306754</v>
      </c>
      <c r="AC286">
        <f t="shared" si="135"/>
        <v>61.823382903214906</v>
      </c>
      <c r="AD286">
        <f t="shared" si="143"/>
        <v>-191.35130876730094</v>
      </c>
      <c r="AE286">
        <f t="shared" si="144"/>
        <v>-1225.7253727980583</v>
      </c>
      <c r="AF286">
        <f t="shared" si="145"/>
        <v>3.4496016613323661</v>
      </c>
      <c r="AG286" t="b">
        <f t="shared" si="153"/>
        <v>0</v>
      </c>
      <c r="AH286">
        <f t="shared" si="146"/>
        <v>25000</v>
      </c>
      <c r="AI286">
        <f t="shared" si="154"/>
        <v>4</v>
      </c>
      <c r="AJ286" cm="1">
        <f t="array" ref="AJ286:AO286">INDEX(surface!$A$2:$I$40,AI286+1,COLUMN(surface!$B$1:$G$1))</f>
        <v>0</v>
      </c>
      <c r="AK286">
        <v>1000</v>
      </c>
      <c r="AL286">
        <v>0</v>
      </c>
      <c r="AM286">
        <v>1</v>
      </c>
      <c r="AN286">
        <v>0</v>
      </c>
      <c r="AO286">
        <v>999</v>
      </c>
      <c r="AP286">
        <f t="shared" si="155"/>
        <v>184.77597417306751</v>
      </c>
      <c r="AQ286">
        <f t="shared" si="156"/>
        <v>61.823382903214906</v>
      </c>
      <c r="AR286">
        <f t="shared" si="157"/>
        <v>-922.94771393498047</v>
      </c>
      <c r="AS286">
        <f t="shared" si="147"/>
        <v>100.00089680697691</v>
      </c>
      <c r="AT286">
        <f t="shared" si="148"/>
        <v>0.50786678029252275</v>
      </c>
      <c r="AU286" t="b">
        <f t="shared" si="158"/>
        <v>1</v>
      </c>
      <c r="AV286">
        <f t="shared" si="149"/>
        <v>100.00089680697691</v>
      </c>
    </row>
    <row r="287" spans="1:48" x14ac:dyDescent="0.25">
      <c r="A287">
        <f t="shared" si="128"/>
        <v>28.500000000000135</v>
      </c>
      <c r="B287">
        <f t="shared" si="150"/>
        <v>0.1</v>
      </c>
      <c r="C287">
        <f>sim!C286+(sim!$G286*$B287*COS($E287))</f>
        <v>101.62683234023599</v>
      </c>
      <c r="D287">
        <f>sim!D286+(sim!$G286*$B287*SIN($E287))</f>
        <v>524.73871762779061</v>
      </c>
      <c r="E287">
        <f t="shared" si="129"/>
        <v>-6737.1454326834619</v>
      </c>
      <c r="F287">
        <f t="shared" si="136"/>
        <v>100.00068026309185</v>
      </c>
      <c r="G287">
        <v>100</v>
      </c>
      <c r="H287">
        <f t="shared" si="130"/>
        <v>-5.9364153663020279E-5</v>
      </c>
      <c r="I287">
        <f t="shared" si="137"/>
        <v>-3.4013154592571482E-3</v>
      </c>
      <c r="J287">
        <f t="shared" si="151"/>
        <v>0</v>
      </c>
      <c r="K287">
        <f t="shared" si="152"/>
        <v>0</v>
      </c>
      <c r="L287">
        <f t="shared" si="138"/>
        <v>0</v>
      </c>
      <c r="M287">
        <f t="shared" si="131"/>
        <v>-3.4013154592571482E-3</v>
      </c>
      <c r="N287">
        <f t="shared" si="139"/>
        <v>92.388086534558056</v>
      </c>
      <c r="O287">
        <f t="shared" si="140"/>
        <v>520.91176375583598</v>
      </c>
      <c r="P287">
        <f t="shared" si="132"/>
        <v>6.2847777866181787E-4</v>
      </c>
      <c r="Q287">
        <f t="shared" si="133"/>
        <v>482.64222503628997</v>
      </c>
      <c r="R287">
        <f t="shared" si="141"/>
        <v>-0.38269538719545981</v>
      </c>
      <c r="S287">
        <f t="shared" si="142"/>
        <v>-0.92387458056779392</v>
      </c>
      <c r="U287">
        <f t="shared" si="159"/>
        <v>3</v>
      </c>
      <c r="V287" cm="1">
        <f t="array" ref="V287:AA287">INDEX(surface!$A$2:$I$40,U287+1,COLUMN(surface!$B$1:$G$1))</f>
        <v>-500</v>
      </c>
      <c r="W287">
        <v>1000</v>
      </c>
      <c r="X287">
        <v>0</v>
      </c>
      <c r="Y287">
        <v>1000</v>
      </c>
      <c r="Z287">
        <v>-500</v>
      </c>
      <c r="AA287">
        <v>0</v>
      </c>
      <c r="AB287">
        <f t="shared" si="134"/>
        <v>684.77617306911611</v>
      </c>
      <c r="AC287">
        <f t="shared" si="135"/>
        <v>41.823527511671955</v>
      </c>
      <c r="AD287">
        <f t="shared" si="143"/>
        <v>-191.34769359772991</v>
      </c>
      <c r="AE287">
        <f t="shared" si="144"/>
        <v>-1251.8787847303527</v>
      </c>
      <c r="AF287">
        <f t="shared" si="145"/>
        <v>3.4979341473980643</v>
      </c>
      <c r="AG287" t="b">
        <f t="shared" si="153"/>
        <v>0</v>
      </c>
      <c r="AH287">
        <f t="shared" si="146"/>
        <v>25000</v>
      </c>
      <c r="AI287">
        <f t="shared" si="154"/>
        <v>4</v>
      </c>
      <c r="AJ287" cm="1">
        <f t="array" ref="AJ287:AO287">INDEX(surface!$A$2:$I$40,AI287+1,COLUMN(surface!$B$1:$G$1))</f>
        <v>0</v>
      </c>
      <c r="AK287">
        <v>1000</v>
      </c>
      <c r="AL287">
        <v>0</v>
      </c>
      <c r="AM287">
        <v>1</v>
      </c>
      <c r="AN287">
        <v>0</v>
      </c>
      <c r="AO287">
        <v>999</v>
      </c>
      <c r="AP287">
        <f t="shared" si="155"/>
        <v>184.77617306911611</v>
      </c>
      <c r="AQ287">
        <f t="shared" si="156"/>
        <v>41.823527511671955</v>
      </c>
      <c r="AR287">
        <f t="shared" si="157"/>
        <v>-922.95070598722612</v>
      </c>
      <c r="AS287">
        <f t="shared" si="147"/>
        <v>100.00068026309185</v>
      </c>
      <c r="AT287">
        <f t="shared" si="148"/>
        <v>0.51787591120846577</v>
      </c>
      <c r="AU287" t="b">
        <f t="shared" si="158"/>
        <v>1</v>
      </c>
      <c r="AV287">
        <f t="shared" si="149"/>
        <v>100.00068026309185</v>
      </c>
    </row>
    <row r="288" spans="1:48" x14ac:dyDescent="0.25">
      <c r="A288">
        <f t="shared" si="128"/>
        <v>28.600000000000136</v>
      </c>
      <c r="B288">
        <f t="shared" si="150"/>
        <v>0.1</v>
      </c>
      <c r="C288">
        <f>sim!C287+(sim!$G287*$B288*COS($E288))</f>
        <v>101.62690237457704</v>
      </c>
      <c r="D288">
        <f>sim!D287+(sim!$G287*$B288*SIN($E288))</f>
        <v>514.73871762803583</v>
      </c>
      <c r="E288">
        <f t="shared" si="129"/>
        <v>-6737.1454386198775</v>
      </c>
      <c r="F288">
        <f t="shared" si="136"/>
        <v>100.00048557514256</v>
      </c>
      <c r="G288">
        <v>100</v>
      </c>
      <c r="H288">
        <f t="shared" si="130"/>
        <v>-4.237442501776592E-5</v>
      </c>
      <c r="I288">
        <f t="shared" si="137"/>
        <v>-2.4278757128115558E-3</v>
      </c>
      <c r="J288">
        <f t="shared" si="151"/>
        <v>0</v>
      </c>
      <c r="K288">
        <f t="shared" si="152"/>
        <v>0</v>
      </c>
      <c r="L288">
        <f t="shared" si="138"/>
        <v>0</v>
      </c>
      <c r="M288">
        <f t="shared" si="131"/>
        <v>-2.4278757128115558E-3</v>
      </c>
      <c r="N288">
        <f t="shared" si="139"/>
        <v>92.388133850673157</v>
      </c>
      <c r="O288">
        <f t="shared" si="140"/>
        <v>510.91181860118354</v>
      </c>
      <c r="P288">
        <f t="shared" si="132"/>
        <v>4.4861163431164641E-4</v>
      </c>
      <c r="Q288">
        <f t="shared" si="133"/>
        <v>472.64282833266088</v>
      </c>
      <c r="R288">
        <f t="shared" si="141"/>
        <v>-0.38268990268522685</v>
      </c>
      <c r="S288">
        <f t="shared" si="142"/>
        <v>-0.92387685239038841</v>
      </c>
      <c r="U288">
        <f t="shared" si="159"/>
        <v>3</v>
      </c>
      <c r="V288" cm="1">
        <f t="array" ref="V288:AA288">INDEX(surface!$A$2:$I$40,U288+1,COLUMN(surface!$B$1:$G$1))</f>
        <v>-500</v>
      </c>
      <c r="W288">
        <v>1000</v>
      </c>
      <c r="X288">
        <v>0</v>
      </c>
      <c r="Y288">
        <v>1000</v>
      </c>
      <c r="Z288">
        <v>-500</v>
      </c>
      <c r="AA288">
        <v>0</v>
      </c>
      <c r="AB288">
        <f t="shared" si="134"/>
        <v>684.77626770134634</v>
      </c>
      <c r="AC288">
        <f t="shared" si="135"/>
        <v>21.823637202367081</v>
      </c>
      <c r="AD288">
        <f t="shared" si="143"/>
        <v>-191.34495134261343</v>
      </c>
      <c r="AE288">
        <f t="shared" si="144"/>
        <v>-1278.0274001666178</v>
      </c>
      <c r="AF288">
        <f t="shared" si="145"/>
        <v>3.5462561311705585</v>
      </c>
      <c r="AG288" t="b">
        <f t="shared" si="153"/>
        <v>0</v>
      </c>
      <c r="AH288">
        <f t="shared" si="146"/>
        <v>25000</v>
      </c>
      <c r="AI288">
        <f t="shared" si="154"/>
        <v>4</v>
      </c>
      <c r="AJ288" cm="1">
        <f t="array" ref="AJ288:AO288">INDEX(surface!$A$2:$I$40,AI288+1,COLUMN(surface!$B$1:$G$1))</f>
        <v>0</v>
      </c>
      <c r="AK288">
        <v>1000</v>
      </c>
      <c r="AL288">
        <v>0</v>
      </c>
      <c r="AM288">
        <v>1</v>
      </c>
      <c r="AN288">
        <v>0</v>
      </c>
      <c r="AO288">
        <v>999</v>
      </c>
      <c r="AP288">
        <f t="shared" si="155"/>
        <v>184.77626770134631</v>
      </c>
      <c r="AQ288">
        <f t="shared" si="156"/>
        <v>21.823637202367081</v>
      </c>
      <c r="AR288">
        <f t="shared" si="157"/>
        <v>-922.95297553799799</v>
      </c>
      <c r="AS288">
        <f t="shared" si="147"/>
        <v>100.00048557514256</v>
      </c>
      <c r="AT288">
        <f t="shared" si="148"/>
        <v>0.52788524273477799</v>
      </c>
      <c r="AU288" t="b">
        <f t="shared" si="158"/>
        <v>1</v>
      </c>
      <c r="AV288">
        <f t="shared" si="149"/>
        <v>100.00048557514256</v>
      </c>
    </row>
    <row r="289" spans="1:48" x14ac:dyDescent="0.25">
      <c r="A289">
        <f t="shared" si="128"/>
        <v>28.700000000000138</v>
      </c>
      <c r="B289">
        <f t="shared" si="150"/>
        <v>0.1</v>
      </c>
      <c r="C289">
        <f>sim!C288+(sim!$G288*$B289*COS($E289))</f>
        <v>101.62693003449583</v>
      </c>
      <c r="D289">
        <f>sim!D288+(sim!$G288*$B289*SIN($E289))</f>
        <v>504.73871762807408</v>
      </c>
      <c r="E289">
        <f t="shared" si="129"/>
        <v>-6737.1454428573197</v>
      </c>
      <c r="F289">
        <f t="shared" si="136"/>
        <v>100.00032243804247</v>
      </c>
      <c r="G289">
        <v>100</v>
      </c>
      <c r="H289">
        <f t="shared" si="130"/>
        <v>-2.8138027374283528E-5</v>
      </c>
      <c r="I289">
        <f t="shared" si="137"/>
        <v>-1.6121902123700238E-3</v>
      </c>
      <c r="J289">
        <f t="shared" si="151"/>
        <v>0</v>
      </c>
      <c r="K289">
        <f t="shared" si="152"/>
        <v>0</v>
      </c>
      <c r="L289">
        <f t="shared" si="138"/>
        <v>0</v>
      </c>
      <c r="M289">
        <f t="shared" si="131"/>
        <v>-1.6121902123700238E-3</v>
      </c>
      <c r="N289">
        <f t="shared" si="139"/>
        <v>92.388145294411359</v>
      </c>
      <c r="O289">
        <f t="shared" si="140"/>
        <v>500.91185775000406</v>
      </c>
      <c r="P289">
        <f t="shared" si="132"/>
        <v>2.9789356663911803E-4</v>
      </c>
      <c r="Q289">
        <f t="shared" si="133"/>
        <v>462.64325896930359</v>
      </c>
      <c r="R289">
        <f t="shared" si="141"/>
        <v>-0.38268598780700475</v>
      </c>
      <c r="S289">
        <f t="shared" si="142"/>
        <v>-0.92387847400844725</v>
      </c>
      <c r="U289">
        <f t="shared" si="159"/>
        <v>3</v>
      </c>
      <c r="V289" cm="1">
        <f t="array" ref="V289:AA289">INDEX(surface!$A$2:$I$40,U289+1,COLUMN(surface!$B$1:$G$1))</f>
        <v>-500</v>
      </c>
      <c r="W289">
        <v>1000</v>
      </c>
      <c r="X289">
        <v>0</v>
      </c>
      <c r="Y289">
        <v>1000</v>
      </c>
      <c r="Z289">
        <v>-500</v>
      </c>
      <c r="AA289">
        <v>0</v>
      </c>
      <c r="AB289">
        <f t="shared" si="134"/>
        <v>684.77629058882269</v>
      </c>
      <c r="AC289">
        <f t="shared" si="135"/>
        <v>1.8237155000081202</v>
      </c>
      <c r="AD289">
        <f t="shared" si="143"/>
        <v>-191.34299390350236</v>
      </c>
      <c r="AE289">
        <f t="shared" si="144"/>
        <v>-1304.1714568909038</v>
      </c>
      <c r="AF289">
        <f t="shared" si="145"/>
        <v>3.5945681614643057</v>
      </c>
      <c r="AG289" t="b">
        <f t="shared" si="153"/>
        <v>0</v>
      </c>
      <c r="AH289">
        <f t="shared" si="146"/>
        <v>25000</v>
      </c>
      <c r="AI289">
        <f t="shared" si="154"/>
        <v>4</v>
      </c>
      <c r="AJ289" cm="1">
        <f t="array" ref="AJ289:AO289">INDEX(surface!$A$2:$I$40,AI289+1,COLUMN(surface!$B$1:$G$1))</f>
        <v>0</v>
      </c>
      <c r="AK289">
        <v>1000</v>
      </c>
      <c r="AL289">
        <v>0</v>
      </c>
      <c r="AM289">
        <v>1</v>
      </c>
      <c r="AN289">
        <v>0</v>
      </c>
      <c r="AO289">
        <v>999</v>
      </c>
      <c r="AP289">
        <f t="shared" si="155"/>
        <v>184.77629058882272</v>
      </c>
      <c r="AQ289">
        <f t="shared" si="156"/>
        <v>1.8237155000081202</v>
      </c>
      <c r="AR289">
        <f t="shared" si="157"/>
        <v>-922.95459553443879</v>
      </c>
      <c r="AS289">
        <f t="shared" si="147"/>
        <v>100.00032243804247</v>
      </c>
      <c r="AT289">
        <f t="shared" si="148"/>
        <v>0.5378947591823996</v>
      </c>
      <c r="AU289" t="b">
        <f t="shared" si="158"/>
        <v>1</v>
      </c>
      <c r="AV289">
        <f t="shared" si="149"/>
        <v>100.00032243804247</v>
      </c>
    </row>
    <row r="290" spans="1:48" x14ac:dyDescent="0.25">
      <c r="A290">
        <f t="shared" si="128"/>
        <v>28.800000000000139</v>
      </c>
      <c r="B290">
        <f t="shared" si="150"/>
        <v>0.1</v>
      </c>
      <c r="C290">
        <f>sim!C289+(sim!$G289*$B290*COS($E290))</f>
        <v>101.62692955638568</v>
      </c>
      <c r="D290">
        <f>sim!D289+(sim!$G289*$B290*SIN($E290))</f>
        <v>494.73871762807408</v>
      </c>
      <c r="E290">
        <f t="shared" si="129"/>
        <v>-6737.1454456711226</v>
      </c>
      <c r="F290">
        <f t="shared" si="136"/>
        <v>100.0001937130606</v>
      </c>
      <c r="G290">
        <v>100</v>
      </c>
      <c r="H290">
        <f t="shared" si="130"/>
        <v>-1.6904653557636662E-5</v>
      </c>
      <c r="I290">
        <f t="shared" si="137"/>
        <v>-9.6856530298339294E-4</v>
      </c>
      <c r="J290">
        <f t="shared" si="151"/>
        <v>0</v>
      </c>
      <c r="K290">
        <f t="shared" si="152"/>
        <v>0</v>
      </c>
      <c r="L290">
        <f t="shared" si="138"/>
        <v>0</v>
      </c>
      <c r="M290">
        <f t="shared" si="131"/>
        <v>-9.6856530298339294E-4</v>
      </c>
      <c r="N290">
        <f t="shared" si="139"/>
        <v>92.388134048308373</v>
      </c>
      <c r="O290">
        <f t="shared" si="140"/>
        <v>490.91188374613841</v>
      </c>
      <c r="P290">
        <f t="shared" si="132"/>
        <v>1.789675354046949E-4</v>
      </c>
      <c r="Q290">
        <f t="shared" si="133"/>
        <v>452.64354492678183</v>
      </c>
      <c r="R290">
        <f t="shared" si="141"/>
        <v>-0.38268338819356607</v>
      </c>
      <c r="S290">
        <f t="shared" si="142"/>
        <v>-0.92387955080772965</v>
      </c>
      <c r="U290">
        <f t="shared" si="159"/>
        <v>3</v>
      </c>
      <c r="V290" cm="1">
        <f t="array" ref="V290:AA290">INDEX(surface!$A$2:$I$40,U290+1,COLUMN(surface!$B$1:$G$1))</f>
        <v>-500</v>
      </c>
      <c r="W290">
        <v>1000</v>
      </c>
      <c r="X290">
        <v>0</v>
      </c>
      <c r="Y290">
        <v>1000</v>
      </c>
      <c r="Z290">
        <v>-500</v>
      </c>
      <c r="AA290">
        <v>0</v>
      </c>
      <c r="AB290">
        <f t="shared" si="134"/>
        <v>684.77626809661672</v>
      </c>
      <c r="AC290">
        <f t="shared" si="135"/>
        <v>-18.176232507723171</v>
      </c>
      <c r="AD290">
        <f t="shared" si="143"/>
        <v>-191.34169409678304</v>
      </c>
      <c r="AE290">
        <f t="shared" si="144"/>
        <v>-1330.3115106641587</v>
      </c>
      <c r="AF290">
        <f t="shared" si="145"/>
        <v>3.6428714699101268</v>
      </c>
      <c r="AG290" t="b">
        <f t="shared" si="153"/>
        <v>0</v>
      </c>
      <c r="AH290">
        <f t="shared" si="146"/>
        <v>25000</v>
      </c>
      <c r="AI290">
        <f t="shared" si="154"/>
        <v>4</v>
      </c>
      <c r="AJ290" cm="1">
        <f t="array" ref="AJ290:AO290">INDEX(surface!$A$2:$I$40,AI290+1,COLUMN(surface!$B$1:$G$1))</f>
        <v>0</v>
      </c>
      <c r="AK290">
        <v>1000</v>
      </c>
      <c r="AL290">
        <v>0</v>
      </c>
      <c r="AM290">
        <v>1</v>
      </c>
      <c r="AN290">
        <v>0</v>
      </c>
      <c r="AO290">
        <v>999</v>
      </c>
      <c r="AP290">
        <f t="shared" si="155"/>
        <v>184.77626809661675</v>
      </c>
      <c r="AQ290">
        <f t="shared" si="156"/>
        <v>-18.176232507723171</v>
      </c>
      <c r="AR290">
        <f t="shared" si="157"/>
        <v>-922.95567125692196</v>
      </c>
      <c r="AS290">
        <f t="shared" si="147"/>
        <v>100.0001937130606</v>
      </c>
      <c r="AT290">
        <f t="shared" si="148"/>
        <v>0.5479044336376262</v>
      </c>
      <c r="AU290" t="b">
        <f t="shared" si="158"/>
        <v>1</v>
      </c>
      <c r="AV290">
        <f t="shared" si="149"/>
        <v>100.0001937130606</v>
      </c>
    </row>
    <row r="291" spans="1:48" x14ac:dyDescent="0.25">
      <c r="A291">
        <f t="shared" si="128"/>
        <v>28.900000000000141</v>
      </c>
      <c r="B291">
        <f t="shared" si="150"/>
        <v>0.1</v>
      </c>
      <c r="C291">
        <f>sim!C290+(sim!$G290*$B291*COS($E291))</f>
        <v>101.62691217362483</v>
      </c>
      <c r="D291">
        <f>sim!D290+(sim!$G290*$B291*SIN($E291))</f>
        <v>484.7387176280892</v>
      </c>
      <c r="E291">
        <f t="shared" si="129"/>
        <v>-6737.1454473615877</v>
      </c>
      <c r="F291">
        <f t="shared" si="136"/>
        <v>100.00009787470384</v>
      </c>
      <c r="G291">
        <v>100</v>
      </c>
      <c r="H291">
        <f t="shared" si="130"/>
        <v>-8.5411791821345196E-6</v>
      </c>
      <c r="I291">
        <f t="shared" si="137"/>
        <v>-4.8937351920130823E-4</v>
      </c>
      <c r="J291">
        <f t="shared" si="151"/>
        <v>0</v>
      </c>
      <c r="K291">
        <f t="shared" si="152"/>
        <v>0</v>
      </c>
      <c r="L291">
        <f t="shared" si="138"/>
        <v>0</v>
      </c>
      <c r="M291">
        <f t="shared" si="131"/>
        <v>-4.8937351920130823E-4</v>
      </c>
      <c r="N291">
        <f t="shared" si="139"/>
        <v>92.388110196431725</v>
      </c>
      <c r="O291">
        <f t="shared" si="140"/>
        <v>480.91189936402009</v>
      </c>
      <c r="P291">
        <f t="shared" si="132"/>
        <v>9.0424500726271617E-5</v>
      </c>
      <c r="Q291">
        <f t="shared" si="133"/>
        <v>442.64371672332902</v>
      </c>
      <c r="R291">
        <f t="shared" si="141"/>
        <v>-0.38268182640691045</v>
      </c>
      <c r="S291">
        <f t="shared" si="142"/>
        <v>-0.92388019771930996</v>
      </c>
      <c r="U291">
        <f t="shared" si="159"/>
        <v>4</v>
      </c>
      <c r="V291" cm="1">
        <f t="array" ref="V291:AA291">INDEX(surface!$A$2:$I$40,U291+1,COLUMN(surface!$B$1:$G$1))</f>
        <v>0</v>
      </c>
      <c r="W291">
        <v>1000</v>
      </c>
      <c r="X291">
        <v>0</v>
      </c>
      <c r="Y291">
        <v>1</v>
      </c>
      <c r="Z291">
        <v>0</v>
      </c>
      <c r="AA291">
        <v>999</v>
      </c>
      <c r="AB291">
        <f t="shared" si="134"/>
        <v>184.77622039286345</v>
      </c>
      <c r="AC291">
        <f t="shared" si="135"/>
        <v>-38.176201271959826</v>
      </c>
      <c r="AD291">
        <f t="shared" si="143"/>
        <v>-922.95631752159068</v>
      </c>
      <c r="AE291">
        <f t="shared" si="144"/>
        <v>100.00009787470384</v>
      </c>
      <c r="AF291">
        <f t="shared" si="145"/>
        <v>0.55791423496650783</v>
      </c>
      <c r="AG291" t="b">
        <f t="shared" si="153"/>
        <v>1</v>
      </c>
      <c r="AH291">
        <f t="shared" si="146"/>
        <v>100.00009787470384</v>
      </c>
      <c r="AI291">
        <f t="shared" si="154"/>
        <v>5</v>
      </c>
      <c r="AJ291" cm="1">
        <f t="array" ref="AJ291:AO291">INDEX(surface!$A$2:$I$40,AI291+1,COLUMN(surface!$B$1:$G$1))</f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f t="shared" si="155"/>
        <v>184.77622039286345</v>
      </c>
      <c r="AQ291">
        <f t="shared" si="156"/>
        <v>961.82379872804017</v>
      </c>
      <c r="AR291">
        <f t="shared" si="157"/>
        <v>0</v>
      </c>
      <c r="AS291" t="e">
        <f t="shared" si="147"/>
        <v>#DIV/0!</v>
      </c>
      <c r="AT291" t="e">
        <f t="shared" si="148"/>
        <v>#DIV/0!</v>
      </c>
      <c r="AU291" t="b">
        <f t="shared" si="158"/>
        <v>0</v>
      </c>
      <c r="AV291">
        <f t="shared" si="149"/>
        <v>25000</v>
      </c>
    </row>
    <row r="292" spans="1:48" x14ac:dyDescent="0.25">
      <c r="A292">
        <f t="shared" si="128"/>
        <v>29.000000000000142</v>
      </c>
      <c r="B292">
        <f t="shared" si="150"/>
        <v>0.1</v>
      </c>
      <c r="C292">
        <f>sim!C291+(sim!$G291*$B292*COS($E292))</f>
        <v>101.62688624968101</v>
      </c>
      <c r="D292">
        <f>sim!D291+(sim!$G291*$B292*SIN($E292))</f>
        <v>474.7387176281228</v>
      </c>
      <c r="E292">
        <f t="shared" si="129"/>
        <v>-6737.145448215706</v>
      </c>
      <c r="F292">
        <f t="shared" si="136"/>
        <v>100.00003089845788</v>
      </c>
      <c r="G292">
        <v>100</v>
      </c>
      <c r="H292">
        <f t="shared" si="130"/>
        <v>-2.6963991189217918E-6</v>
      </c>
      <c r="I292">
        <f t="shared" si="137"/>
        <v>-1.5449228939701243E-4</v>
      </c>
      <c r="J292">
        <f t="shared" si="151"/>
        <v>0</v>
      </c>
      <c r="K292">
        <f t="shared" si="152"/>
        <v>0</v>
      </c>
      <c r="L292">
        <f t="shared" si="138"/>
        <v>0</v>
      </c>
      <c r="M292">
        <f t="shared" si="131"/>
        <v>-1.5449228939701243E-4</v>
      </c>
      <c r="N292">
        <f t="shared" si="139"/>
        <v>92.388081003935781</v>
      </c>
      <c r="O292">
        <f t="shared" si="140"/>
        <v>470.91190725508488</v>
      </c>
      <c r="P292">
        <f t="shared" si="132"/>
        <v>2.8546483463287586E-5</v>
      </c>
      <c r="Q292">
        <f t="shared" si="133"/>
        <v>432.64380352470596</v>
      </c>
      <c r="R292">
        <f t="shared" si="141"/>
        <v>-0.38268103730378894</v>
      </c>
      <c r="S292">
        <f t="shared" si="142"/>
        <v>-0.92388052457452319</v>
      </c>
      <c r="U292">
        <f t="shared" si="159"/>
        <v>4</v>
      </c>
      <c r="V292" cm="1">
        <f t="array" ref="V292:AA292">INDEX(surface!$A$2:$I$40,U292+1,COLUMN(surface!$B$1:$G$1))</f>
        <v>0</v>
      </c>
      <c r="W292">
        <v>1000</v>
      </c>
      <c r="X292">
        <v>0</v>
      </c>
      <c r="Y292">
        <v>1</v>
      </c>
      <c r="Z292">
        <v>0</v>
      </c>
      <c r="AA292">
        <v>999</v>
      </c>
      <c r="AB292">
        <f t="shared" si="134"/>
        <v>184.77616200787156</v>
      </c>
      <c r="AC292">
        <f t="shared" si="135"/>
        <v>-58.176185489830232</v>
      </c>
      <c r="AD292">
        <f t="shared" si="143"/>
        <v>-922.95664404994864</v>
      </c>
      <c r="AE292">
        <f t="shared" si="144"/>
        <v>100.00003089845788</v>
      </c>
      <c r="AF292">
        <f t="shared" si="145"/>
        <v>0.56792413243197992</v>
      </c>
      <c r="AG292" t="b">
        <f t="shared" si="153"/>
        <v>1</v>
      </c>
      <c r="AH292">
        <f t="shared" si="146"/>
        <v>100.00003089845788</v>
      </c>
      <c r="AI292">
        <f t="shared" si="154"/>
        <v>5</v>
      </c>
      <c r="AJ292" cm="1">
        <f t="array" ref="AJ292:AO292">INDEX(surface!$A$2:$I$40,AI292+1,COLUMN(surface!$B$1:$G$1))</f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f t="shared" si="155"/>
        <v>184.77616200787156</v>
      </c>
      <c r="AQ292">
        <f t="shared" si="156"/>
        <v>941.82381451016977</v>
      </c>
      <c r="AR292">
        <f t="shared" si="157"/>
        <v>0</v>
      </c>
      <c r="AS292" t="e">
        <f t="shared" si="147"/>
        <v>#DIV/0!</v>
      </c>
      <c r="AT292" t="e">
        <f t="shared" si="148"/>
        <v>#DIV/0!</v>
      </c>
      <c r="AU292" t="b">
        <f t="shared" si="158"/>
        <v>0</v>
      </c>
      <c r="AV292">
        <f t="shared" si="149"/>
        <v>25000</v>
      </c>
    </row>
    <row r="293" spans="1:48" x14ac:dyDescent="0.25">
      <c r="A293">
        <f t="shared" si="128"/>
        <v>29.100000000000144</v>
      </c>
      <c r="B293">
        <f t="shared" si="150"/>
        <v>0.1</v>
      </c>
      <c r="C293">
        <f>sim!C292+(sim!$G292*$B293*COS($E293))</f>
        <v>101.62685762934005</v>
      </c>
      <c r="D293">
        <f>sim!D292+(sim!$G292*$B293*SIN($E293))</f>
        <v>464.73871762816373</v>
      </c>
      <c r="E293">
        <f t="shared" si="129"/>
        <v>-6737.1454484853457</v>
      </c>
      <c r="F293">
        <f t="shared" si="136"/>
        <v>99.999987634425892</v>
      </c>
      <c r="G293">
        <v>100</v>
      </c>
      <c r="H293">
        <f t="shared" si="130"/>
        <v>1.0790999104002132E-6</v>
      </c>
      <c r="I293">
        <f t="shared" si="137"/>
        <v>6.1827870538877505E-5</v>
      </c>
      <c r="J293">
        <f t="shared" si="151"/>
        <v>0</v>
      </c>
      <c r="K293">
        <f t="shared" si="152"/>
        <v>0</v>
      </c>
      <c r="L293">
        <f t="shared" si="138"/>
        <v>0</v>
      </c>
      <c r="M293">
        <f t="shared" si="131"/>
        <v>6.1827870538877505E-5</v>
      </c>
      <c r="N293">
        <f t="shared" si="139"/>
        <v>92.388051351735101</v>
      </c>
      <c r="O293">
        <f t="shared" si="140"/>
        <v>460.91190974627477</v>
      </c>
      <c r="P293">
        <f t="shared" si="132"/>
        <v>-1.1424314379837597E-5</v>
      </c>
      <c r="Q293">
        <f t="shared" si="133"/>
        <v>422.64383092738524</v>
      </c>
      <c r="R293">
        <f t="shared" si="141"/>
        <v>-0.38268078818889534</v>
      </c>
      <c r="S293">
        <f t="shared" si="142"/>
        <v>-0.92388062776049473</v>
      </c>
      <c r="U293">
        <f t="shared" si="159"/>
        <v>4</v>
      </c>
      <c r="V293" cm="1">
        <f t="array" ref="V293:AA293">INDEX(surface!$A$2:$I$40,U293+1,COLUMN(surface!$B$1:$G$1))</f>
        <v>0</v>
      </c>
      <c r="W293">
        <v>1000</v>
      </c>
      <c r="X293">
        <v>0</v>
      </c>
      <c r="Y293">
        <v>1</v>
      </c>
      <c r="Z293">
        <v>0</v>
      </c>
      <c r="AA293">
        <v>999</v>
      </c>
      <c r="AB293">
        <f t="shared" si="134"/>
        <v>184.7761027034702</v>
      </c>
      <c r="AC293">
        <f t="shared" si="135"/>
        <v>-78.176180507450454</v>
      </c>
      <c r="AD293">
        <f t="shared" si="143"/>
        <v>-922.95674713273422</v>
      </c>
      <c r="AE293">
        <f t="shared" si="144"/>
        <v>99.999987634425892</v>
      </c>
      <c r="AF293">
        <f t="shared" si="145"/>
        <v>0.57793409843898613</v>
      </c>
      <c r="AG293" t="b">
        <f t="shared" si="153"/>
        <v>1</v>
      </c>
      <c r="AH293">
        <f t="shared" si="146"/>
        <v>99.999987634425892</v>
      </c>
      <c r="AI293">
        <f t="shared" si="154"/>
        <v>5</v>
      </c>
      <c r="AJ293" cm="1">
        <f t="array" ref="AJ293:AO293">INDEX(surface!$A$2:$I$40,AI293+1,COLUMN(surface!$B$1:$G$1))</f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f t="shared" si="155"/>
        <v>184.7761027034702</v>
      </c>
      <c r="AQ293">
        <f t="shared" si="156"/>
        <v>921.82381949254955</v>
      </c>
      <c r="AR293">
        <f t="shared" si="157"/>
        <v>0</v>
      </c>
      <c r="AS293" t="e">
        <f t="shared" si="147"/>
        <v>#DIV/0!</v>
      </c>
      <c r="AT293" t="e">
        <f t="shared" si="148"/>
        <v>#DIV/0!</v>
      </c>
      <c r="AU293" t="b">
        <f t="shared" si="158"/>
        <v>0</v>
      </c>
      <c r="AV293">
        <f t="shared" si="149"/>
        <v>25000</v>
      </c>
    </row>
    <row r="294" spans="1:48" x14ac:dyDescent="0.25">
      <c r="A294">
        <f t="shared" si="128"/>
        <v>29.200000000000145</v>
      </c>
      <c r="B294">
        <f t="shared" si="150"/>
        <v>0.1</v>
      </c>
      <c r="C294">
        <f>sim!C293+(sim!$G293*$B294*COS($E294))</f>
        <v>101.62683008809637</v>
      </c>
      <c r="D294">
        <f>sim!D293+(sim!$G293*$B294*SIN($E294))</f>
        <v>454.73871762820164</v>
      </c>
      <c r="E294">
        <f t="shared" si="129"/>
        <v>-6737.145448377436</v>
      </c>
      <c r="F294">
        <f t="shared" si="136"/>
        <v>99.999962740737061</v>
      </c>
      <c r="G294">
        <v>100</v>
      </c>
      <c r="H294">
        <f t="shared" si="130"/>
        <v>3.2514840757557631E-6</v>
      </c>
      <c r="I294">
        <f t="shared" si="137"/>
        <v>1.8629631469480046E-4</v>
      </c>
      <c r="J294">
        <f t="shared" si="151"/>
        <v>0</v>
      </c>
      <c r="K294">
        <f t="shared" si="152"/>
        <v>0</v>
      </c>
      <c r="L294">
        <f t="shared" si="138"/>
        <v>0</v>
      </c>
      <c r="M294">
        <f t="shared" si="131"/>
        <v>1.8629631469480046E-4</v>
      </c>
      <c r="N294">
        <f t="shared" si="139"/>
        <v>92.388024223441278</v>
      </c>
      <c r="O294">
        <f t="shared" si="140"/>
        <v>450.91190874935563</v>
      </c>
      <c r="P294">
        <f t="shared" si="132"/>
        <v>-3.4423109710246536E-5</v>
      </c>
      <c r="Q294">
        <f t="shared" si="133"/>
        <v>412.64381996089566</v>
      </c>
      <c r="R294">
        <f t="shared" si="141"/>
        <v>-0.38268088788459981</v>
      </c>
      <c r="S294">
        <f t="shared" si="142"/>
        <v>-0.92388058646550986</v>
      </c>
      <c r="U294">
        <f t="shared" si="159"/>
        <v>4</v>
      </c>
      <c r="V294" cm="1">
        <f t="array" ref="V294:AA294">INDEX(surface!$A$2:$I$40,U294+1,COLUMN(surface!$B$1:$G$1))</f>
        <v>0</v>
      </c>
      <c r="W294">
        <v>1000</v>
      </c>
      <c r="X294">
        <v>0</v>
      </c>
      <c r="Y294">
        <v>1</v>
      </c>
      <c r="Z294">
        <v>0</v>
      </c>
      <c r="AA294">
        <v>999</v>
      </c>
      <c r="AB294">
        <f t="shared" si="134"/>
        <v>184.77604844688256</v>
      </c>
      <c r="AC294">
        <f t="shared" si="135"/>
        <v>-98.176182501288736</v>
      </c>
      <c r="AD294">
        <f t="shared" si="143"/>
        <v>-922.95670587904431</v>
      </c>
      <c r="AE294">
        <f t="shared" si="144"/>
        <v>99.999962740737061</v>
      </c>
      <c r="AF294">
        <f t="shared" si="145"/>
        <v>0.5879441098905871</v>
      </c>
      <c r="AG294" t="b">
        <f t="shared" si="153"/>
        <v>1</v>
      </c>
      <c r="AH294">
        <f t="shared" si="146"/>
        <v>99.999962740737061</v>
      </c>
      <c r="AI294">
        <f t="shared" si="154"/>
        <v>5</v>
      </c>
      <c r="AJ294" cm="1">
        <f t="array" ref="AJ294:AO294">INDEX(surface!$A$2:$I$40,AI294+1,COLUMN(surface!$B$1:$G$1))</f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f t="shared" si="155"/>
        <v>184.77604844688256</v>
      </c>
      <c r="AQ294">
        <f t="shared" si="156"/>
        <v>901.82381749871126</v>
      </c>
      <c r="AR294">
        <f t="shared" si="157"/>
        <v>0</v>
      </c>
      <c r="AS294" t="e">
        <f t="shared" si="147"/>
        <v>#DIV/0!</v>
      </c>
      <c r="AT294" t="e">
        <f t="shared" si="148"/>
        <v>#DIV/0!</v>
      </c>
      <c r="AU294" t="b">
        <f t="shared" si="158"/>
        <v>0</v>
      </c>
      <c r="AV294">
        <f t="shared" si="149"/>
        <v>25000</v>
      </c>
    </row>
    <row r="295" spans="1:48" x14ac:dyDescent="0.25">
      <c r="A295">
        <f t="shared" si="128"/>
        <v>29.300000000000146</v>
      </c>
      <c r="B295">
        <f t="shared" si="150"/>
        <v>0.1</v>
      </c>
      <c r="C295">
        <f>sim!C294+(sim!$G294*$B295*COS($E295))</f>
        <v>101.62680579833263</v>
      </c>
      <c r="D295">
        <f>sim!D294+(sim!$G294*$B295*SIN($E295))</f>
        <v>444.73871762823114</v>
      </c>
      <c r="E295">
        <f t="shared" si="129"/>
        <v>-6737.145448052288</v>
      </c>
      <c r="F295">
        <f t="shared" si="136"/>
        <v>99.999951264478028</v>
      </c>
      <c r="G295">
        <v>100</v>
      </c>
      <c r="H295">
        <f t="shared" si="130"/>
        <v>4.252976605431584E-6</v>
      </c>
      <c r="I295">
        <f t="shared" si="137"/>
        <v>2.4367760985910536E-4</v>
      </c>
      <c r="J295">
        <f t="shared" si="151"/>
        <v>0</v>
      </c>
      <c r="K295">
        <f t="shared" si="152"/>
        <v>0</v>
      </c>
      <c r="L295">
        <f t="shared" si="138"/>
        <v>0</v>
      </c>
      <c r="M295">
        <f t="shared" si="131"/>
        <v>2.4367760985910536E-4</v>
      </c>
      <c r="N295">
        <f t="shared" si="139"/>
        <v>92.38800117795725</v>
      </c>
      <c r="O295">
        <f t="shared" si="140"/>
        <v>440.91190574540616</v>
      </c>
      <c r="P295">
        <f t="shared" si="132"/>
        <v>-4.5025796552522479E-5</v>
      </c>
      <c r="Q295">
        <f t="shared" si="133"/>
        <v>402.64378691715626</v>
      </c>
      <c r="R295">
        <f t="shared" si="141"/>
        <v>-0.38268118828249881</v>
      </c>
      <c r="S295">
        <f t="shared" si="142"/>
        <v>-0.92388046203753804</v>
      </c>
      <c r="U295">
        <f t="shared" si="159"/>
        <v>4</v>
      </c>
      <c r="V295" cm="1">
        <f t="array" ref="V295:AA295">INDEX(surface!$A$2:$I$40,U295+1,COLUMN(surface!$B$1:$G$1))</f>
        <v>0</v>
      </c>
      <c r="W295">
        <v>1000</v>
      </c>
      <c r="X295">
        <v>0</v>
      </c>
      <c r="Y295">
        <v>1</v>
      </c>
      <c r="Z295">
        <v>0</v>
      </c>
      <c r="AA295">
        <v>999</v>
      </c>
      <c r="AB295">
        <f t="shared" si="134"/>
        <v>184.7760023559145</v>
      </c>
      <c r="AC295">
        <f t="shared" si="135"/>
        <v>-118.17618850918768</v>
      </c>
      <c r="AD295">
        <f t="shared" si="143"/>
        <v>-922.95658157550054</v>
      </c>
      <c r="AE295">
        <f t="shared" si="144"/>
        <v>99.999951264478028</v>
      </c>
      <c r="AF295">
        <f t="shared" si="145"/>
        <v>0.59795414858125762</v>
      </c>
      <c r="AG295" t="b">
        <f t="shared" si="153"/>
        <v>1</v>
      </c>
      <c r="AH295">
        <f t="shared" si="146"/>
        <v>99.999951264478028</v>
      </c>
      <c r="AI295">
        <f t="shared" si="154"/>
        <v>5</v>
      </c>
      <c r="AJ295" cm="1">
        <f t="array" ref="AJ295:AO295">INDEX(surface!$A$2:$I$40,AI295+1,COLUMN(surface!$B$1:$G$1))</f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f t="shared" si="155"/>
        <v>184.7760023559145</v>
      </c>
      <c r="AQ295">
        <f t="shared" si="156"/>
        <v>881.82381149081232</v>
      </c>
      <c r="AR295">
        <f t="shared" si="157"/>
        <v>0</v>
      </c>
      <c r="AS295" t="e">
        <f t="shared" si="147"/>
        <v>#DIV/0!</v>
      </c>
      <c r="AT295" t="e">
        <f t="shared" si="148"/>
        <v>#DIV/0!</v>
      </c>
      <c r="AU295" t="b">
        <f t="shared" si="158"/>
        <v>0</v>
      </c>
      <c r="AV295">
        <f t="shared" si="149"/>
        <v>25000</v>
      </c>
    </row>
    <row r="296" spans="1:48" x14ac:dyDescent="0.25">
      <c r="A296">
        <f t="shared" si="128"/>
        <v>29.400000000000148</v>
      </c>
      <c r="B296">
        <f t="shared" si="150"/>
        <v>0.1</v>
      </c>
      <c r="C296">
        <f>sim!C295+(sim!$G295*$B296*COS($E296))</f>
        <v>101.62678576154801</v>
      </c>
      <c r="D296">
        <f>sim!D295+(sim!$G295*$B296*SIN($E296))</f>
        <v>434.73871762825121</v>
      </c>
      <c r="E296">
        <f t="shared" si="129"/>
        <v>-6737.1454476269901</v>
      </c>
      <c r="F296">
        <f t="shared" si="136"/>
        <v>99.999948954766253</v>
      </c>
      <c r="G296">
        <v>100</v>
      </c>
      <c r="H296">
        <f t="shared" si="130"/>
        <v>4.4545369816370438E-6</v>
      </c>
      <c r="I296">
        <f t="shared" si="137"/>
        <v>2.5522616873274728E-4</v>
      </c>
      <c r="J296">
        <f t="shared" si="151"/>
        <v>0</v>
      </c>
      <c r="K296">
        <f t="shared" si="152"/>
        <v>0</v>
      </c>
      <c r="L296">
        <f t="shared" si="138"/>
        <v>0</v>
      </c>
      <c r="M296">
        <f t="shared" si="131"/>
        <v>2.5522616873274728E-4</v>
      </c>
      <c r="N296">
        <f t="shared" si="139"/>
        <v>92.387982768708568</v>
      </c>
      <c r="O296">
        <f t="shared" si="140"/>
        <v>430.91190181618225</v>
      </c>
      <c r="P296">
        <f t="shared" si="132"/>
        <v>-4.7159685820474806E-5</v>
      </c>
      <c r="Q296">
        <f t="shared" si="133"/>
        <v>392.64374369549262</v>
      </c>
      <c r="R296">
        <f t="shared" si="141"/>
        <v>-0.38268158120689605</v>
      </c>
      <c r="S296">
        <f t="shared" si="142"/>
        <v>-0.92388029928394388</v>
      </c>
      <c r="U296">
        <f t="shared" si="159"/>
        <v>4</v>
      </c>
      <c r="V296" cm="1">
        <f t="array" ref="V296:AA296">INDEX(surface!$A$2:$I$40,U296+1,COLUMN(surface!$B$1:$G$1))</f>
        <v>0</v>
      </c>
      <c r="W296">
        <v>1000</v>
      </c>
      <c r="X296">
        <v>0</v>
      </c>
      <c r="Y296">
        <v>1</v>
      </c>
      <c r="Z296">
        <v>0</v>
      </c>
      <c r="AA296">
        <v>999</v>
      </c>
      <c r="AB296">
        <f t="shared" si="134"/>
        <v>184.77596553741714</v>
      </c>
      <c r="AC296">
        <f t="shared" si="135"/>
        <v>-138.1761963676355</v>
      </c>
      <c r="AD296">
        <f t="shared" si="143"/>
        <v>-922.95641898465999</v>
      </c>
      <c r="AE296">
        <f t="shared" si="144"/>
        <v>99.999948954766253</v>
      </c>
      <c r="AF296">
        <f t="shared" si="145"/>
        <v>0.60796420097140791</v>
      </c>
      <c r="AG296" t="b">
        <f t="shared" si="153"/>
        <v>1</v>
      </c>
      <c r="AH296">
        <f t="shared" si="146"/>
        <v>99.999948954766253</v>
      </c>
      <c r="AI296">
        <f t="shared" si="154"/>
        <v>5</v>
      </c>
      <c r="AJ296" cm="1">
        <f t="array" ref="AJ296:AO296">INDEX(surface!$A$2:$I$40,AI296+1,COLUMN(surface!$B$1:$G$1))</f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f t="shared" si="155"/>
        <v>184.77596553741714</v>
      </c>
      <c r="AQ296">
        <f t="shared" si="156"/>
        <v>861.8238036323645</v>
      </c>
      <c r="AR296">
        <f t="shared" si="157"/>
        <v>0</v>
      </c>
      <c r="AS296" t="e">
        <f t="shared" si="147"/>
        <v>#DIV/0!</v>
      </c>
      <c r="AT296" t="e">
        <f t="shared" si="148"/>
        <v>#DIV/0!</v>
      </c>
      <c r="AU296" t="b">
        <f t="shared" si="158"/>
        <v>0</v>
      </c>
      <c r="AV296">
        <f t="shared" si="149"/>
        <v>25000</v>
      </c>
    </row>
    <row r="297" spans="1:48" x14ac:dyDescent="0.25">
      <c r="A297">
        <f t="shared" si="128"/>
        <v>29.500000000000149</v>
      </c>
      <c r="B297">
        <f t="shared" si="150"/>
        <v>0.1</v>
      </c>
      <c r="C297">
        <f>sim!C296+(sim!$G296*$B297*COS($E297))</f>
        <v>101.62677017930473</v>
      </c>
      <c r="D297">
        <f>sim!D296+(sim!$G296*$B297*SIN($E297))</f>
        <v>424.73871762826337</v>
      </c>
      <c r="E297">
        <f t="shared" si="129"/>
        <v>-6737.1454471815359</v>
      </c>
      <c r="F297">
        <f t="shared" si="136"/>
        <v>99.999952385014552</v>
      </c>
      <c r="G297">
        <v>100</v>
      </c>
      <c r="H297">
        <f t="shared" si="130"/>
        <v>4.1551913467671867E-6</v>
      </c>
      <c r="I297">
        <f t="shared" si="137"/>
        <v>2.3807492723904033E-4</v>
      </c>
      <c r="J297">
        <f t="shared" si="151"/>
        <v>0</v>
      </c>
      <c r="K297">
        <f t="shared" si="152"/>
        <v>0</v>
      </c>
      <c r="L297">
        <f t="shared" si="138"/>
        <v>0</v>
      </c>
      <c r="M297">
        <f t="shared" si="131"/>
        <v>2.3807492723904033E-4</v>
      </c>
      <c r="N297">
        <f t="shared" si="139"/>
        <v>92.38796889113712</v>
      </c>
      <c r="O297">
        <f t="shared" si="140"/>
        <v>420.9118977007318</v>
      </c>
      <c r="P297">
        <f t="shared" si="132"/>
        <v>-4.3990538870275486E-5</v>
      </c>
      <c r="Q297">
        <f t="shared" si="133"/>
        <v>382.64369842541612</v>
      </c>
      <c r="R297">
        <f t="shared" si="141"/>
        <v>-0.38268199275315673</v>
      </c>
      <c r="S297">
        <f t="shared" si="142"/>
        <v>-0.92388012881675996</v>
      </c>
      <c r="U297">
        <f t="shared" si="159"/>
        <v>4</v>
      </c>
      <c r="V297" cm="1">
        <f t="array" ref="V297:AA297">INDEX(surface!$A$2:$I$40,U297+1,COLUMN(surface!$B$1:$G$1))</f>
        <v>0</v>
      </c>
      <c r="W297">
        <v>1000</v>
      </c>
      <c r="X297">
        <v>0</v>
      </c>
      <c r="Y297">
        <v>1</v>
      </c>
      <c r="Z297">
        <v>0</v>
      </c>
      <c r="AA297">
        <v>999</v>
      </c>
      <c r="AB297">
        <f t="shared" si="134"/>
        <v>184.77593778227424</v>
      </c>
      <c r="AC297">
        <f t="shared" si="135"/>
        <v>-158.1762045985364</v>
      </c>
      <c r="AD297">
        <f t="shared" si="143"/>
        <v>-922.95624868794323</v>
      </c>
      <c r="AE297">
        <f t="shared" si="144"/>
        <v>99.999952385014552</v>
      </c>
      <c r="AF297">
        <f t="shared" si="145"/>
        <v>0.61797425761079716</v>
      </c>
      <c r="AG297" t="b">
        <f t="shared" si="153"/>
        <v>1</v>
      </c>
      <c r="AH297">
        <f t="shared" si="146"/>
        <v>99.999952385014552</v>
      </c>
      <c r="AI297">
        <f t="shared" si="154"/>
        <v>5</v>
      </c>
      <c r="AJ297" cm="1">
        <f t="array" ref="AJ297:AO297">INDEX(surface!$A$2:$I$40,AI297+1,COLUMN(surface!$B$1:$G$1))</f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f t="shared" si="155"/>
        <v>184.77593778227424</v>
      </c>
      <c r="AQ297">
        <f t="shared" si="156"/>
        <v>841.8237954014636</v>
      </c>
      <c r="AR297">
        <f t="shared" si="157"/>
        <v>0</v>
      </c>
      <c r="AS297" t="e">
        <f t="shared" si="147"/>
        <v>#DIV/0!</v>
      </c>
      <c r="AT297" t="e">
        <f t="shared" si="148"/>
        <v>#DIV/0!</v>
      </c>
      <c r="AU297" t="b">
        <f t="shared" si="158"/>
        <v>0</v>
      </c>
      <c r="AV297">
        <f t="shared" si="149"/>
        <v>25000</v>
      </c>
    </row>
    <row r="298" spans="1:48" x14ac:dyDescent="0.25">
      <c r="A298">
        <f t="shared" si="128"/>
        <v>29.600000000000151</v>
      </c>
      <c r="B298">
        <f t="shared" si="150"/>
        <v>0.1</v>
      </c>
      <c r="C298">
        <f>sim!C297+(sim!$G297*$B298*COS($E298))</f>
        <v>101.6267587522517</v>
      </c>
      <c r="D298">
        <f>sim!D297+(sim!$G297*$B298*SIN($E298))</f>
        <v>414.73871762826991</v>
      </c>
      <c r="E298">
        <f t="shared" si="129"/>
        <v>-6737.1454467660169</v>
      </c>
      <c r="F298">
        <f t="shared" si="136"/>
        <v>99.999958948886203</v>
      </c>
      <c r="G298">
        <v>100</v>
      </c>
      <c r="H298">
        <f t="shared" si="130"/>
        <v>3.5823854868559169E-6</v>
      </c>
      <c r="I298">
        <f t="shared" si="137"/>
        <v>2.0525556898576269E-4</v>
      </c>
      <c r="J298">
        <f t="shared" si="151"/>
        <v>0</v>
      </c>
      <c r="K298">
        <f t="shared" si="152"/>
        <v>0</v>
      </c>
      <c r="L298">
        <f t="shared" si="138"/>
        <v>0</v>
      </c>
      <c r="M298">
        <f t="shared" si="131"/>
        <v>2.0525556898576269E-4</v>
      </c>
      <c r="N298">
        <f t="shared" si="139"/>
        <v>92.387959054201389</v>
      </c>
      <c r="O298">
        <f t="shared" si="140"/>
        <v>410.91189386184095</v>
      </c>
      <c r="P298">
        <f t="shared" si="132"/>
        <v>-3.7926301757806868E-5</v>
      </c>
      <c r="Q298">
        <f t="shared" si="133"/>
        <v>372.64365619755154</v>
      </c>
      <c r="R298">
        <f t="shared" si="141"/>
        <v>-0.38268237664289445</v>
      </c>
      <c r="S298">
        <f t="shared" si="142"/>
        <v>-0.92387996980503151</v>
      </c>
      <c r="U298">
        <f t="shared" si="159"/>
        <v>4</v>
      </c>
      <c r="V298" cm="1">
        <f t="array" ref="V298:AA298">INDEX(surface!$A$2:$I$40,U298+1,COLUMN(surface!$B$1:$G$1))</f>
        <v>0</v>
      </c>
      <c r="W298">
        <v>1000</v>
      </c>
      <c r="X298">
        <v>0</v>
      </c>
      <c r="Y298">
        <v>1</v>
      </c>
      <c r="Z298">
        <v>0</v>
      </c>
      <c r="AA298">
        <v>999</v>
      </c>
      <c r="AB298">
        <f t="shared" si="134"/>
        <v>184.77591810840278</v>
      </c>
      <c r="AC298">
        <f t="shared" si="135"/>
        <v>-178.1762122763181</v>
      </c>
      <c r="AD298">
        <f t="shared" si="143"/>
        <v>-922.95608983522652</v>
      </c>
      <c r="AE298">
        <f t="shared" si="144"/>
        <v>99.999958948886203</v>
      </c>
      <c r="AF298">
        <f t="shared" si="145"/>
        <v>0.62798431240531594</v>
      </c>
      <c r="AG298" t="b">
        <f t="shared" si="153"/>
        <v>1</v>
      </c>
      <c r="AH298">
        <f t="shared" si="146"/>
        <v>99.999958948886203</v>
      </c>
      <c r="AI298">
        <f t="shared" si="154"/>
        <v>5</v>
      </c>
      <c r="AJ298" cm="1">
        <f t="array" ref="AJ298:AO298">INDEX(surface!$A$2:$I$40,AI298+1,COLUMN(surface!$B$1:$G$1))</f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f t="shared" si="155"/>
        <v>184.77591810840278</v>
      </c>
      <c r="AQ298">
        <f t="shared" si="156"/>
        <v>821.8237877236819</v>
      </c>
      <c r="AR298">
        <f t="shared" si="157"/>
        <v>0</v>
      </c>
      <c r="AS298" t="e">
        <f t="shared" si="147"/>
        <v>#DIV/0!</v>
      </c>
      <c r="AT298" t="e">
        <f t="shared" si="148"/>
        <v>#DIV/0!</v>
      </c>
      <c r="AU298" t="b">
        <f t="shared" si="158"/>
        <v>0</v>
      </c>
      <c r="AV298">
        <f t="shared" si="149"/>
        <v>25000</v>
      </c>
    </row>
    <row r="299" spans="1:48" x14ac:dyDescent="0.25">
      <c r="A299">
        <f t="shared" si="128"/>
        <v>29.700000000000152</v>
      </c>
      <c r="B299">
        <f t="shared" si="150"/>
        <v>0.1</v>
      </c>
      <c r="C299">
        <f>sim!C298+(sim!$G298*$B299*COS($E299))</f>
        <v>101.62675090758007</v>
      </c>
      <c r="D299">
        <f>sim!D298+(sim!$G298*$B299*SIN($E299))</f>
        <v>404.73871762827298</v>
      </c>
      <c r="E299">
        <f t="shared" si="129"/>
        <v>-6737.1454464077788</v>
      </c>
      <c r="F299">
        <f t="shared" si="136"/>
        <v>99.999966780408784</v>
      </c>
      <c r="G299">
        <v>100</v>
      </c>
      <c r="H299">
        <f t="shared" si="130"/>
        <v>2.8989562144719937E-6</v>
      </c>
      <c r="I299">
        <f t="shared" si="137"/>
        <v>1.6609795608246714E-4</v>
      </c>
      <c r="J299">
        <f t="shared" si="151"/>
        <v>0</v>
      </c>
      <c r="K299">
        <f t="shared" si="152"/>
        <v>0</v>
      </c>
      <c r="L299">
        <f t="shared" si="138"/>
        <v>0</v>
      </c>
      <c r="M299">
        <f t="shared" si="131"/>
        <v>1.6609795608246714E-4</v>
      </c>
      <c r="N299">
        <f t="shared" si="139"/>
        <v>92.387952580444576</v>
      </c>
      <c r="O299">
        <f t="shared" si="140"/>
        <v>400.91189055215386</v>
      </c>
      <c r="P299">
        <f t="shared" si="132"/>
        <v>-3.0690910378439185E-5</v>
      </c>
      <c r="Q299">
        <f t="shared" si="133"/>
        <v>362.6436197909627</v>
      </c>
      <c r="R299">
        <f t="shared" si="141"/>
        <v>-0.38268270761191148</v>
      </c>
      <c r="S299">
        <f t="shared" si="142"/>
        <v>-0.92387983271354956</v>
      </c>
      <c r="U299">
        <f t="shared" si="159"/>
        <v>4</v>
      </c>
      <c r="V299" cm="1">
        <f t="array" ref="V299:AA299">INDEX(surface!$A$2:$I$40,U299+1,COLUMN(surface!$B$1:$G$1))</f>
        <v>0</v>
      </c>
      <c r="W299">
        <v>1000</v>
      </c>
      <c r="X299">
        <v>0</v>
      </c>
      <c r="Y299">
        <v>1</v>
      </c>
      <c r="Z299">
        <v>0</v>
      </c>
      <c r="AA299">
        <v>999</v>
      </c>
      <c r="AB299">
        <f t="shared" si="134"/>
        <v>184.77590516088915</v>
      </c>
      <c r="AC299">
        <f t="shared" si="135"/>
        <v>-198.17621889569227</v>
      </c>
      <c r="AD299">
        <f t="shared" si="143"/>
        <v>-922.95595288083598</v>
      </c>
      <c r="AE299">
        <f t="shared" si="144"/>
        <v>99.999966780408784</v>
      </c>
      <c r="AF299">
        <f t="shared" si="145"/>
        <v>0.63799436185833258</v>
      </c>
      <c r="AG299" t="b">
        <f t="shared" si="153"/>
        <v>1</v>
      </c>
      <c r="AH299">
        <f t="shared" si="146"/>
        <v>99.999966780408784</v>
      </c>
      <c r="AI299">
        <f t="shared" si="154"/>
        <v>5</v>
      </c>
      <c r="AJ299" cm="1">
        <f t="array" ref="AJ299:AO299">INDEX(surface!$A$2:$I$40,AI299+1,COLUMN(surface!$B$1:$G$1))</f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f t="shared" si="155"/>
        <v>184.77590516088915</v>
      </c>
      <c r="AQ299">
        <f t="shared" si="156"/>
        <v>801.82378110430773</v>
      </c>
      <c r="AR299">
        <f t="shared" si="157"/>
        <v>0</v>
      </c>
      <c r="AS299" t="e">
        <f t="shared" si="147"/>
        <v>#DIV/0!</v>
      </c>
      <c r="AT299" t="e">
        <f t="shared" si="148"/>
        <v>#DIV/0!</v>
      </c>
      <c r="AU299" t="b">
        <f t="shared" si="158"/>
        <v>0</v>
      </c>
      <c r="AV299">
        <f t="shared" si="149"/>
        <v>25000</v>
      </c>
    </row>
    <row r="300" spans="1:48" x14ac:dyDescent="0.25">
      <c r="A300">
        <f t="shared" si="128"/>
        <v>29.800000000000153</v>
      </c>
      <c r="B300">
        <f t="shared" si="150"/>
        <v>0.1</v>
      </c>
      <c r="C300">
        <f>sim!C299+(sim!$G299*$B300*COS($E300))</f>
        <v>101.62674596186824</v>
      </c>
      <c r="D300">
        <f>sim!D299+(sim!$G299*$B300*SIN($E300))</f>
        <v>394.73871762827423</v>
      </c>
      <c r="E300">
        <f t="shared" si="129"/>
        <v>-6737.1454461178828</v>
      </c>
      <c r="F300">
        <f t="shared" si="136"/>
        <v>99.999974635855963</v>
      </c>
      <c r="G300">
        <v>100</v>
      </c>
      <c r="H300">
        <f t="shared" si="130"/>
        <v>2.213439126947586E-6</v>
      </c>
      <c r="I300">
        <f t="shared" si="137"/>
        <v>1.2682072018321833E-4</v>
      </c>
      <c r="J300">
        <f t="shared" si="151"/>
        <v>0</v>
      </c>
      <c r="K300">
        <f t="shared" si="152"/>
        <v>0</v>
      </c>
      <c r="L300">
        <f t="shared" si="138"/>
        <v>0</v>
      </c>
      <c r="M300">
        <f t="shared" si="131"/>
        <v>1.2682072018321833E-4</v>
      </c>
      <c r="N300">
        <f t="shared" si="139"/>
        <v>92.387948744114908</v>
      </c>
      <c r="O300">
        <f t="shared" si="140"/>
        <v>390.91188787386477</v>
      </c>
      <c r="P300">
        <f t="shared" si="132"/>
        <v>-2.3433418348872692E-5</v>
      </c>
      <c r="Q300">
        <f t="shared" si="133"/>
        <v>352.64359032977035</v>
      </c>
      <c r="R300">
        <f t="shared" si="141"/>
        <v>-0.38268297544094421</v>
      </c>
      <c r="S300">
        <f t="shared" si="142"/>
        <v>-0.92387972177533251</v>
      </c>
      <c r="U300">
        <f t="shared" si="159"/>
        <v>4</v>
      </c>
      <c r="V300" cm="1">
        <f t="array" ref="V300:AA300">INDEX(surface!$A$2:$I$40,U300+1,COLUMN(surface!$B$1:$G$1))</f>
        <v>0</v>
      </c>
      <c r="W300">
        <v>1000</v>
      </c>
      <c r="X300">
        <v>0</v>
      </c>
      <c r="Y300">
        <v>1</v>
      </c>
      <c r="Z300">
        <v>0</v>
      </c>
      <c r="AA300">
        <v>999</v>
      </c>
      <c r="AB300">
        <f t="shared" si="134"/>
        <v>184.77589748822982</v>
      </c>
      <c r="AC300">
        <f t="shared" si="135"/>
        <v>-218.17622425227046</v>
      </c>
      <c r="AD300">
        <f t="shared" si="143"/>
        <v>-922.95584205355715</v>
      </c>
      <c r="AE300">
        <f t="shared" si="144"/>
        <v>99.999974635855963</v>
      </c>
      <c r="AF300">
        <f t="shared" si="145"/>
        <v>0.64800440436817175</v>
      </c>
      <c r="AG300" t="b">
        <f t="shared" si="153"/>
        <v>1</v>
      </c>
      <c r="AH300">
        <f t="shared" si="146"/>
        <v>99.999974635855963</v>
      </c>
      <c r="AI300">
        <f t="shared" si="154"/>
        <v>5</v>
      </c>
      <c r="AJ300" cm="1">
        <f t="array" ref="AJ300:AO300">INDEX(surface!$A$2:$I$40,AI300+1,COLUMN(surface!$B$1:$G$1))</f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f t="shared" si="155"/>
        <v>184.77589748822982</v>
      </c>
      <c r="AQ300">
        <f t="shared" si="156"/>
        <v>781.82377574772954</v>
      </c>
      <c r="AR300">
        <f t="shared" si="157"/>
        <v>0</v>
      </c>
      <c r="AS300" t="e">
        <f t="shared" si="147"/>
        <v>#DIV/0!</v>
      </c>
      <c r="AT300" t="e">
        <f t="shared" si="148"/>
        <v>#DIV/0!</v>
      </c>
      <c r="AU300" t="b">
        <f t="shared" si="158"/>
        <v>0</v>
      </c>
      <c r="AV300">
        <f t="shared" si="149"/>
        <v>25000</v>
      </c>
    </row>
    <row r="301" spans="1:48" x14ac:dyDescent="0.25">
      <c r="A301">
        <f t="shared" si="128"/>
        <v>29.900000000000155</v>
      </c>
      <c r="B301">
        <f t="shared" si="150"/>
        <v>0.1</v>
      </c>
      <c r="C301">
        <f>sim!C300+(sim!$G300*$B301*COS($E301))</f>
        <v>101.62674322959366</v>
      </c>
      <c r="D301">
        <f>sim!D300+(sim!$G300*$B301*SIN($E301))</f>
        <v>384.73871762827463</v>
      </c>
      <c r="E301">
        <f t="shared" si="129"/>
        <v>-6737.1454458965391</v>
      </c>
      <c r="F301">
        <f t="shared" si="136"/>
        <v>99.999981763643845</v>
      </c>
      <c r="G301">
        <v>100</v>
      </c>
      <c r="H301">
        <f t="shared" si="130"/>
        <v>1.5914222923505019E-6</v>
      </c>
      <c r="I301">
        <f t="shared" si="137"/>
        <v>9.1181780774718391E-5</v>
      </c>
      <c r="J301">
        <f t="shared" si="151"/>
        <v>0</v>
      </c>
      <c r="K301">
        <f t="shared" si="152"/>
        <v>0</v>
      </c>
      <c r="L301">
        <f t="shared" si="138"/>
        <v>0</v>
      </c>
      <c r="M301">
        <f t="shared" si="131"/>
        <v>9.1181780774718391E-5</v>
      </c>
      <c r="N301">
        <f t="shared" si="139"/>
        <v>92.387946858885314</v>
      </c>
      <c r="O301">
        <f t="shared" si="140"/>
        <v>380.9118858289155</v>
      </c>
      <c r="P301">
        <f t="shared" si="132"/>
        <v>-1.6848198114871593E-5</v>
      </c>
      <c r="Q301">
        <f t="shared" si="133"/>
        <v>342.64356783532406</v>
      </c>
      <c r="R301">
        <f t="shared" si="141"/>
        <v>-0.38268317993591439</v>
      </c>
      <c r="S301">
        <f t="shared" si="142"/>
        <v>-0.92387963707083431</v>
      </c>
      <c r="U301">
        <f t="shared" si="159"/>
        <v>4</v>
      </c>
      <c r="V301" cm="1">
        <f t="array" ref="V301:AA301">INDEX(surface!$A$2:$I$40,U301+1,COLUMN(surface!$B$1:$G$1))</f>
        <v>0</v>
      </c>
      <c r="W301">
        <v>1000</v>
      </c>
      <c r="X301">
        <v>0</v>
      </c>
      <c r="Y301">
        <v>1</v>
      </c>
      <c r="Z301">
        <v>0</v>
      </c>
      <c r="AA301">
        <v>999</v>
      </c>
      <c r="AB301">
        <f t="shared" si="134"/>
        <v>184.77589371777063</v>
      </c>
      <c r="AC301">
        <f t="shared" si="135"/>
        <v>-238.176228342169</v>
      </c>
      <c r="AD301">
        <f t="shared" si="143"/>
        <v>-922.95575743376344</v>
      </c>
      <c r="AE301">
        <f t="shared" si="144"/>
        <v>99.999981763643845</v>
      </c>
      <c r="AF301">
        <f t="shared" si="145"/>
        <v>0.65801443962555473</v>
      </c>
      <c r="AG301" t="b">
        <f t="shared" si="153"/>
        <v>1</v>
      </c>
      <c r="AH301">
        <f t="shared" si="146"/>
        <v>99.999981763643845</v>
      </c>
      <c r="AI301">
        <f t="shared" si="154"/>
        <v>5</v>
      </c>
      <c r="AJ301" cm="1">
        <f t="array" ref="AJ301:AO301">INDEX(surface!$A$2:$I$40,AI301+1,COLUMN(surface!$B$1:$G$1))</f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f t="shared" si="155"/>
        <v>184.77589371777063</v>
      </c>
      <c r="AQ301">
        <f t="shared" si="156"/>
        <v>761.823771657831</v>
      </c>
      <c r="AR301">
        <f t="shared" si="157"/>
        <v>0</v>
      </c>
      <c r="AS301" t="e">
        <f t="shared" si="147"/>
        <v>#DIV/0!</v>
      </c>
      <c r="AT301" t="e">
        <f t="shared" si="148"/>
        <v>#DIV/0!</v>
      </c>
      <c r="AU301" t="b">
        <f t="shared" si="158"/>
        <v>0</v>
      </c>
      <c r="AV301">
        <f t="shared" si="149"/>
        <v>25000</v>
      </c>
    </row>
    <row r="302" spans="1:48" x14ac:dyDescent="0.25">
      <c r="A302">
        <f t="shared" si="128"/>
        <v>30.000000000000156</v>
      </c>
      <c r="B302">
        <f t="shared" si="150"/>
        <v>0.1</v>
      </c>
      <c r="C302">
        <f>sim!C301+(sim!$G301*$B302*COS($E302))</f>
        <v>101.62674208874381</v>
      </c>
      <c r="D302">
        <f>sim!D301+(sim!$G301*$B302*SIN($E302))</f>
        <v>374.73871762827469</v>
      </c>
      <c r="E302">
        <f t="shared" si="129"/>
        <v>-6737.1454457373966</v>
      </c>
      <c r="F302">
        <f t="shared" si="136"/>
        <v>99.999987779878765</v>
      </c>
      <c r="G302">
        <v>100</v>
      </c>
      <c r="H302">
        <f t="shared" si="130"/>
        <v>1.0664067527109923E-6</v>
      </c>
      <c r="I302">
        <f t="shared" si="137"/>
        <v>6.1100606174591121E-5</v>
      </c>
      <c r="J302">
        <f t="shared" si="151"/>
        <v>0</v>
      </c>
      <c r="K302">
        <f t="shared" si="152"/>
        <v>0</v>
      </c>
      <c r="L302">
        <f t="shared" si="138"/>
        <v>0</v>
      </c>
      <c r="M302">
        <f t="shared" si="131"/>
        <v>6.1100606174591121E-5</v>
      </c>
      <c r="N302">
        <f t="shared" si="139"/>
        <v>92.387946327047061</v>
      </c>
      <c r="O302">
        <f t="shared" si="140"/>
        <v>370.91188435863069</v>
      </c>
      <c r="P302">
        <f t="shared" si="132"/>
        <v>-1.12899204225414E-5</v>
      </c>
      <c r="Q302">
        <f t="shared" si="133"/>
        <v>332.64355166219065</v>
      </c>
      <c r="R302">
        <f t="shared" si="141"/>
        <v>-0.38268332696440016</v>
      </c>
      <c r="S302">
        <f t="shared" si="142"/>
        <v>-0.92387957616967487</v>
      </c>
      <c r="U302">
        <f t="shared" si="159"/>
        <v>4</v>
      </c>
      <c r="V302" cm="1">
        <f t="array" ref="V302:AA302">INDEX(surface!$A$2:$I$40,U302+1,COLUMN(surface!$B$1:$G$1))</f>
        <v>0</v>
      </c>
      <c r="W302">
        <v>1000</v>
      </c>
      <c r="X302">
        <v>0</v>
      </c>
      <c r="Y302">
        <v>1</v>
      </c>
      <c r="Z302">
        <v>0</v>
      </c>
      <c r="AA302">
        <v>999</v>
      </c>
      <c r="AB302">
        <f t="shared" si="134"/>
        <v>184.77589265409412</v>
      </c>
      <c r="AC302">
        <f t="shared" si="135"/>
        <v>-258.17623128273863</v>
      </c>
      <c r="AD302">
        <f t="shared" si="143"/>
        <v>-922.95569659350519</v>
      </c>
      <c r="AE302">
        <f t="shared" si="144"/>
        <v>99.999987779878765</v>
      </c>
      <c r="AF302">
        <f t="shared" si="145"/>
        <v>0.66802446812950211</v>
      </c>
      <c r="AG302" t="b">
        <f t="shared" si="153"/>
        <v>1</v>
      </c>
      <c r="AH302">
        <f t="shared" si="146"/>
        <v>99.999987779878765</v>
      </c>
      <c r="AI302">
        <f t="shared" si="154"/>
        <v>5</v>
      </c>
      <c r="AJ302" cm="1">
        <f t="array" ref="AJ302:AO302">INDEX(surface!$A$2:$I$40,AI302+1,COLUMN(surface!$B$1:$G$1))</f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f t="shared" si="155"/>
        <v>184.77589265409412</v>
      </c>
      <c r="AQ302">
        <f t="shared" si="156"/>
        <v>741.82376871726137</v>
      </c>
      <c r="AR302">
        <f t="shared" si="157"/>
        <v>0</v>
      </c>
      <c r="AS302" t="e">
        <f t="shared" si="147"/>
        <v>#DIV/0!</v>
      </c>
      <c r="AT302" t="e">
        <f t="shared" si="148"/>
        <v>#DIV/0!</v>
      </c>
      <c r="AU302" t="b">
        <f t="shared" si="158"/>
        <v>0</v>
      </c>
      <c r="AV302">
        <f t="shared" si="149"/>
        <v>25000</v>
      </c>
    </row>
    <row r="303" spans="1:48" x14ac:dyDescent="0.25">
      <c r="A303">
        <f t="shared" si="128"/>
        <v>30.100000000000158</v>
      </c>
      <c r="B303">
        <f t="shared" si="150"/>
        <v>0.1</v>
      </c>
      <c r="C303">
        <f>sim!C302+(sim!$G302*$B303*COS($E303))</f>
        <v>101.62674201430379</v>
      </c>
      <c r="D303">
        <f>sim!D302+(sim!$G302*$B303*SIN($E303))</f>
        <v>364.73871762827469</v>
      </c>
      <c r="E303">
        <f t="shared" si="129"/>
        <v>-6737.1454456307556</v>
      </c>
      <c r="F303">
        <f t="shared" si="136"/>
        <v>99.999992558239725</v>
      </c>
      <c r="G303">
        <v>100</v>
      </c>
      <c r="H303">
        <f t="shared" si="130"/>
        <v>6.4941609468584821E-7</v>
      </c>
      <c r="I303">
        <f t="shared" si="137"/>
        <v>3.7208801373367351E-5</v>
      </c>
      <c r="J303">
        <f t="shared" si="151"/>
        <v>0</v>
      </c>
      <c r="K303">
        <f t="shared" si="152"/>
        <v>0</v>
      </c>
      <c r="L303">
        <f t="shared" si="138"/>
        <v>0</v>
      </c>
      <c r="M303">
        <f t="shared" si="131"/>
        <v>3.7208801373367351E-5</v>
      </c>
      <c r="N303">
        <f t="shared" si="139"/>
        <v>92.387946660704344</v>
      </c>
      <c r="O303">
        <f t="shared" si="140"/>
        <v>360.91188337339645</v>
      </c>
      <c r="P303">
        <f t="shared" si="132"/>
        <v>-6.8752900261870309E-6</v>
      </c>
      <c r="Q303">
        <f t="shared" si="133"/>
        <v>322.64354082461409</v>
      </c>
      <c r="R303">
        <f t="shared" si="141"/>
        <v>-0.38268342548782347</v>
      </c>
      <c r="S303">
        <f t="shared" si="142"/>
        <v>-0.92387953535994372</v>
      </c>
      <c r="U303">
        <f t="shared" si="159"/>
        <v>4</v>
      </c>
      <c r="V303" cm="1">
        <f t="array" ref="V303:AA303">INDEX(surface!$A$2:$I$40,U303+1,COLUMN(surface!$B$1:$G$1))</f>
        <v>0</v>
      </c>
      <c r="W303">
        <v>1000</v>
      </c>
      <c r="X303">
        <v>0</v>
      </c>
      <c r="Y303">
        <v>1</v>
      </c>
      <c r="Z303">
        <v>0</v>
      </c>
      <c r="AA303">
        <v>999</v>
      </c>
      <c r="AB303">
        <f t="shared" si="134"/>
        <v>184.77589332140869</v>
      </c>
      <c r="AC303">
        <f t="shared" si="135"/>
        <v>-278.1762332532071</v>
      </c>
      <c r="AD303">
        <f t="shared" si="143"/>
        <v>-922.9556558245838</v>
      </c>
      <c r="AE303">
        <f t="shared" si="144"/>
        <v>99.999992558239725</v>
      </c>
      <c r="AF303">
        <f t="shared" si="145"/>
        <v>0.67803449081836598</v>
      </c>
      <c r="AG303" t="b">
        <f t="shared" si="153"/>
        <v>1</v>
      </c>
      <c r="AH303">
        <f t="shared" si="146"/>
        <v>99.999992558239725</v>
      </c>
      <c r="AI303">
        <f t="shared" si="154"/>
        <v>5</v>
      </c>
      <c r="AJ303" cm="1">
        <f t="array" ref="AJ303:AO303">INDEX(surface!$A$2:$I$40,AI303+1,COLUMN(surface!$B$1:$G$1))</f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f t="shared" si="155"/>
        <v>184.77589332140869</v>
      </c>
      <c r="AQ303">
        <f t="shared" si="156"/>
        <v>721.8237667467929</v>
      </c>
      <c r="AR303">
        <f t="shared" si="157"/>
        <v>0</v>
      </c>
      <c r="AS303" t="e">
        <f t="shared" si="147"/>
        <v>#DIV/0!</v>
      </c>
      <c r="AT303" t="e">
        <f t="shared" si="148"/>
        <v>#DIV/0!</v>
      </c>
      <c r="AU303" t="b">
        <f t="shared" si="158"/>
        <v>0</v>
      </c>
      <c r="AV303">
        <f t="shared" si="149"/>
        <v>25000</v>
      </c>
    </row>
    <row r="304" spans="1:48" x14ac:dyDescent="0.25">
      <c r="A304">
        <f t="shared" si="128"/>
        <v>30.200000000000159</v>
      </c>
      <c r="B304">
        <f t="shared" si="150"/>
        <v>0.1</v>
      </c>
      <c r="C304">
        <f>sim!C303+(sim!$G303*$B304*COS($E304))</f>
        <v>101.62674258927936</v>
      </c>
      <c r="D304">
        <f>sim!D303+(sim!$G303*$B304*SIN($E304))</f>
        <v>354.73871762827469</v>
      </c>
      <c r="E304">
        <f t="shared" si="129"/>
        <v>-6737.145445565814</v>
      </c>
      <c r="F304">
        <f t="shared" si="136"/>
        <v>99.99999613955309</v>
      </c>
      <c r="G304">
        <v>100</v>
      </c>
      <c r="H304">
        <f t="shared" si="130"/>
        <v>3.3688754586336134E-7</v>
      </c>
      <c r="I304">
        <f t="shared" si="137"/>
        <v>1.930223454849056E-5</v>
      </c>
      <c r="J304">
        <f t="shared" si="151"/>
        <v>0</v>
      </c>
      <c r="K304">
        <f t="shared" si="152"/>
        <v>0</v>
      </c>
      <c r="L304">
        <f t="shared" si="138"/>
        <v>0</v>
      </c>
      <c r="M304">
        <f t="shared" si="131"/>
        <v>1.930223454849056E-5</v>
      </c>
      <c r="N304">
        <f t="shared" si="139"/>
        <v>92.387947484200524</v>
      </c>
      <c r="O304">
        <f t="shared" si="140"/>
        <v>350.91188277341467</v>
      </c>
      <c r="P304">
        <f t="shared" si="132"/>
        <v>-3.5665877931023715E-6</v>
      </c>
      <c r="Q304">
        <f t="shared" si="133"/>
        <v>312.64353422481463</v>
      </c>
      <c r="R304">
        <f t="shared" si="141"/>
        <v>-0.38268348548600067</v>
      </c>
      <c r="S304">
        <f t="shared" si="142"/>
        <v>-0.92387951050788319</v>
      </c>
      <c r="U304">
        <f t="shared" si="159"/>
        <v>4</v>
      </c>
      <c r="V304" cm="1">
        <f t="array" ref="V304:AA304">INDEX(surface!$A$2:$I$40,U304+1,COLUMN(surface!$B$1:$G$1))</f>
        <v>0</v>
      </c>
      <c r="W304">
        <v>1000</v>
      </c>
      <c r="X304">
        <v>0</v>
      </c>
      <c r="Y304">
        <v>1</v>
      </c>
      <c r="Z304">
        <v>0</v>
      </c>
      <c r="AA304">
        <v>999</v>
      </c>
      <c r="AB304">
        <f t="shared" si="134"/>
        <v>184.77589496840105</v>
      </c>
      <c r="AC304">
        <f t="shared" si="135"/>
        <v>-298.17623445317065</v>
      </c>
      <c r="AD304">
        <f t="shared" si="143"/>
        <v>-922.95563099737535</v>
      </c>
      <c r="AE304">
        <f t="shared" si="144"/>
        <v>99.99999613955309</v>
      </c>
      <c r="AF304">
        <f t="shared" si="145"/>
        <v>0.68804450880666279</v>
      </c>
      <c r="AG304" t="b">
        <f t="shared" si="153"/>
        <v>1</v>
      </c>
      <c r="AH304">
        <f t="shared" si="146"/>
        <v>99.99999613955309</v>
      </c>
      <c r="AI304">
        <f t="shared" si="154"/>
        <v>5</v>
      </c>
      <c r="AJ304" cm="1">
        <f t="array" ref="AJ304:AO304">INDEX(surface!$A$2:$I$40,AI304+1,COLUMN(surface!$B$1:$G$1))</f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f t="shared" si="155"/>
        <v>184.77589496840105</v>
      </c>
      <c r="AQ304">
        <f t="shared" si="156"/>
        <v>701.82376554682935</v>
      </c>
      <c r="AR304">
        <f t="shared" si="157"/>
        <v>0</v>
      </c>
      <c r="AS304" t="e">
        <f t="shared" si="147"/>
        <v>#DIV/0!</v>
      </c>
      <c r="AT304" t="e">
        <f t="shared" si="148"/>
        <v>#DIV/0!</v>
      </c>
      <c r="AU304" t="b">
        <f t="shared" si="158"/>
        <v>0</v>
      </c>
      <c r="AV304">
        <f t="shared" si="149"/>
        <v>25000</v>
      </c>
    </row>
    <row r="305" spans="1:48" x14ac:dyDescent="0.25">
      <c r="A305">
        <f t="shared" si="128"/>
        <v>30.300000000000161</v>
      </c>
      <c r="B305">
        <f t="shared" si="150"/>
        <v>0.1</v>
      </c>
      <c r="C305">
        <f>sim!C304+(sim!$G304*$B305*COS($E305))</f>
        <v>101.62674350114087</v>
      </c>
      <c r="D305">
        <f>sim!D304+(sim!$G304*$B305*SIN($E305))</f>
        <v>344.73871762827474</v>
      </c>
      <c r="E305">
        <f t="shared" si="129"/>
        <v>-6737.1454455321254</v>
      </c>
      <c r="F305">
        <f t="shared" si="136"/>
        <v>99.999998661515122</v>
      </c>
      <c r="G305">
        <v>100</v>
      </c>
      <c r="H305">
        <f t="shared" si="130"/>
        <v>1.1680484058886684E-7</v>
      </c>
      <c r="I305">
        <f t="shared" si="137"/>
        <v>6.6924243924404436E-6</v>
      </c>
      <c r="J305">
        <f t="shared" si="151"/>
        <v>0</v>
      </c>
      <c r="K305">
        <f t="shared" si="152"/>
        <v>0</v>
      </c>
      <c r="L305">
        <f t="shared" si="138"/>
        <v>0</v>
      </c>
      <c r="M305">
        <f t="shared" si="131"/>
        <v>6.6924243924404436E-6</v>
      </c>
      <c r="N305">
        <f t="shared" si="139"/>
        <v>92.387948524982718</v>
      </c>
      <c r="O305">
        <f t="shared" si="140"/>
        <v>340.91188246217274</v>
      </c>
      <c r="P305">
        <f t="shared" si="132"/>
        <v>-1.2365987203111217E-6</v>
      </c>
      <c r="Q305">
        <f t="shared" si="133"/>
        <v>302.64353080115256</v>
      </c>
      <c r="R305">
        <f t="shared" si="141"/>
        <v>-0.38268351661020145</v>
      </c>
      <c r="S305">
        <f t="shared" si="142"/>
        <v>-0.92387949761581445</v>
      </c>
      <c r="U305">
        <f t="shared" si="159"/>
        <v>4</v>
      </c>
      <c r="V305" cm="1">
        <f t="array" ref="V305:AA305">INDEX(surface!$A$2:$I$40,U305+1,COLUMN(surface!$B$1:$G$1))</f>
        <v>0</v>
      </c>
      <c r="W305">
        <v>1000</v>
      </c>
      <c r="X305">
        <v>0</v>
      </c>
      <c r="Y305">
        <v>1</v>
      </c>
      <c r="Z305">
        <v>0</v>
      </c>
      <c r="AA305">
        <v>999</v>
      </c>
      <c r="AB305">
        <f t="shared" si="134"/>
        <v>184.77589704996544</v>
      </c>
      <c r="AC305">
        <f t="shared" si="135"/>
        <v>-318.17623507565452</v>
      </c>
      <c r="AD305">
        <f t="shared" si="143"/>
        <v>-922.95561811819869</v>
      </c>
      <c r="AE305">
        <f t="shared" si="144"/>
        <v>99.999998661515122</v>
      </c>
      <c r="AF305">
        <f t="shared" si="145"/>
        <v>0.69805452320984096</v>
      </c>
      <c r="AG305" t="b">
        <f t="shared" si="153"/>
        <v>1</v>
      </c>
      <c r="AH305">
        <f t="shared" si="146"/>
        <v>99.999998661515122</v>
      </c>
      <c r="AI305">
        <f t="shared" si="154"/>
        <v>5</v>
      </c>
      <c r="AJ305" cm="1">
        <f t="array" ref="AJ305:AO305">INDEX(surface!$A$2:$I$40,AI305+1,COLUMN(surface!$B$1:$G$1))</f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f t="shared" si="155"/>
        <v>184.77589704996544</v>
      </c>
      <c r="AQ305">
        <f t="shared" si="156"/>
        <v>681.82376492434548</v>
      </c>
      <c r="AR305">
        <f t="shared" si="157"/>
        <v>0</v>
      </c>
      <c r="AS305" t="e">
        <f t="shared" si="147"/>
        <v>#DIV/0!</v>
      </c>
      <c r="AT305" t="e">
        <f t="shared" si="148"/>
        <v>#DIV/0!</v>
      </c>
      <c r="AU305" t="b">
        <f t="shared" si="158"/>
        <v>0</v>
      </c>
      <c r="AV305">
        <f t="shared" si="149"/>
        <v>25000</v>
      </c>
    </row>
    <row r="306" spans="1:48" x14ac:dyDescent="0.25">
      <c r="A306">
        <f t="shared" ref="A306:A352" si="160">A305+B306</f>
        <v>30.400000000000162</v>
      </c>
      <c r="B306">
        <f t="shared" si="150"/>
        <v>0.1</v>
      </c>
      <c r="C306">
        <f>sim!C305+(sim!$G305*$B306*COS($E306))</f>
        <v>101.62674452980878</v>
      </c>
      <c r="D306">
        <f>sim!D305+(sim!$G305*$B306*SIN($E306))</f>
        <v>334.7387176282748</v>
      </c>
      <c r="E306">
        <f t="shared" ref="E306:E352" si="161">E305+H305*B306</f>
        <v>-6737.1454455204448</v>
      </c>
      <c r="F306">
        <f t="shared" si="136"/>
        <v>100.00000030714821</v>
      </c>
      <c r="G306">
        <v>100</v>
      </c>
      <c r="H306">
        <f t="shared" ref="H306:H352" si="162">RADIANS(M306)</f>
        <v>-2.6803738011053617E-8</v>
      </c>
      <c r="I306">
        <f t="shared" si="137"/>
        <v>-1.5357410632077517E-6</v>
      </c>
      <c r="J306">
        <f t="shared" si="151"/>
        <v>0</v>
      </c>
      <c r="K306">
        <f t="shared" si="152"/>
        <v>0</v>
      </c>
      <c r="L306">
        <f t="shared" si="138"/>
        <v>0</v>
      </c>
      <c r="M306">
        <f t="shared" ref="M306:M352" si="163">I306+J306+L306</f>
        <v>-1.5357410632077517E-6</v>
      </c>
      <c r="N306">
        <f t="shared" si="139"/>
        <v>92.387949598350517</v>
      </c>
      <c r="O306">
        <f t="shared" si="140"/>
        <v>330.91188235425773</v>
      </c>
      <c r="P306">
        <f t="shared" ref="P306:P352" si="164">N306+S306*100</f>
        <v>2.8376793181905668E-7</v>
      </c>
      <c r="Q306">
        <f t="shared" ref="Q306:Q352" si="165">O306+R306*100</f>
        <v>292.64352961408713</v>
      </c>
      <c r="R306">
        <f t="shared" si="141"/>
        <v>-0.38268352740170569</v>
      </c>
      <c r="S306">
        <f t="shared" si="142"/>
        <v>-0.92387949314582585</v>
      </c>
      <c r="U306">
        <f t="shared" si="159"/>
        <v>4</v>
      </c>
      <c r="V306" cm="1">
        <f t="array" ref="V306:AA306">INDEX(surface!$A$2:$I$40,U306+1,COLUMN(surface!$B$1:$G$1))</f>
        <v>0</v>
      </c>
      <c r="W306">
        <v>1000</v>
      </c>
      <c r="X306">
        <v>0</v>
      </c>
      <c r="Y306">
        <v>1</v>
      </c>
      <c r="Z306">
        <v>0</v>
      </c>
      <c r="AA306">
        <v>999</v>
      </c>
      <c r="AB306">
        <f t="shared" ref="AB306:AB352" si="166">2*$N306-V306</f>
        <v>184.77589919670103</v>
      </c>
      <c r="AC306">
        <f t="shared" ref="AC306:AC352" si="167">2*$O306-W306</f>
        <v>-338.17623529148455</v>
      </c>
      <c r="AD306">
        <f t="shared" si="143"/>
        <v>-922.95561365267997</v>
      </c>
      <c r="AE306">
        <f t="shared" si="144"/>
        <v>100.00000030714821</v>
      </c>
      <c r="AF306">
        <f t="shared" si="145"/>
        <v>0.70806453503849187</v>
      </c>
      <c r="AG306" t="b">
        <f t="shared" si="153"/>
        <v>1</v>
      </c>
      <c r="AH306">
        <f t="shared" si="146"/>
        <v>100.00000030714821</v>
      </c>
      <c r="AI306">
        <f t="shared" si="154"/>
        <v>5</v>
      </c>
      <c r="AJ306" cm="1">
        <f t="array" ref="AJ306:AO306">INDEX(surface!$A$2:$I$40,AI306+1,COLUMN(surface!$B$1:$G$1))</f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f t="shared" si="155"/>
        <v>184.77589919670103</v>
      </c>
      <c r="AQ306">
        <f t="shared" si="156"/>
        <v>661.82376470851545</v>
      </c>
      <c r="AR306">
        <f t="shared" si="157"/>
        <v>0</v>
      </c>
      <c r="AS306" t="e">
        <f t="shared" si="147"/>
        <v>#DIV/0!</v>
      </c>
      <c r="AT306" t="e">
        <f t="shared" si="148"/>
        <v>#DIV/0!</v>
      </c>
      <c r="AU306" t="b">
        <f t="shared" si="158"/>
        <v>0</v>
      </c>
      <c r="AV306">
        <f t="shared" si="149"/>
        <v>25000</v>
      </c>
    </row>
    <row r="307" spans="1:48" x14ac:dyDescent="0.25">
      <c r="A307">
        <f t="shared" si="160"/>
        <v>30.500000000000163</v>
      </c>
      <c r="B307">
        <f t="shared" si="150"/>
        <v>0.1</v>
      </c>
      <c r="C307">
        <f>sim!C306+(sim!$G306*$B307*COS($E307))</f>
        <v>101.62674553167388</v>
      </c>
      <c r="D307">
        <f>sim!D306+(sim!$G306*$B307*SIN($E307))</f>
        <v>324.73871762827486</v>
      </c>
      <c r="E307">
        <f t="shared" si="161"/>
        <v>-6737.1454455231251</v>
      </c>
      <c r="F307">
        <f t="shared" si="136"/>
        <v>100.00000126943624</v>
      </c>
      <c r="G307">
        <v>100</v>
      </c>
      <c r="H307">
        <f t="shared" si="162"/>
        <v>-1.1077921013288632E-7</v>
      </c>
      <c r="I307">
        <f t="shared" si="137"/>
        <v>-6.3471811984072701E-6</v>
      </c>
      <c r="J307">
        <f t="shared" si="151"/>
        <v>0</v>
      </c>
      <c r="K307">
        <f t="shared" si="152"/>
        <v>0</v>
      </c>
      <c r="L307">
        <f t="shared" si="138"/>
        <v>0</v>
      </c>
      <c r="M307">
        <f t="shared" si="163"/>
        <v>-6.3471811984072701E-6</v>
      </c>
      <c r="N307">
        <f t="shared" si="139"/>
        <v>92.387950589958621</v>
      </c>
      <c r="O307">
        <f t="shared" si="140"/>
        <v>320.91188237902037</v>
      </c>
      <c r="P307">
        <f t="shared" si="164"/>
        <v>1.1728061082294516E-6</v>
      </c>
      <c r="Q307">
        <f t="shared" si="165"/>
        <v>282.64352988647545</v>
      </c>
      <c r="R307">
        <f t="shared" si="141"/>
        <v>-0.38268352492544916</v>
      </c>
      <c r="S307">
        <f t="shared" si="142"/>
        <v>-0.92387949417152515</v>
      </c>
      <c r="U307">
        <f t="shared" si="159"/>
        <v>4</v>
      </c>
      <c r="V307" cm="1">
        <f t="array" ref="V307:AA307">INDEX(surface!$A$2:$I$40,U307+1,COLUMN(surface!$B$1:$G$1))</f>
        <v>0</v>
      </c>
      <c r="W307">
        <v>1000</v>
      </c>
      <c r="X307">
        <v>0</v>
      </c>
      <c r="Y307">
        <v>1</v>
      </c>
      <c r="Z307">
        <v>0</v>
      </c>
      <c r="AA307">
        <v>999</v>
      </c>
      <c r="AB307">
        <f t="shared" si="166"/>
        <v>184.77590117991724</v>
      </c>
      <c r="AC307">
        <f t="shared" si="167"/>
        <v>-358.17623524195926</v>
      </c>
      <c r="AD307">
        <f t="shared" si="143"/>
        <v>-922.95561467735365</v>
      </c>
      <c r="AE307">
        <f t="shared" si="144"/>
        <v>100.00000126943624</v>
      </c>
      <c r="AF307">
        <f t="shared" si="145"/>
        <v>0.71807454514446134</v>
      </c>
      <c r="AG307" t="b">
        <f t="shared" si="153"/>
        <v>1</v>
      </c>
      <c r="AH307">
        <f t="shared" si="146"/>
        <v>100.00000126943624</v>
      </c>
      <c r="AI307">
        <f t="shared" si="154"/>
        <v>5</v>
      </c>
      <c r="AJ307" cm="1">
        <f t="array" ref="AJ307:AO307">INDEX(surface!$A$2:$I$40,AI307+1,COLUMN(surface!$B$1:$G$1))</f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f t="shared" si="155"/>
        <v>184.77590117991724</v>
      </c>
      <c r="AQ307">
        <f t="shared" si="156"/>
        <v>641.82376475804074</v>
      </c>
      <c r="AR307">
        <f t="shared" si="157"/>
        <v>0</v>
      </c>
      <c r="AS307" t="e">
        <f t="shared" si="147"/>
        <v>#DIV/0!</v>
      </c>
      <c r="AT307" t="e">
        <f t="shared" si="148"/>
        <v>#DIV/0!</v>
      </c>
      <c r="AU307" t="b">
        <f t="shared" si="158"/>
        <v>0</v>
      </c>
      <c r="AV307">
        <f t="shared" si="149"/>
        <v>25000</v>
      </c>
    </row>
    <row r="308" spans="1:48" x14ac:dyDescent="0.25">
      <c r="A308">
        <f t="shared" si="160"/>
        <v>30.600000000000165</v>
      </c>
      <c r="B308">
        <f t="shared" si="150"/>
        <v>0.1</v>
      </c>
      <c r="C308">
        <f>sim!C307+(sim!$G307*$B308*COS($E308))</f>
        <v>101.62674642276252</v>
      </c>
      <c r="D308">
        <f>sim!D307+(sim!$G307*$B308*SIN($E308))</f>
        <v>314.73871762827491</v>
      </c>
      <c r="E308">
        <f t="shared" si="161"/>
        <v>-6737.1454455342027</v>
      </c>
      <c r="F308">
        <f t="shared" si="136"/>
        <v>100.00000172920733</v>
      </c>
      <c r="G308">
        <v>100</v>
      </c>
      <c r="H308">
        <f t="shared" si="162"/>
        <v>-1.5090180649927965E-7</v>
      </c>
      <c r="I308">
        <f t="shared" si="137"/>
        <v>-8.6460366333085403E-6</v>
      </c>
      <c r="J308">
        <f t="shared" si="151"/>
        <v>0</v>
      </c>
      <c r="K308">
        <f t="shared" si="152"/>
        <v>0</v>
      </c>
      <c r="L308">
        <f t="shared" si="138"/>
        <v>0</v>
      </c>
      <c r="M308">
        <f t="shared" si="163"/>
        <v>-8.6460366333085403E-6</v>
      </c>
      <c r="N308">
        <f t="shared" si="139"/>
        <v>92.387951438654952</v>
      </c>
      <c r="O308">
        <f t="shared" si="140"/>
        <v>310.9118824813645</v>
      </c>
      <c r="P308">
        <f t="shared" si="164"/>
        <v>1.5975792138078759E-6</v>
      </c>
      <c r="Q308">
        <f t="shared" si="165"/>
        <v>272.64353101226055</v>
      </c>
      <c r="R308">
        <f t="shared" si="141"/>
        <v>-0.38268351469103962</v>
      </c>
      <c r="S308">
        <f t="shared" si="142"/>
        <v>-0.92387949841075745</v>
      </c>
      <c r="U308">
        <f t="shared" si="159"/>
        <v>4</v>
      </c>
      <c r="V308" cm="1">
        <f t="array" ref="V308:AA308">INDEX(surface!$A$2:$I$40,U308+1,COLUMN(surface!$B$1:$G$1))</f>
        <v>0</v>
      </c>
      <c r="W308">
        <v>1000</v>
      </c>
      <c r="X308">
        <v>0</v>
      </c>
      <c r="Y308">
        <v>1</v>
      </c>
      <c r="Z308">
        <v>0</v>
      </c>
      <c r="AA308">
        <v>999</v>
      </c>
      <c r="AB308">
        <f t="shared" si="166"/>
        <v>184.7759028773099</v>
      </c>
      <c r="AC308">
        <f t="shared" si="167"/>
        <v>-378.176235037271</v>
      </c>
      <c r="AD308">
        <f t="shared" si="143"/>
        <v>-922.95561891234672</v>
      </c>
      <c r="AE308">
        <f t="shared" si="144"/>
        <v>100.00000172920733</v>
      </c>
      <c r="AF308">
        <f t="shared" si="145"/>
        <v>0.72808455420368223</v>
      </c>
      <c r="AG308" t="b">
        <f t="shared" si="153"/>
        <v>1</v>
      </c>
      <c r="AH308">
        <f t="shared" si="146"/>
        <v>100.00000172920733</v>
      </c>
      <c r="AI308">
        <f t="shared" si="154"/>
        <v>5</v>
      </c>
      <c r="AJ308" cm="1">
        <f t="array" ref="AJ308:AO308">INDEX(surface!$A$2:$I$40,AI308+1,COLUMN(surface!$B$1:$G$1))</f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f t="shared" si="155"/>
        <v>184.7759028773099</v>
      </c>
      <c r="AQ308">
        <f t="shared" si="156"/>
        <v>621.823764962729</v>
      </c>
      <c r="AR308">
        <f t="shared" si="157"/>
        <v>0</v>
      </c>
      <c r="AS308" t="e">
        <f t="shared" si="147"/>
        <v>#DIV/0!</v>
      </c>
      <c r="AT308" t="e">
        <f t="shared" si="148"/>
        <v>#DIV/0!</v>
      </c>
      <c r="AU308" t="b">
        <f t="shared" si="158"/>
        <v>0</v>
      </c>
      <c r="AV308">
        <f t="shared" si="149"/>
        <v>25000</v>
      </c>
    </row>
    <row r="309" spans="1:48" x14ac:dyDescent="0.25">
      <c r="A309">
        <f t="shared" si="160"/>
        <v>30.700000000000166</v>
      </c>
      <c r="B309">
        <f t="shared" si="150"/>
        <v>0.1</v>
      </c>
      <c r="C309">
        <f>sim!C308+(sim!$G308*$B309*COS($E309))</f>
        <v>101.62674716294781</v>
      </c>
      <c r="D309">
        <f>sim!D308+(sim!$G308*$B309*SIN($E309))</f>
        <v>304.73871762827491</v>
      </c>
      <c r="E309">
        <f t="shared" si="161"/>
        <v>-6737.1454455492931</v>
      </c>
      <c r="F309">
        <f t="shared" si="136"/>
        <v>100.00000184280955</v>
      </c>
      <c r="G309">
        <v>100</v>
      </c>
      <c r="H309">
        <f t="shared" si="162"/>
        <v>-1.6081547093129101E-7</v>
      </c>
      <c r="I309">
        <f t="shared" si="137"/>
        <v>-9.2140477647717489E-6</v>
      </c>
      <c r="J309">
        <f t="shared" si="151"/>
        <v>0</v>
      </c>
      <c r="K309">
        <f t="shared" si="152"/>
        <v>0</v>
      </c>
      <c r="L309">
        <f t="shared" si="138"/>
        <v>0</v>
      </c>
      <c r="M309">
        <f t="shared" si="163"/>
        <v>-9.2140477647717489E-6</v>
      </c>
      <c r="N309">
        <f t="shared" si="139"/>
        <v>92.387952121092013</v>
      </c>
      <c r="O309">
        <f t="shared" si="140"/>
        <v>300.91188262078106</v>
      </c>
      <c r="P309">
        <f t="shared" si="164"/>
        <v>1.7025339786869154E-6</v>
      </c>
      <c r="Q309">
        <f t="shared" si="165"/>
        <v>262.64353254584233</v>
      </c>
      <c r="R309">
        <f t="shared" si="141"/>
        <v>-0.38268350074938745</v>
      </c>
      <c r="S309">
        <f t="shared" si="142"/>
        <v>-0.92387950418558029</v>
      </c>
      <c r="U309">
        <f t="shared" si="159"/>
        <v>4</v>
      </c>
      <c r="V309" cm="1">
        <f t="array" ref="V309:AA309">INDEX(surface!$A$2:$I$40,U309+1,COLUMN(surface!$B$1:$G$1))</f>
        <v>0</v>
      </c>
      <c r="W309">
        <v>1000</v>
      </c>
      <c r="X309">
        <v>0</v>
      </c>
      <c r="Y309">
        <v>1</v>
      </c>
      <c r="Z309">
        <v>0</v>
      </c>
      <c r="AA309">
        <v>999</v>
      </c>
      <c r="AB309">
        <f t="shared" si="166"/>
        <v>184.77590424218403</v>
      </c>
      <c r="AC309">
        <f t="shared" si="167"/>
        <v>-398.17623475843789</v>
      </c>
      <c r="AD309">
        <f t="shared" si="143"/>
        <v>-922.95562468139474</v>
      </c>
      <c r="AE309">
        <f t="shared" si="144"/>
        <v>100.00000184280955</v>
      </c>
      <c r="AF309">
        <f t="shared" si="145"/>
        <v>0.73809456272209262</v>
      </c>
      <c r="AG309" t="b">
        <f t="shared" si="153"/>
        <v>1</v>
      </c>
      <c r="AH309">
        <f t="shared" si="146"/>
        <v>100.00000184280955</v>
      </c>
      <c r="AI309">
        <f t="shared" si="154"/>
        <v>5</v>
      </c>
      <c r="AJ309" cm="1">
        <f t="array" ref="AJ309:AO309">INDEX(surface!$A$2:$I$40,AI309+1,COLUMN(surface!$B$1:$G$1))</f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f t="shared" si="155"/>
        <v>184.77590424218403</v>
      </c>
      <c r="AQ309">
        <f t="shared" si="156"/>
        <v>601.82376524156211</v>
      </c>
      <c r="AR309">
        <f t="shared" si="157"/>
        <v>0</v>
      </c>
      <c r="AS309" t="e">
        <f t="shared" si="147"/>
        <v>#DIV/0!</v>
      </c>
      <c r="AT309" t="e">
        <f t="shared" si="148"/>
        <v>#DIV/0!</v>
      </c>
      <c r="AU309" t="b">
        <f t="shared" si="158"/>
        <v>0</v>
      </c>
      <c r="AV309">
        <f t="shared" si="149"/>
        <v>25000</v>
      </c>
    </row>
    <row r="310" spans="1:48" x14ac:dyDescent="0.25">
      <c r="A310">
        <f t="shared" si="160"/>
        <v>30.800000000000168</v>
      </c>
      <c r="B310">
        <f t="shared" si="150"/>
        <v>0.1</v>
      </c>
      <c r="C310">
        <f>sim!C309+(sim!$G309*$B310*COS($E310))</f>
        <v>101.62674774231624</v>
      </c>
      <c r="D310">
        <f>sim!D309+(sim!$G309*$B310*SIN($E310))</f>
        <v>294.73871762827491</v>
      </c>
      <c r="E310">
        <f t="shared" si="161"/>
        <v>-6737.1454455653748</v>
      </c>
      <c r="F310">
        <f t="shared" si="136"/>
        <v>100.00000173717555</v>
      </c>
      <c r="G310">
        <v>100</v>
      </c>
      <c r="H310">
        <f t="shared" si="162"/>
        <v>-1.5159716532487697E-7</v>
      </c>
      <c r="I310">
        <f t="shared" si="137"/>
        <v>-8.6858777592624392E-6</v>
      </c>
      <c r="J310">
        <f t="shared" si="151"/>
        <v>0</v>
      </c>
      <c r="K310">
        <f t="shared" si="152"/>
        <v>0</v>
      </c>
      <c r="L310">
        <f t="shared" si="138"/>
        <v>0</v>
      </c>
      <c r="M310">
        <f t="shared" si="163"/>
        <v>-8.6858777592624392E-6</v>
      </c>
      <c r="N310">
        <f t="shared" si="139"/>
        <v>92.387952638918478</v>
      </c>
      <c r="O310">
        <f t="shared" si="140"/>
        <v>290.91188276935645</v>
      </c>
      <c r="P310">
        <f t="shared" si="164"/>
        <v>1.6049409055085562E-6</v>
      </c>
      <c r="Q310">
        <f t="shared" si="165"/>
        <v>252.64353418017166</v>
      </c>
      <c r="R310">
        <f t="shared" si="141"/>
        <v>-0.38268348589184792</v>
      </c>
      <c r="S310">
        <f t="shared" si="142"/>
        <v>-0.92387951033977578</v>
      </c>
      <c r="U310">
        <f t="shared" si="159"/>
        <v>4</v>
      </c>
      <c r="V310" cm="1">
        <f t="array" ref="V310:AA310">INDEX(surface!$A$2:$I$40,U310+1,COLUMN(surface!$B$1:$G$1))</f>
        <v>0</v>
      </c>
      <c r="W310">
        <v>1000</v>
      </c>
      <c r="X310">
        <v>0</v>
      </c>
      <c r="Y310">
        <v>1</v>
      </c>
      <c r="Z310">
        <v>0</v>
      </c>
      <c r="AA310">
        <v>999</v>
      </c>
      <c r="AB310">
        <f t="shared" si="166"/>
        <v>184.77590527783696</v>
      </c>
      <c r="AC310">
        <f t="shared" si="167"/>
        <v>-418.17623446128709</v>
      </c>
      <c r="AD310">
        <f t="shared" si="143"/>
        <v>-922.95563082943602</v>
      </c>
      <c r="AE310">
        <f t="shared" si="144"/>
        <v>100.00000173717555</v>
      </c>
      <c r="AF310">
        <f t="shared" si="145"/>
        <v>0.74810457105567241</v>
      </c>
      <c r="AG310" t="b">
        <f t="shared" si="153"/>
        <v>1</v>
      </c>
      <c r="AH310">
        <f t="shared" si="146"/>
        <v>100.00000173717555</v>
      </c>
      <c r="AI310">
        <f t="shared" si="154"/>
        <v>5</v>
      </c>
      <c r="AJ310" cm="1">
        <f t="array" ref="AJ310:AO310">INDEX(surface!$A$2:$I$40,AI310+1,COLUMN(surface!$B$1:$G$1))</f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f t="shared" si="155"/>
        <v>184.77590527783696</v>
      </c>
      <c r="AQ310">
        <f t="shared" si="156"/>
        <v>581.82376553871291</v>
      </c>
      <c r="AR310">
        <f t="shared" si="157"/>
        <v>0</v>
      </c>
      <c r="AS310" t="e">
        <f t="shared" si="147"/>
        <v>#DIV/0!</v>
      </c>
      <c r="AT310" t="e">
        <f t="shared" si="148"/>
        <v>#DIV/0!</v>
      </c>
      <c r="AU310" t="b">
        <f t="shared" si="158"/>
        <v>0</v>
      </c>
      <c r="AV310">
        <f t="shared" si="149"/>
        <v>25000</v>
      </c>
    </row>
    <row r="311" spans="1:48" x14ac:dyDescent="0.25">
      <c r="A311">
        <f t="shared" si="160"/>
        <v>30.900000000000169</v>
      </c>
      <c r="B311">
        <f t="shared" si="150"/>
        <v>0.1</v>
      </c>
      <c r="C311">
        <f>sim!C310+(sim!$G310*$B311*COS($E311))</f>
        <v>101.6267481700901</v>
      </c>
      <c r="D311">
        <f>sim!D310+(sim!$G310*$B311*SIN($E311))</f>
        <v>284.73871762827491</v>
      </c>
      <c r="E311">
        <f t="shared" si="161"/>
        <v>-6737.1454455805342</v>
      </c>
      <c r="F311">
        <f t="shared" si="136"/>
        <v>100.00000150947673</v>
      </c>
      <c r="G311">
        <v>100</v>
      </c>
      <c r="H311">
        <f t="shared" si="162"/>
        <v>-1.3172669478287783E-7</v>
      </c>
      <c r="I311">
        <f t="shared" si="137"/>
        <v>-7.5473836602668598E-6</v>
      </c>
      <c r="J311">
        <f t="shared" si="151"/>
        <v>0</v>
      </c>
      <c r="K311">
        <f t="shared" si="152"/>
        <v>0</v>
      </c>
      <c r="L311">
        <f t="shared" si="138"/>
        <v>0</v>
      </c>
      <c r="M311">
        <f t="shared" si="163"/>
        <v>-7.5473836602668598E-6</v>
      </c>
      <c r="N311">
        <f t="shared" si="139"/>
        <v>92.387953008679602</v>
      </c>
      <c r="O311">
        <f t="shared" si="140"/>
        <v>280.91188290941153</v>
      </c>
      <c r="P311">
        <f t="shared" si="164"/>
        <v>1.394574624669076E-6</v>
      </c>
      <c r="Q311">
        <f t="shared" si="165"/>
        <v>242.64353572077798</v>
      </c>
      <c r="R311">
        <f t="shared" si="141"/>
        <v>-0.38268347188633556</v>
      </c>
      <c r="S311">
        <f t="shared" si="142"/>
        <v>-0.92387951614104979</v>
      </c>
      <c r="U311">
        <f t="shared" si="159"/>
        <v>4</v>
      </c>
      <c r="V311" cm="1">
        <f t="array" ref="V311:AA311">INDEX(surface!$A$2:$I$40,U311+1,COLUMN(surface!$B$1:$G$1))</f>
        <v>0</v>
      </c>
      <c r="W311">
        <v>1000</v>
      </c>
      <c r="X311">
        <v>0</v>
      </c>
      <c r="Y311">
        <v>1</v>
      </c>
      <c r="Z311">
        <v>0</v>
      </c>
      <c r="AA311">
        <v>999</v>
      </c>
      <c r="AB311">
        <f t="shared" si="166"/>
        <v>184.7759060173592</v>
      </c>
      <c r="AC311">
        <f t="shared" si="167"/>
        <v>-438.17623418117694</v>
      </c>
      <c r="AD311">
        <f t="shared" si="143"/>
        <v>-922.95563662490872</v>
      </c>
      <c r="AE311">
        <f t="shared" si="144"/>
        <v>100.00000150947673</v>
      </c>
      <c r="AF311">
        <f t="shared" si="145"/>
        <v>0.75811457943631011</v>
      </c>
      <c r="AG311" t="b">
        <f t="shared" si="153"/>
        <v>1</v>
      </c>
      <c r="AH311">
        <f t="shared" si="146"/>
        <v>100.00000150947673</v>
      </c>
      <c r="AI311">
        <f t="shared" si="154"/>
        <v>5</v>
      </c>
      <c r="AJ311" cm="1">
        <f t="array" ref="AJ311:AO311">INDEX(surface!$A$2:$I$40,AI311+1,COLUMN(surface!$B$1:$G$1))</f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f t="shared" si="155"/>
        <v>184.7759060173592</v>
      </c>
      <c r="AQ311">
        <f t="shared" si="156"/>
        <v>561.82376581882306</v>
      </c>
      <c r="AR311">
        <f t="shared" si="157"/>
        <v>0</v>
      </c>
      <c r="AS311" t="e">
        <f t="shared" si="147"/>
        <v>#DIV/0!</v>
      </c>
      <c r="AT311" t="e">
        <f t="shared" si="148"/>
        <v>#DIV/0!</v>
      </c>
      <c r="AU311" t="b">
        <f t="shared" si="158"/>
        <v>0</v>
      </c>
      <c r="AV311">
        <f t="shared" si="149"/>
        <v>25000</v>
      </c>
    </row>
    <row r="312" spans="1:48" x14ac:dyDescent="0.25">
      <c r="A312">
        <f t="shared" si="160"/>
        <v>31.000000000000171</v>
      </c>
      <c r="B312">
        <f t="shared" si="150"/>
        <v>0.1</v>
      </c>
      <c r="C312">
        <f>sim!C311+(sim!$G311*$B312*COS($E312))</f>
        <v>101.62674846613274</v>
      </c>
      <c r="D312">
        <f>sim!D311+(sim!$G311*$B312*SIN($E312))</f>
        <v>274.73871762827491</v>
      </c>
      <c r="E312">
        <f t="shared" si="161"/>
        <v>-6737.1454455937073</v>
      </c>
      <c r="F312">
        <f t="shared" si="136"/>
        <v>100.0000012296975</v>
      </c>
      <c r="G312">
        <v>100</v>
      </c>
      <c r="H312">
        <f t="shared" si="162"/>
        <v>-1.0731135114890982E-7</v>
      </c>
      <c r="I312">
        <f t="shared" si="137"/>
        <v>-6.1484875146788909E-6</v>
      </c>
      <c r="J312">
        <f t="shared" si="151"/>
        <v>0</v>
      </c>
      <c r="K312">
        <f t="shared" si="152"/>
        <v>0</v>
      </c>
      <c r="L312">
        <f t="shared" si="138"/>
        <v>0</v>
      </c>
      <c r="M312">
        <f t="shared" si="163"/>
        <v>-6.1484875146788909E-6</v>
      </c>
      <c r="N312">
        <f t="shared" si="139"/>
        <v>92.387953254310887</v>
      </c>
      <c r="O312">
        <f t="shared" si="140"/>
        <v>270.91188303111534</v>
      </c>
      <c r="P312">
        <f t="shared" si="164"/>
        <v>1.1360923508618725E-6</v>
      </c>
      <c r="Q312">
        <f t="shared" si="165"/>
        <v>232.64353705951947</v>
      </c>
      <c r="R312">
        <f t="shared" si="141"/>
        <v>-0.38268345971595863</v>
      </c>
      <c r="S312">
        <f t="shared" si="142"/>
        <v>-0.92387952118218541</v>
      </c>
      <c r="U312">
        <f t="shared" si="159"/>
        <v>4</v>
      </c>
      <c r="V312" cm="1">
        <f t="array" ref="V312:AA312">INDEX(surface!$A$2:$I$40,U312+1,COLUMN(surface!$B$1:$G$1))</f>
        <v>0</v>
      </c>
      <c r="W312">
        <v>1000</v>
      </c>
      <c r="X312">
        <v>0</v>
      </c>
      <c r="Y312">
        <v>1</v>
      </c>
      <c r="Z312">
        <v>0</v>
      </c>
      <c r="AA312">
        <v>999</v>
      </c>
      <c r="AB312">
        <f t="shared" si="166"/>
        <v>184.77590650862177</v>
      </c>
      <c r="AC312">
        <f t="shared" si="167"/>
        <v>-458.17623393776933</v>
      </c>
      <c r="AD312">
        <f t="shared" si="143"/>
        <v>-922.95564166100326</v>
      </c>
      <c r="AE312">
        <f t="shared" si="144"/>
        <v>100.0000012296975</v>
      </c>
      <c r="AF312">
        <f t="shared" si="145"/>
        <v>0.76812458799906447</v>
      </c>
      <c r="AG312" t="b">
        <f t="shared" si="153"/>
        <v>1</v>
      </c>
      <c r="AH312">
        <f t="shared" si="146"/>
        <v>100.0000012296975</v>
      </c>
      <c r="AI312">
        <f t="shared" si="154"/>
        <v>5</v>
      </c>
      <c r="AJ312" cm="1">
        <f t="array" ref="AJ312:AO312">INDEX(surface!$A$2:$I$40,AI312+1,COLUMN(surface!$B$1:$G$1))</f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f t="shared" si="155"/>
        <v>184.77590650862177</v>
      </c>
      <c r="AQ312">
        <f t="shared" si="156"/>
        <v>541.82376606223067</v>
      </c>
      <c r="AR312">
        <f t="shared" si="157"/>
        <v>0</v>
      </c>
      <c r="AS312" t="e">
        <f t="shared" si="147"/>
        <v>#DIV/0!</v>
      </c>
      <c r="AT312" t="e">
        <f t="shared" si="148"/>
        <v>#DIV/0!</v>
      </c>
      <c r="AU312" t="b">
        <f t="shared" si="158"/>
        <v>0</v>
      </c>
      <c r="AV312">
        <f t="shared" si="149"/>
        <v>25000</v>
      </c>
    </row>
    <row r="313" spans="1:48" x14ac:dyDescent="0.25">
      <c r="A313">
        <f t="shared" si="160"/>
        <v>31.100000000000172</v>
      </c>
      <c r="B313">
        <f t="shared" si="150"/>
        <v>0.1</v>
      </c>
      <c r="C313">
        <f>sim!C312+(sim!$G312*$B313*COS($E313))</f>
        <v>101.6267486548641</v>
      </c>
      <c r="D313">
        <f>sim!D312+(sim!$G312*$B313*SIN($E313))</f>
        <v>264.73871762827491</v>
      </c>
      <c r="E313">
        <f t="shared" si="161"/>
        <v>-6737.1454456044385</v>
      </c>
      <c r="F313">
        <f t="shared" si="136"/>
        <v>100.00000094503115</v>
      </c>
      <c r="G313">
        <v>100</v>
      </c>
      <c r="H313">
        <f t="shared" si="162"/>
        <v>-8.2469525216512071E-8</v>
      </c>
      <c r="I313">
        <f t="shared" si="137"/>
        <v>-4.7251557333538585E-6</v>
      </c>
      <c r="J313">
        <f t="shared" si="151"/>
        <v>0</v>
      </c>
      <c r="K313">
        <f t="shared" si="152"/>
        <v>0</v>
      </c>
      <c r="L313">
        <f t="shared" si="138"/>
        <v>0</v>
      </c>
      <c r="M313">
        <f t="shared" si="163"/>
        <v>-4.7251557333538585E-6</v>
      </c>
      <c r="N313">
        <f t="shared" si="139"/>
        <v>92.387953401975992</v>
      </c>
      <c r="O313">
        <f t="shared" si="140"/>
        <v>260.91188313025805</v>
      </c>
      <c r="P313">
        <f t="shared" si="164"/>
        <v>8.7309493324028153E-7</v>
      </c>
      <c r="Q313">
        <f t="shared" si="165"/>
        <v>222.64353815008911</v>
      </c>
      <c r="R313">
        <f t="shared" si="141"/>
        <v>-0.38268344980168922</v>
      </c>
      <c r="S313">
        <f t="shared" si="142"/>
        <v>-0.92387952528881057</v>
      </c>
      <c r="U313">
        <f t="shared" si="159"/>
        <v>4</v>
      </c>
      <c r="V313" cm="1">
        <f t="array" ref="V313:AA313">INDEX(surface!$A$2:$I$40,U313+1,COLUMN(surface!$B$1:$G$1))</f>
        <v>0</v>
      </c>
      <c r="W313">
        <v>1000</v>
      </c>
      <c r="X313">
        <v>0</v>
      </c>
      <c r="Y313">
        <v>1</v>
      </c>
      <c r="Z313">
        <v>0</v>
      </c>
      <c r="AA313">
        <v>999</v>
      </c>
      <c r="AB313">
        <f t="shared" si="166"/>
        <v>184.77590680395198</v>
      </c>
      <c r="AC313">
        <f t="shared" si="167"/>
        <v>-478.17623373948391</v>
      </c>
      <c r="AD313">
        <f t="shared" si="143"/>
        <v>-922.95564576352172</v>
      </c>
      <c r="AE313">
        <f t="shared" si="144"/>
        <v>100.00000094503115</v>
      </c>
      <c r="AF313">
        <f t="shared" si="145"/>
        <v>0.77813459680836705</v>
      </c>
      <c r="AG313" t="b">
        <f t="shared" si="153"/>
        <v>1</v>
      </c>
      <c r="AH313">
        <f t="shared" si="146"/>
        <v>100.00000094503115</v>
      </c>
      <c r="AI313">
        <f t="shared" si="154"/>
        <v>5</v>
      </c>
      <c r="AJ313" cm="1">
        <f t="array" ref="AJ313:AO313">INDEX(surface!$A$2:$I$40,AI313+1,COLUMN(surface!$B$1:$G$1))</f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f t="shared" si="155"/>
        <v>184.77590680395198</v>
      </c>
      <c r="AQ313">
        <f t="shared" si="156"/>
        <v>521.82376626051609</v>
      </c>
      <c r="AR313">
        <f t="shared" si="157"/>
        <v>0</v>
      </c>
      <c r="AS313" t="e">
        <f t="shared" si="147"/>
        <v>#DIV/0!</v>
      </c>
      <c r="AT313" t="e">
        <f t="shared" si="148"/>
        <v>#DIV/0!</v>
      </c>
      <c r="AU313" t="b">
        <f t="shared" si="158"/>
        <v>0</v>
      </c>
      <c r="AV313">
        <f t="shared" si="149"/>
        <v>25000</v>
      </c>
    </row>
    <row r="314" spans="1:48" x14ac:dyDescent="0.25">
      <c r="A314">
        <f t="shared" si="160"/>
        <v>31.200000000000173</v>
      </c>
      <c r="B314">
        <f t="shared" si="150"/>
        <v>0.1</v>
      </c>
      <c r="C314">
        <f>sim!C313+(sim!$G313*$B314*COS($E314))</f>
        <v>101.62674876112249</v>
      </c>
      <c r="D314">
        <f>sim!D313+(sim!$G313*$B314*SIN($E314))</f>
        <v>254.73871762827491</v>
      </c>
      <c r="E314">
        <f t="shared" si="161"/>
        <v>-6737.1454456126858</v>
      </c>
      <c r="F314">
        <f t="shared" si="136"/>
        <v>100.00000068426867</v>
      </c>
      <c r="G314">
        <v>100</v>
      </c>
      <c r="H314">
        <f t="shared" si="162"/>
        <v>-5.9713706313569023E-8</v>
      </c>
      <c r="I314">
        <f t="shared" si="137"/>
        <v>-3.4213433508512026E-6</v>
      </c>
      <c r="J314">
        <f t="shared" si="151"/>
        <v>0</v>
      </c>
      <c r="K314">
        <f t="shared" si="152"/>
        <v>0</v>
      </c>
      <c r="L314">
        <f t="shared" si="138"/>
        <v>0</v>
      </c>
      <c r="M314">
        <f t="shared" si="163"/>
        <v>-3.4213433508512026E-6</v>
      </c>
      <c r="N314">
        <f t="shared" si="139"/>
        <v>92.387953476673331</v>
      </c>
      <c r="O314">
        <f t="shared" si="140"/>
        <v>250.91188320645313</v>
      </c>
      <c r="P314">
        <f t="shared" si="164"/>
        <v>6.3218182333457662E-7</v>
      </c>
      <c r="Q314">
        <f t="shared" si="165"/>
        <v>212.64353898823518</v>
      </c>
      <c r="R314">
        <f t="shared" si="141"/>
        <v>-0.38268344218217948</v>
      </c>
      <c r="S314">
        <f t="shared" si="142"/>
        <v>-0.92387952844491505</v>
      </c>
      <c r="U314">
        <f t="shared" si="159"/>
        <v>4</v>
      </c>
      <c r="V314" cm="1">
        <f t="array" ref="V314:AA314">INDEX(surface!$A$2:$I$40,U314+1,COLUMN(surface!$B$1:$G$1))</f>
        <v>0</v>
      </c>
      <c r="W314">
        <v>1000</v>
      </c>
      <c r="X314">
        <v>0</v>
      </c>
      <c r="Y314">
        <v>1</v>
      </c>
      <c r="Z314">
        <v>0</v>
      </c>
      <c r="AA314">
        <v>999</v>
      </c>
      <c r="AB314">
        <f t="shared" si="166"/>
        <v>184.77590695334666</v>
      </c>
      <c r="AC314">
        <f t="shared" si="167"/>
        <v>-498.17623358709375</v>
      </c>
      <c r="AD314">
        <f t="shared" si="143"/>
        <v>-922.95564891647018</v>
      </c>
      <c r="AE314">
        <f t="shared" si="144"/>
        <v>100.00000068426867</v>
      </c>
      <c r="AF314">
        <f t="shared" si="145"/>
        <v>0.78814460587950252</v>
      </c>
      <c r="AG314" t="b">
        <f t="shared" si="153"/>
        <v>1</v>
      </c>
      <c r="AH314">
        <f t="shared" si="146"/>
        <v>100.00000068426867</v>
      </c>
      <c r="AI314">
        <f t="shared" si="154"/>
        <v>5</v>
      </c>
      <c r="AJ314" cm="1">
        <f t="array" ref="AJ314:AO314">INDEX(surface!$A$2:$I$40,AI314+1,COLUMN(surface!$B$1:$G$1))</f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f t="shared" si="155"/>
        <v>184.77590695334666</v>
      </c>
      <c r="AQ314">
        <f t="shared" si="156"/>
        <v>501.82376641290625</v>
      </c>
      <c r="AR314">
        <f t="shared" si="157"/>
        <v>0</v>
      </c>
      <c r="AS314" t="e">
        <f t="shared" si="147"/>
        <v>#DIV/0!</v>
      </c>
      <c r="AT314" t="e">
        <f t="shared" si="148"/>
        <v>#DIV/0!</v>
      </c>
      <c r="AU314" t="b">
        <f t="shared" si="158"/>
        <v>0</v>
      </c>
      <c r="AV314">
        <f t="shared" si="149"/>
        <v>25000</v>
      </c>
    </row>
    <row r="315" spans="1:48" x14ac:dyDescent="0.25">
      <c r="A315">
        <f t="shared" si="160"/>
        <v>31.300000000000175</v>
      </c>
      <c r="B315">
        <f t="shared" si="150"/>
        <v>0.1</v>
      </c>
      <c r="C315">
        <f>sim!C314+(sim!$G314*$B315*COS($E315))</f>
        <v>101.62674880766345</v>
      </c>
      <c r="D315">
        <f>sim!D314+(sim!$G314*$B315*SIN($E315))</f>
        <v>244.73871762827491</v>
      </c>
      <c r="E315">
        <f t="shared" si="161"/>
        <v>-6737.1454456186575</v>
      </c>
      <c r="F315">
        <f t="shared" si="136"/>
        <v>100.00000046255082</v>
      </c>
      <c r="G315">
        <v>100</v>
      </c>
      <c r="H315">
        <f t="shared" si="162"/>
        <v>-4.0365173434987632E-8</v>
      </c>
      <c r="I315">
        <f t="shared" si="137"/>
        <v>-2.3127540771383792E-6</v>
      </c>
      <c r="J315">
        <f t="shared" si="151"/>
        <v>0</v>
      </c>
      <c r="K315">
        <f t="shared" si="152"/>
        <v>0</v>
      </c>
      <c r="L315">
        <f t="shared" si="138"/>
        <v>0</v>
      </c>
      <c r="M315">
        <f t="shared" si="163"/>
        <v>-2.3127540771383792E-6</v>
      </c>
      <c r="N315">
        <f t="shared" si="139"/>
        <v>92.387953500361419</v>
      </c>
      <c r="O315">
        <f t="shared" si="140"/>
        <v>240.91188326162481</v>
      </c>
      <c r="P315">
        <f t="shared" si="164"/>
        <v>4.2734123439913674E-7</v>
      </c>
      <c r="Q315">
        <f t="shared" si="165"/>
        <v>202.64353959512391</v>
      </c>
      <c r="R315">
        <f t="shared" si="141"/>
        <v>-0.38268343666500909</v>
      </c>
      <c r="S315">
        <f t="shared" si="142"/>
        <v>-0.9238795307302019</v>
      </c>
      <c r="U315">
        <f t="shared" si="159"/>
        <v>4</v>
      </c>
      <c r="V315" cm="1">
        <f t="array" ref="V315:AA315">INDEX(surface!$A$2:$I$40,U315+1,COLUMN(surface!$B$1:$G$1))</f>
        <v>0</v>
      </c>
      <c r="W315">
        <v>1000</v>
      </c>
      <c r="X315">
        <v>0</v>
      </c>
      <c r="Y315">
        <v>1</v>
      </c>
      <c r="Z315">
        <v>0</v>
      </c>
      <c r="AA315">
        <v>999</v>
      </c>
      <c r="AB315">
        <f t="shared" si="166"/>
        <v>184.77590700072284</v>
      </c>
      <c r="AC315">
        <f t="shared" si="167"/>
        <v>-518.17623347675044</v>
      </c>
      <c r="AD315">
        <f t="shared" si="143"/>
        <v>-922.95565119947173</v>
      </c>
      <c r="AE315">
        <f t="shared" si="144"/>
        <v>100.00000046255082</v>
      </c>
      <c r="AF315">
        <f t="shared" si="145"/>
        <v>0.79815461519708364</v>
      </c>
      <c r="AG315" t="b">
        <f t="shared" si="153"/>
        <v>1</v>
      </c>
      <c r="AH315">
        <f t="shared" si="146"/>
        <v>100.00000046255082</v>
      </c>
      <c r="AI315">
        <f t="shared" si="154"/>
        <v>5</v>
      </c>
      <c r="AJ315" cm="1">
        <f t="array" ref="AJ315:AO315">INDEX(surface!$A$2:$I$40,AI315+1,COLUMN(surface!$B$1:$G$1))</f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f t="shared" si="155"/>
        <v>184.77590700072284</v>
      </c>
      <c r="AQ315">
        <f t="shared" si="156"/>
        <v>481.82376652324962</v>
      </c>
      <c r="AR315">
        <f t="shared" si="157"/>
        <v>0</v>
      </c>
      <c r="AS315" t="e">
        <f t="shared" si="147"/>
        <v>#DIV/0!</v>
      </c>
      <c r="AT315" t="e">
        <f t="shared" si="148"/>
        <v>#DIV/0!</v>
      </c>
      <c r="AU315" t="b">
        <f t="shared" si="158"/>
        <v>0</v>
      </c>
      <c r="AV315">
        <f t="shared" si="149"/>
        <v>25000</v>
      </c>
    </row>
    <row r="316" spans="1:48" x14ac:dyDescent="0.25">
      <c r="A316">
        <f t="shared" si="160"/>
        <v>31.400000000000176</v>
      </c>
      <c r="B316">
        <f t="shared" si="150"/>
        <v>0.1</v>
      </c>
      <c r="C316">
        <f>sim!C315+(sim!$G315*$B316*COS($E316))</f>
        <v>101.62674881384103</v>
      </c>
      <c r="D316">
        <f>sim!D315+(sim!$G315*$B316*SIN($E316))</f>
        <v>234.73871762827491</v>
      </c>
      <c r="E316">
        <f t="shared" si="161"/>
        <v>-6737.1454456226938</v>
      </c>
      <c r="F316">
        <f t="shared" si="136"/>
        <v>100.00000028532776</v>
      </c>
      <c r="G316">
        <v>100</v>
      </c>
      <c r="H316">
        <f t="shared" si="162"/>
        <v>-2.4899544110401065E-8</v>
      </c>
      <c r="I316">
        <f t="shared" si="137"/>
        <v>-1.426638789325807E-6</v>
      </c>
      <c r="J316">
        <f t="shared" si="151"/>
        <v>0</v>
      </c>
      <c r="K316">
        <f t="shared" si="152"/>
        <v>0</v>
      </c>
      <c r="L316">
        <f t="shared" si="138"/>
        <v>0</v>
      </c>
      <c r="M316">
        <f t="shared" si="163"/>
        <v>-1.426638789325807E-6</v>
      </c>
      <c r="N316">
        <f t="shared" si="139"/>
        <v>92.387953491092617</v>
      </c>
      <c r="O316">
        <f t="shared" si="140"/>
        <v>230.91188329891571</v>
      </c>
      <c r="P316">
        <f t="shared" si="164"/>
        <v>2.636084843743447E-7</v>
      </c>
      <c r="Q316">
        <f t="shared" si="165"/>
        <v>192.64354000532376</v>
      </c>
      <c r="R316">
        <f t="shared" si="141"/>
        <v>-0.3826834329359195</v>
      </c>
      <c r="S316">
        <f t="shared" si="142"/>
        <v>-0.92387953227484132</v>
      </c>
      <c r="U316">
        <f t="shared" si="159"/>
        <v>4</v>
      </c>
      <c r="V316" cm="1">
        <f t="array" ref="V316:AA316">INDEX(surface!$A$2:$I$40,U316+1,COLUMN(surface!$B$1:$G$1))</f>
        <v>0</v>
      </c>
      <c r="W316">
        <v>1000</v>
      </c>
      <c r="X316">
        <v>0</v>
      </c>
      <c r="Y316">
        <v>1</v>
      </c>
      <c r="Z316">
        <v>0</v>
      </c>
      <c r="AA316">
        <v>999</v>
      </c>
      <c r="AB316">
        <f t="shared" si="166"/>
        <v>184.77590698218523</v>
      </c>
      <c r="AC316">
        <f t="shared" si="167"/>
        <v>-538.17623340216858</v>
      </c>
      <c r="AD316">
        <f t="shared" si="143"/>
        <v>-922.95565274256649</v>
      </c>
      <c r="AE316">
        <f t="shared" si="144"/>
        <v>100.00000028532776</v>
      </c>
      <c r="AF316">
        <f t="shared" si="145"/>
        <v>0.80816462472859518</v>
      </c>
      <c r="AG316" t="b">
        <f t="shared" si="153"/>
        <v>1</v>
      </c>
      <c r="AH316">
        <f t="shared" si="146"/>
        <v>100.00000028532776</v>
      </c>
      <c r="AI316">
        <f t="shared" si="154"/>
        <v>5</v>
      </c>
      <c r="AJ316" cm="1">
        <f t="array" ref="AJ316:AO316">INDEX(surface!$A$2:$I$40,AI316+1,COLUMN(surface!$B$1:$G$1))</f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f t="shared" si="155"/>
        <v>184.77590698218523</v>
      </c>
      <c r="AQ316">
        <f t="shared" si="156"/>
        <v>461.82376659783142</v>
      </c>
      <c r="AR316">
        <f t="shared" si="157"/>
        <v>0</v>
      </c>
      <c r="AS316" t="e">
        <f t="shared" si="147"/>
        <v>#DIV/0!</v>
      </c>
      <c r="AT316" t="e">
        <f t="shared" si="148"/>
        <v>#DIV/0!</v>
      </c>
      <c r="AU316" t="b">
        <f t="shared" si="158"/>
        <v>0</v>
      </c>
      <c r="AV316">
        <f t="shared" si="149"/>
        <v>25000</v>
      </c>
    </row>
    <row r="317" spans="1:48" x14ac:dyDescent="0.25">
      <c r="A317">
        <f t="shared" si="160"/>
        <v>31.500000000000178</v>
      </c>
      <c r="B317">
        <f t="shared" si="150"/>
        <v>0.1</v>
      </c>
      <c r="C317">
        <f>sim!C316+(sim!$G316*$B317*COS($E317))</f>
        <v>101.62674879511665</v>
      </c>
      <c r="D317">
        <f>sim!D316+(sim!$G316*$B317*SIN($E317))</f>
        <v>224.73871762827491</v>
      </c>
      <c r="E317">
        <f t="shared" si="161"/>
        <v>-6737.145445625184</v>
      </c>
      <c r="F317">
        <f t="shared" si="136"/>
        <v>100.0000001515986</v>
      </c>
      <c r="G317">
        <v>100</v>
      </c>
      <c r="H317">
        <f t="shared" si="162"/>
        <v>-1.3229473431702035E-8</v>
      </c>
      <c r="I317">
        <f t="shared" si="137"/>
        <v>-7.579929928169804E-7</v>
      </c>
      <c r="J317">
        <f t="shared" si="151"/>
        <v>0</v>
      </c>
      <c r="K317">
        <f t="shared" si="152"/>
        <v>0</v>
      </c>
      <c r="L317">
        <f t="shared" si="138"/>
        <v>0</v>
      </c>
      <c r="M317">
        <f t="shared" si="163"/>
        <v>-7.579929928169804E-7</v>
      </c>
      <c r="N317">
        <f t="shared" si="139"/>
        <v>92.387953462838666</v>
      </c>
      <c r="O317">
        <f t="shared" si="140"/>
        <v>220.91188332192212</v>
      </c>
      <c r="P317">
        <f t="shared" si="164"/>
        <v>1.4005884452217288E-7</v>
      </c>
      <c r="Q317">
        <f t="shared" si="165"/>
        <v>182.64354025839432</v>
      </c>
      <c r="R317">
        <f t="shared" si="141"/>
        <v>-0.38268343063527793</v>
      </c>
      <c r="S317">
        <f t="shared" si="142"/>
        <v>-0.92387953322779826</v>
      </c>
      <c r="U317">
        <f t="shared" si="159"/>
        <v>4</v>
      </c>
      <c r="V317" cm="1">
        <f t="array" ref="V317:AA317">INDEX(surface!$A$2:$I$40,U317+1,COLUMN(surface!$B$1:$G$1))</f>
        <v>0</v>
      </c>
      <c r="W317">
        <v>1000</v>
      </c>
      <c r="X317">
        <v>0</v>
      </c>
      <c r="Y317">
        <v>1</v>
      </c>
      <c r="Z317">
        <v>0</v>
      </c>
      <c r="AA317">
        <v>999</v>
      </c>
      <c r="AB317">
        <f t="shared" si="166"/>
        <v>184.77590692567733</v>
      </c>
      <c r="AC317">
        <f t="shared" si="167"/>
        <v>-558.17623335615576</v>
      </c>
      <c r="AD317">
        <f t="shared" si="143"/>
        <v>-922.9556536945704</v>
      </c>
      <c r="AE317">
        <f t="shared" si="144"/>
        <v>100.0000001515986</v>
      </c>
      <c r="AF317">
        <f t="shared" si="145"/>
        <v>0.81817463443405414</v>
      </c>
      <c r="AG317" t="b">
        <f t="shared" si="153"/>
        <v>1</v>
      </c>
      <c r="AH317">
        <f t="shared" si="146"/>
        <v>100.0000001515986</v>
      </c>
      <c r="AI317">
        <f t="shared" si="154"/>
        <v>5</v>
      </c>
      <c r="AJ317" cm="1">
        <f t="array" ref="AJ317:AO317">INDEX(surface!$A$2:$I$40,AI317+1,COLUMN(surface!$B$1:$G$1))</f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f t="shared" si="155"/>
        <v>184.77590692567733</v>
      </c>
      <c r="AQ317">
        <f t="shared" si="156"/>
        <v>441.82376664384424</v>
      </c>
      <c r="AR317">
        <f t="shared" si="157"/>
        <v>0</v>
      </c>
      <c r="AS317" t="e">
        <f t="shared" si="147"/>
        <v>#DIV/0!</v>
      </c>
      <c r="AT317" t="e">
        <f t="shared" si="148"/>
        <v>#DIV/0!</v>
      </c>
      <c r="AU317" t="b">
        <f t="shared" si="158"/>
        <v>0</v>
      </c>
      <c r="AV317">
        <f t="shared" si="149"/>
        <v>25000</v>
      </c>
    </row>
    <row r="318" spans="1:48" x14ac:dyDescent="0.25">
      <c r="A318">
        <f t="shared" si="160"/>
        <v>31.600000000000179</v>
      </c>
      <c r="B318">
        <f t="shared" si="150"/>
        <v>0.1</v>
      </c>
      <c r="C318">
        <f>sim!C317+(sim!$G317*$B318*COS($E318))</f>
        <v>101.62674876315913</v>
      </c>
      <c r="D318">
        <f>sim!D317+(sim!$G317*$B318*SIN($E318))</f>
        <v>214.73871762827491</v>
      </c>
      <c r="E318">
        <f t="shared" si="161"/>
        <v>-6737.1454456265074</v>
      </c>
      <c r="F318">
        <f t="shared" si="136"/>
        <v>100.00000005671318</v>
      </c>
      <c r="G318">
        <v>100</v>
      </c>
      <c r="H318">
        <f t="shared" si="162"/>
        <v>-4.9491582852445431E-9</v>
      </c>
      <c r="I318">
        <f t="shared" si="137"/>
        <v>-2.8356588188671594E-7</v>
      </c>
      <c r="J318">
        <f t="shared" si="151"/>
        <v>0</v>
      </c>
      <c r="K318">
        <f t="shared" si="152"/>
        <v>0</v>
      </c>
      <c r="L318">
        <f t="shared" si="138"/>
        <v>0</v>
      </c>
      <c r="M318">
        <f t="shared" si="163"/>
        <v>-2.8356588188671594E-7</v>
      </c>
      <c r="N318">
        <f t="shared" si="139"/>
        <v>92.387953425817045</v>
      </c>
      <c r="O318">
        <f t="shared" si="140"/>
        <v>210.91188333414797</v>
      </c>
      <c r="P318">
        <f t="shared" si="164"/>
        <v>5.2396146088540263E-8</v>
      </c>
      <c r="Q318">
        <f t="shared" si="165"/>
        <v>172.64354039287852</v>
      </c>
      <c r="R318">
        <f t="shared" si="141"/>
        <v>-0.38268342941269445</v>
      </c>
      <c r="S318">
        <f t="shared" si="142"/>
        <v>-0.92387953373420895</v>
      </c>
      <c r="U318">
        <f t="shared" si="159"/>
        <v>4</v>
      </c>
      <c r="V318" cm="1">
        <f t="array" ref="V318:AA318">INDEX(surface!$A$2:$I$40,U318+1,COLUMN(surface!$B$1:$G$1))</f>
        <v>0</v>
      </c>
      <c r="W318">
        <v>1000</v>
      </c>
      <c r="X318">
        <v>0</v>
      </c>
      <c r="Y318">
        <v>1</v>
      </c>
      <c r="Z318">
        <v>0</v>
      </c>
      <c r="AA318">
        <v>999</v>
      </c>
      <c r="AB318">
        <f t="shared" si="166"/>
        <v>184.77590685163409</v>
      </c>
      <c r="AC318">
        <f t="shared" si="167"/>
        <v>-578.176233331704</v>
      </c>
      <c r="AD318">
        <f t="shared" si="143"/>
        <v>-922.95565420047478</v>
      </c>
      <c r="AE318">
        <f t="shared" si="144"/>
        <v>100.00000005671318</v>
      </c>
      <c r="AF318">
        <f t="shared" si="145"/>
        <v>0.82818464427309768</v>
      </c>
      <c r="AG318" t="b">
        <f t="shared" si="153"/>
        <v>1</v>
      </c>
      <c r="AH318">
        <f t="shared" si="146"/>
        <v>100.00000005671318</v>
      </c>
      <c r="AI318">
        <f t="shared" si="154"/>
        <v>5</v>
      </c>
      <c r="AJ318" cm="1">
        <f t="array" ref="AJ318:AO318">INDEX(surface!$A$2:$I$40,AI318+1,COLUMN(surface!$B$1:$G$1))</f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f t="shared" si="155"/>
        <v>184.77590685163409</v>
      </c>
      <c r="AQ318">
        <f t="shared" si="156"/>
        <v>421.82376666829595</v>
      </c>
      <c r="AR318">
        <f t="shared" si="157"/>
        <v>0</v>
      </c>
      <c r="AS318" t="e">
        <f t="shared" si="147"/>
        <v>#DIV/0!</v>
      </c>
      <c r="AT318" t="e">
        <f t="shared" si="148"/>
        <v>#DIV/0!</v>
      </c>
      <c r="AU318" t="b">
        <f t="shared" si="158"/>
        <v>0</v>
      </c>
      <c r="AV318">
        <f t="shared" si="149"/>
        <v>25000</v>
      </c>
    </row>
    <row r="319" spans="1:48" x14ac:dyDescent="0.25">
      <c r="A319">
        <f t="shared" si="160"/>
        <v>31.70000000000018</v>
      </c>
      <c r="B319">
        <f t="shared" si="150"/>
        <v>0.1</v>
      </c>
      <c r="C319">
        <f>sim!C318+(sim!$G318*$B319*COS($E319))</f>
        <v>101.62674872625395</v>
      </c>
      <c r="D319">
        <f>sim!D318+(sim!$G318*$B319*SIN($E319))</f>
        <v>204.73871762827491</v>
      </c>
      <c r="E319">
        <f t="shared" si="161"/>
        <v>-6737.1454456270021</v>
      </c>
      <c r="F319">
        <f t="shared" si="136"/>
        <v>99.999999994224069</v>
      </c>
      <c r="G319">
        <v>100</v>
      </c>
      <c r="H319">
        <f t="shared" si="162"/>
        <v>5.0404505303933093E-10</v>
      </c>
      <c r="I319">
        <f t="shared" si="137"/>
        <v>2.8879654223601392E-8</v>
      </c>
      <c r="J319">
        <f t="shared" si="151"/>
        <v>0</v>
      </c>
      <c r="K319">
        <f t="shared" si="152"/>
        <v>0</v>
      </c>
      <c r="L319">
        <f t="shared" si="138"/>
        <v>0</v>
      </c>
      <c r="M319">
        <f t="shared" si="163"/>
        <v>2.8879654223601392E-8</v>
      </c>
      <c r="N319">
        <f t="shared" si="139"/>
        <v>92.387953387018484</v>
      </c>
      <c r="O319">
        <f t="shared" si="140"/>
        <v>200.91188333871901</v>
      </c>
      <c r="P319">
        <f t="shared" si="164"/>
        <v>-5.3362469998319284E-9</v>
      </c>
      <c r="Q319">
        <f t="shared" si="165"/>
        <v>162.64354044315991</v>
      </c>
      <c r="R319">
        <f t="shared" si="141"/>
        <v>-0.3826834289555911</v>
      </c>
      <c r="S319">
        <f t="shared" si="142"/>
        <v>-0.92387953392354738</v>
      </c>
      <c r="U319">
        <f t="shared" si="159"/>
        <v>4</v>
      </c>
      <c r="V319" cm="1">
        <f t="array" ref="V319:AA319">INDEX(surface!$A$2:$I$40,U319+1,COLUMN(surface!$B$1:$G$1))</f>
        <v>0</v>
      </c>
      <c r="W319">
        <v>1000</v>
      </c>
      <c r="X319">
        <v>0</v>
      </c>
      <c r="Y319">
        <v>1</v>
      </c>
      <c r="Z319">
        <v>0</v>
      </c>
      <c r="AA319">
        <v>999</v>
      </c>
      <c r="AB319">
        <f t="shared" si="166"/>
        <v>184.77590677403697</v>
      </c>
      <c r="AC319">
        <f t="shared" si="167"/>
        <v>-598.17623332256198</v>
      </c>
      <c r="AD319">
        <f t="shared" si="143"/>
        <v>-922.95565438962387</v>
      </c>
      <c r="AE319">
        <f t="shared" si="144"/>
        <v>99.999999994224069</v>
      </c>
      <c r="AF319">
        <f t="shared" si="145"/>
        <v>0.83819465420883854</v>
      </c>
      <c r="AG319" t="b">
        <f t="shared" si="153"/>
        <v>1</v>
      </c>
      <c r="AH319">
        <f t="shared" si="146"/>
        <v>99.999999994224069</v>
      </c>
      <c r="AI319">
        <f t="shared" si="154"/>
        <v>5</v>
      </c>
      <c r="AJ319" cm="1">
        <f t="array" ref="AJ319:AO319">INDEX(surface!$A$2:$I$40,AI319+1,COLUMN(surface!$B$1:$G$1))</f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f t="shared" si="155"/>
        <v>184.77590677403697</v>
      </c>
      <c r="AQ319">
        <f t="shared" si="156"/>
        <v>401.82376667743802</v>
      </c>
      <c r="AR319">
        <f t="shared" si="157"/>
        <v>0</v>
      </c>
      <c r="AS319" t="e">
        <f t="shared" si="147"/>
        <v>#DIV/0!</v>
      </c>
      <c r="AT319" t="e">
        <f t="shared" si="148"/>
        <v>#DIV/0!</v>
      </c>
      <c r="AU319" t="b">
        <f t="shared" si="158"/>
        <v>0</v>
      </c>
      <c r="AV319">
        <f t="shared" si="149"/>
        <v>25000</v>
      </c>
    </row>
    <row r="320" spans="1:48" x14ac:dyDescent="0.25">
      <c r="A320">
        <f t="shared" si="160"/>
        <v>31.800000000000182</v>
      </c>
      <c r="B320">
        <f t="shared" si="150"/>
        <v>0.1</v>
      </c>
      <c r="C320">
        <f>sim!C319+(sim!$G319*$B320*COS($E320))</f>
        <v>101.62674868984899</v>
      </c>
      <c r="D320">
        <f>sim!D319+(sim!$G319*$B320*SIN($E320))</f>
        <v>194.73871762827491</v>
      </c>
      <c r="E320">
        <f t="shared" si="161"/>
        <v>-6737.1454456269521</v>
      </c>
      <c r="F320">
        <f t="shared" si="136"/>
        <v>99.999999957098836</v>
      </c>
      <c r="G320">
        <v>100</v>
      </c>
      <c r="H320">
        <f t="shared" si="162"/>
        <v>3.7438327809801803E-9</v>
      </c>
      <c r="I320">
        <f t="shared" si="137"/>
        <v>2.1450581755289022E-7</v>
      </c>
      <c r="J320">
        <f t="shared" si="151"/>
        <v>0</v>
      </c>
      <c r="K320">
        <f t="shared" si="152"/>
        <v>0</v>
      </c>
      <c r="L320">
        <f t="shared" si="138"/>
        <v>0</v>
      </c>
      <c r="M320">
        <f t="shared" si="163"/>
        <v>2.1450581755289022E-7</v>
      </c>
      <c r="N320">
        <f t="shared" si="139"/>
        <v>92.387953350804949</v>
      </c>
      <c r="O320">
        <f t="shared" si="140"/>
        <v>190.91188333825687</v>
      </c>
      <c r="P320">
        <f t="shared" si="164"/>
        <v>-3.9635523307879339E-8</v>
      </c>
      <c r="Q320">
        <f t="shared" si="165"/>
        <v>152.64354043807631</v>
      </c>
      <c r="R320">
        <f t="shared" si="141"/>
        <v>-0.38268342900180558</v>
      </c>
      <c r="S320">
        <f t="shared" si="142"/>
        <v>-0.92387953390440469</v>
      </c>
      <c r="U320">
        <f t="shared" si="159"/>
        <v>4</v>
      </c>
      <c r="V320" cm="1">
        <f t="array" ref="V320:AA320">INDEX(surface!$A$2:$I$40,U320+1,COLUMN(surface!$B$1:$G$1))</f>
        <v>0</v>
      </c>
      <c r="W320">
        <v>1000</v>
      </c>
      <c r="X320">
        <v>0</v>
      </c>
      <c r="Y320">
        <v>1</v>
      </c>
      <c r="Z320">
        <v>0</v>
      </c>
      <c r="AA320">
        <v>999</v>
      </c>
      <c r="AB320">
        <f t="shared" si="166"/>
        <v>184.7759067016099</v>
      </c>
      <c r="AC320">
        <f t="shared" si="167"/>
        <v>-618.17623332348626</v>
      </c>
      <c r="AD320">
        <f t="shared" si="143"/>
        <v>-922.95565437050027</v>
      </c>
      <c r="AE320">
        <f t="shared" si="144"/>
        <v>99.999999957098836</v>
      </c>
      <c r="AF320">
        <f t="shared" si="145"/>
        <v>0.84820466420971596</v>
      </c>
      <c r="AG320" t="b">
        <f t="shared" si="153"/>
        <v>1</v>
      </c>
      <c r="AH320">
        <f t="shared" si="146"/>
        <v>99.999999957098836</v>
      </c>
      <c r="AI320">
        <f t="shared" si="154"/>
        <v>5</v>
      </c>
      <c r="AJ320" cm="1">
        <f t="array" ref="AJ320:AO320">INDEX(surface!$A$2:$I$40,AI320+1,COLUMN(surface!$B$1:$G$1))</f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f t="shared" si="155"/>
        <v>184.7759067016099</v>
      </c>
      <c r="AQ320">
        <f t="shared" si="156"/>
        <v>381.82376667651374</v>
      </c>
      <c r="AR320">
        <f t="shared" si="157"/>
        <v>0</v>
      </c>
      <c r="AS320" t="e">
        <f t="shared" si="147"/>
        <v>#DIV/0!</v>
      </c>
      <c r="AT320" t="e">
        <f t="shared" si="148"/>
        <v>#DIV/0!</v>
      </c>
      <c r="AU320" t="b">
        <f t="shared" si="158"/>
        <v>0</v>
      </c>
      <c r="AV320">
        <f t="shared" si="149"/>
        <v>25000</v>
      </c>
    </row>
    <row r="321" spans="1:48" x14ac:dyDescent="0.25">
      <c r="A321">
        <f t="shared" si="160"/>
        <v>31.900000000000183</v>
      </c>
      <c r="B321">
        <f t="shared" si="150"/>
        <v>0.1</v>
      </c>
      <c r="C321">
        <f>sim!C320+(sim!$G320*$B321*COS($E321))</f>
        <v>101.62674865719116</v>
      </c>
      <c r="D321">
        <f>sim!D320+(sim!$G320*$B321*SIN($E321))</f>
        <v>184.73871762827491</v>
      </c>
      <c r="E321">
        <f t="shared" si="161"/>
        <v>-6737.1454456265774</v>
      </c>
      <c r="F321">
        <f t="shared" si="136"/>
        <v>99.999999938823422</v>
      </c>
      <c r="G321">
        <v>100</v>
      </c>
      <c r="H321">
        <f t="shared" si="162"/>
        <v>5.3386635970058032E-9</v>
      </c>
      <c r="I321">
        <f t="shared" si="137"/>
        <v>3.0588289234856347E-7</v>
      </c>
      <c r="J321">
        <f t="shared" si="151"/>
        <v>0</v>
      </c>
      <c r="K321">
        <f t="shared" si="152"/>
        <v>0</v>
      </c>
      <c r="L321">
        <f t="shared" si="138"/>
        <v>0</v>
      </c>
      <c r="M321">
        <f t="shared" si="163"/>
        <v>3.0588289234856347E-7</v>
      </c>
      <c r="N321">
        <f t="shared" si="139"/>
        <v>92.387953319581072</v>
      </c>
      <c r="O321">
        <f t="shared" si="140"/>
        <v>180.91188333479496</v>
      </c>
      <c r="P321">
        <f t="shared" si="164"/>
        <v>-5.651979506637872E-8</v>
      </c>
      <c r="Q321">
        <f t="shared" si="165"/>
        <v>142.64354039999554</v>
      </c>
      <c r="R321">
        <f t="shared" si="141"/>
        <v>-0.38268342934799415</v>
      </c>
      <c r="S321">
        <f t="shared" si="142"/>
        <v>-0.92387953376100862</v>
      </c>
      <c r="U321">
        <f t="shared" si="159"/>
        <v>4</v>
      </c>
      <c r="V321" cm="1">
        <f t="array" ref="V321:AA321">INDEX(surface!$A$2:$I$40,U321+1,COLUMN(surface!$B$1:$G$1))</f>
        <v>0</v>
      </c>
      <c r="W321">
        <v>1000</v>
      </c>
      <c r="X321">
        <v>0</v>
      </c>
      <c r="Y321">
        <v>1</v>
      </c>
      <c r="Z321">
        <v>0</v>
      </c>
      <c r="AA321">
        <v>999</v>
      </c>
      <c r="AB321">
        <f t="shared" si="166"/>
        <v>184.77590663916214</v>
      </c>
      <c r="AC321">
        <f t="shared" si="167"/>
        <v>-638.17623333041001</v>
      </c>
      <c r="AD321">
        <f t="shared" si="143"/>
        <v>-922.95565422724758</v>
      </c>
      <c r="AE321">
        <f t="shared" si="144"/>
        <v>99.999999938823422</v>
      </c>
      <c r="AF321">
        <f t="shared" si="145"/>
        <v>0.85821467425084386</v>
      </c>
      <c r="AG321" t="b">
        <f t="shared" si="153"/>
        <v>1</v>
      </c>
      <c r="AH321">
        <f t="shared" si="146"/>
        <v>99.999999938823422</v>
      </c>
      <c r="AI321">
        <f t="shared" si="154"/>
        <v>5</v>
      </c>
      <c r="AJ321" cm="1">
        <f t="array" ref="AJ321:AO321">INDEX(surface!$A$2:$I$40,AI321+1,COLUMN(surface!$B$1:$G$1))</f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f t="shared" si="155"/>
        <v>184.77590663916214</v>
      </c>
      <c r="AQ321">
        <f t="shared" si="156"/>
        <v>361.82376666958993</v>
      </c>
      <c r="AR321">
        <f t="shared" si="157"/>
        <v>0</v>
      </c>
      <c r="AS321" t="e">
        <f t="shared" si="147"/>
        <v>#DIV/0!</v>
      </c>
      <c r="AT321" t="e">
        <f t="shared" si="148"/>
        <v>#DIV/0!</v>
      </c>
      <c r="AU321" t="b">
        <f t="shared" si="158"/>
        <v>0</v>
      </c>
      <c r="AV321">
        <f t="shared" si="149"/>
        <v>25000</v>
      </c>
    </row>
    <row r="322" spans="1:48" x14ac:dyDescent="0.25">
      <c r="A322">
        <f t="shared" si="160"/>
        <v>32.000000000000185</v>
      </c>
      <c r="B322">
        <f t="shared" si="150"/>
        <v>0.1</v>
      </c>
      <c r="C322">
        <f>sim!C321+(sim!$G321*$B322*COS($E322))</f>
        <v>101.62674862987205</v>
      </c>
      <c r="D322">
        <f>sim!D321+(sim!$G321*$B322*SIN($E322))</f>
        <v>174.73871762827491</v>
      </c>
      <c r="E322">
        <f t="shared" si="161"/>
        <v>-6737.1454456260435</v>
      </c>
      <c r="F322">
        <f t="shared" ref="F322:F352" si="168">MIN(AH322,AV322)</f>
        <v>99.999999933578565</v>
      </c>
      <c r="G322">
        <v>100</v>
      </c>
      <c r="H322">
        <f t="shared" si="162"/>
        <v>5.7963637136401276E-9</v>
      </c>
      <c r="I322">
        <f t="shared" ref="I322:I352" si="169">(Ksoll-F322)*Kp</f>
        <v>3.3210717731435579E-7</v>
      </c>
      <c r="J322">
        <f t="shared" si="151"/>
        <v>0</v>
      </c>
      <c r="K322">
        <f t="shared" si="152"/>
        <v>0</v>
      </c>
      <c r="L322">
        <f t="shared" ref="L322:L352" si="170">IF(Dcap&lt;&gt;-1,MAX(MIN(K322,Dcap),-Dcap),K322)</f>
        <v>0</v>
      </c>
      <c r="M322">
        <f t="shared" si="163"/>
        <v>3.3210717731435579E-7</v>
      </c>
      <c r="N322">
        <f t="shared" ref="N322:N352" si="171">C322+usFrontD*S322</f>
        <v>92.387953294305007</v>
      </c>
      <c r="O322">
        <f t="shared" ref="O322:O352" si="172">D322+usFrontD*R322</f>
        <v>170.91188332986263</v>
      </c>
      <c r="P322">
        <f t="shared" si="164"/>
        <v>-6.1365412307168299E-8</v>
      </c>
      <c r="Q322">
        <f t="shared" si="165"/>
        <v>132.64354034573975</v>
      </c>
      <c r="R322">
        <f t="shared" ref="R322:R352" si="173">SIN(E322+usrot)</f>
        <v>-0.38268342984122888</v>
      </c>
      <c r="S322">
        <f t="shared" ref="S322:S352" si="174">COS(E322+usrot)</f>
        <v>-0.92387953355670416</v>
      </c>
      <c r="U322">
        <f t="shared" si="159"/>
        <v>4</v>
      </c>
      <c r="V322" cm="1">
        <f t="array" ref="V322:AA322">INDEX(surface!$A$2:$I$40,U322+1,COLUMN(surface!$B$1:$G$1))</f>
        <v>0</v>
      </c>
      <c r="W322">
        <v>1000</v>
      </c>
      <c r="X322">
        <v>0</v>
      </c>
      <c r="Y322">
        <v>1</v>
      </c>
      <c r="Z322">
        <v>0</v>
      </c>
      <c r="AA322">
        <v>999</v>
      </c>
      <c r="AB322">
        <f t="shared" si="166"/>
        <v>184.77590658861001</v>
      </c>
      <c r="AC322">
        <f t="shared" si="167"/>
        <v>-658.17623334027473</v>
      </c>
      <c r="AD322">
        <f t="shared" ref="AD322:AD352" si="175">AA322*$S322-Z322*$R322</f>
        <v>-922.95565402314742</v>
      </c>
      <c r="AE322">
        <f t="shared" ref="AE322:AE352" si="176">((($N322 - AB322) * AA322) - (($O322 - AC322) * Z322)) / AD322</f>
        <v>99.999999933578565</v>
      </c>
      <c r="AF322">
        <f t="shared" ref="AF322:AF352" si="177">((AB322 - $N322) * $R322 - (AC322 - $O322) * $S322) / AD322</f>
        <v>0.86822468431315514</v>
      </c>
      <c r="AG322" t="b">
        <f t="shared" si="153"/>
        <v>1</v>
      </c>
      <c r="AH322">
        <f t="shared" ref="AH322:AH352" si="178">IF(AG322,AE322,usNoTarget)</f>
        <v>99.999999933578565</v>
      </c>
      <c r="AI322">
        <f t="shared" si="154"/>
        <v>5</v>
      </c>
      <c r="AJ322" cm="1">
        <f t="array" ref="AJ322:AO322">INDEX(surface!$A$2:$I$40,AI322+1,COLUMN(surface!$B$1:$G$1))</f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f t="shared" si="155"/>
        <v>184.77590658861001</v>
      </c>
      <c r="AQ322">
        <f t="shared" si="156"/>
        <v>341.82376665972527</v>
      </c>
      <c r="AR322">
        <f t="shared" si="157"/>
        <v>0</v>
      </c>
      <c r="AS322" t="e">
        <f t="shared" ref="AS322:AS352" si="179">((($N322 - AP322) * AO322) - (($O322 - AQ322) * AN322)) / AR322</f>
        <v>#DIV/0!</v>
      </c>
      <c r="AT322" t="e">
        <f t="shared" ref="AT322:AT352" si="180">((AP322 - $N322) * $R322 - (AQ322 - $O322) * $S322) / AR322</f>
        <v>#DIV/0!</v>
      </c>
      <c r="AU322" t="b">
        <f t="shared" si="158"/>
        <v>0</v>
      </c>
      <c r="AV322">
        <f t="shared" ref="AV322:AV352" si="181">IF(AU322,AS322,usNoTarget)</f>
        <v>25000</v>
      </c>
    </row>
    <row r="323" spans="1:48" x14ac:dyDescent="0.25">
      <c r="A323">
        <f t="shared" si="160"/>
        <v>32.100000000000186</v>
      </c>
      <c r="B323">
        <f t="shared" ref="B323:B352" si="182">DT</f>
        <v>0.1</v>
      </c>
      <c r="C323">
        <f>sim!C322+(sim!$G322*$B323*COS($E323))</f>
        <v>101.62674860834643</v>
      </c>
      <c r="D323">
        <f>sim!D322+(sim!$G322*$B323*SIN($E323))</f>
        <v>164.73871762827491</v>
      </c>
      <c r="E323">
        <f t="shared" si="161"/>
        <v>-6737.1454456254642</v>
      </c>
      <c r="F323">
        <f t="shared" si="168"/>
        <v>99.999999936676531</v>
      </c>
      <c r="G323">
        <v>100</v>
      </c>
      <c r="H323">
        <f t="shared" si="162"/>
        <v>5.5260151509500368E-9</v>
      </c>
      <c r="I323">
        <f t="shared" si="169"/>
        <v>3.1661734567478561E-7</v>
      </c>
      <c r="J323">
        <f t="shared" ref="J323:J352" si="183">J322+(Ksoll-F322)*B323*Ki</f>
        <v>0</v>
      </c>
      <c r="K323">
        <f t="shared" ref="K323:K352" si="184">((Ksoll-F323)-(Ksoll-F322))/B323*Kd</f>
        <v>0</v>
      </c>
      <c r="L323">
        <f t="shared" si="170"/>
        <v>0</v>
      </c>
      <c r="M323">
        <f t="shared" si="163"/>
        <v>3.1661734567478561E-7</v>
      </c>
      <c r="N323">
        <f t="shared" si="171"/>
        <v>92.387953274996462</v>
      </c>
      <c r="O323">
        <f t="shared" si="172"/>
        <v>160.91188332451014</v>
      </c>
      <c r="P323">
        <f t="shared" si="164"/>
        <v>-5.8503260902398324E-8</v>
      </c>
      <c r="Q323">
        <f t="shared" si="165"/>
        <v>122.64354028686247</v>
      </c>
      <c r="R323">
        <f t="shared" si="173"/>
        <v>-0.38268343037647673</v>
      </c>
      <c r="S323">
        <f t="shared" si="174"/>
        <v>-0.92387953333499728</v>
      </c>
      <c r="U323">
        <f t="shared" si="159"/>
        <v>4</v>
      </c>
      <c r="V323" cm="1">
        <f t="array" ref="V323:AA323">INDEX(surface!$A$2:$I$40,U323+1,COLUMN(surface!$B$1:$G$1))</f>
        <v>0</v>
      </c>
      <c r="W323">
        <v>1000</v>
      </c>
      <c r="X323">
        <v>0</v>
      </c>
      <c r="Y323">
        <v>1</v>
      </c>
      <c r="Z323">
        <v>0</v>
      </c>
      <c r="AA323">
        <v>999</v>
      </c>
      <c r="AB323">
        <f t="shared" si="166"/>
        <v>184.77590654999292</v>
      </c>
      <c r="AC323">
        <f t="shared" si="167"/>
        <v>-678.17623335097971</v>
      </c>
      <c r="AD323">
        <f t="shared" si="175"/>
        <v>-922.95565380166227</v>
      </c>
      <c r="AE323">
        <f t="shared" si="176"/>
        <v>99.999999936676531</v>
      </c>
      <c r="AF323">
        <f t="shared" si="177"/>
        <v>0.87823469438328794</v>
      </c>
      <c r="AG323" t="b">
        <f t="shared" ref="AG323:AG352" si="185">IF(NOT(OR(ISERROR(AE323),ISERROR(AF323))),IF(AND(AF323&gt;=0,AF323&lt;=1,AE323&gt;=0),TRUE,FALSE),FALSE)</f>
        <v>1</v>
      </c>
      <c r="AH323">
        <f t="shared" si="178"/>
        <v>99.999999936676531</v>
      </c>
      <c r="AI323">
        <f t="shared" ref="AI323:AI352" si="186">U323+1</f>
        <v>5</v>
      </c>
      <c r="AJ323" cm="1">
        <f t="array" ref="AJ323:AO323">INDEX(surface!$A$2:$I$40,AI323+1,COLUMN(surface!$B$1:$G$1))</f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f t="shared" ref="AP323:AP352" si="187">2*$N323-AJ323</f>
        <v>184.77590654999292</v>
      </c>
      <c r="AQ323">
        <f t="shared" ref="AQ323:AQ352" si="188">2*$O323-AK323</f>
        <v>321.82376664902029</v>
      </c>
      <c r="AR323">
        <f t="shared" ref="AR323:AR352" si="189">AO323*$S323-AN323*$R323</f>
        <v>0</v>
      </c>
      <c r="AS323" t="e">
        <f t="shared" si="179"/>
        <v>#DIV/0!</v>
      </c>
      <c r="AT323" t="e">
        <f t="shared" si="180"/>
        <v>#DIV/0!</v>
      </c>
      <c r="AU323" t="b">
        <f t="shared" ref="AU323:AU352" si="190">IF(NOT(OR(ISERROR(AS323),ISERROR(AT323))),IF(AND(AT323&gt;=0,AT323&lt;=1,AS323&gt;=0),TRUE,FALSE),FALSE)</f>
        <v>0</v>
      </c>
      <c r="AV323">
        <f t="shared" si="181"/>
        <v>25000</v>
      </c>
    </row>
    <row r="324" spans="1:48" x14ac:dyDescent="0.25">
      <c r="A324">
        <f t="shared" si="160"/>
        <v>32.200000000000188</v>
      </c>
      <c r="B324">
        <f t="shared" si="182"/>
        <v>0.1</v>
      </c>
      <c r="C324">
        <f>sim!C323+(sim!$G323*$B324*COS($E324))</f>
        <v>101.62674859235054</v>
      </c>
      <c r="D324">
        <f>sim!D323+(sim!$G323*$B324*SIN($E324))</f>
        <v>154.73871762827491</v>
      </c>
      <c r="E324">
        <f t="shared" si="161"/>
        <v>-6737.1454456249112</v>
      </c>
      <c r="F324">
        <f t="shared" si="168"/>
        <v>99.99999994455807</v>
      </c>
      <c r="G324">
        <v>100</v>
      </c>
      <c r="H324">
        <f t="shared" si="162"/>
        <v>4.838221124583971E-9</v>
      </c>
      <c r="I324">
        <f t="shared" si="169"/>
        <v>2.7720965078970039E-7</v>
      </c>
      <c r="J324">
        <f t="shared" si="183"/>
        <v>0</v>
      </c>
      <c r="K324">
        <f t="shared" si="184"/>
        <v>0</v>
      </c>
      <c r="L324">
        <f t="shared" si="170"/>
        <v>0</v>
      </c>
      <c r="M324">
        <f t="shared" si="163"/>
        <v>2.7720965078970039E-7</v>
      </c>
      <c r="N324">
        <f t="shared" si="171"/>
        <v>92.387953261116706</v>
      </c>
      <c r="O324">
        <f t="shared" si="172"/>
        <v>150.91188331940134</v>
      </c>
      <c r="P324">
        <f t="shared" si="164"/>
        <v>-5.1221661578892963E-8</v>
      </c>
      <c r="Q324">
        <f t="shared" si="165"/>
        <v>112.64354023066565</v>
      </c>
      <c r="R324">
        <f t="shared" si="173"/>
        <v>-0.38268343088735696</v>
      </c>
      <c r="S324">
        <f t="shared" si="174"/>
        <v>-0.92387953312338367</v>
      </c>
      <c r="U324">
        <f t="shared" si="159"/>
        <v>4</v>
      </c>
      <c r="V324" cm="1">
        <f t="array" ref="V324:AA324">INDEX(surface!$A$2:$I$40,U324+1,COLUMN(surface!$B$1:$G$1))</f>
        <v>0</v>
      </c>
      <c r="W324">
        <v>1000</v>
      </c>
      <c r="X324">
        <v>0</v>
      </c>
      <c r="Y324">
        <v>1</v>
      </c>
      <c r="Z324">
        <v>0</v>
      </c>
      <c r="AA324">
        <v>999</v>
      </c>
      <c r="AB324">
        <f t="shared" si="166"/>
        <v>184.77590652223341</v>
      </c>
      <c r="AC324">
        <f t="shared" si="167"/>
        <v>-698.17623336119732</v>
      </c>
      <c r="AD324">
        <f t="shared" si="175"/>
        <v>-922.95565359026034</v>
      </c>
      <c r="AE324">
        <f t="shared" si="176"/>
        <v>99.99999994455807</v>
      </c>
      <c r="AF324">
        <f t="shared" si="177"/>
        <v>0.88824470445257009</v>
      </c>
      <c r="AG324" t="b">
        <f t="shared" si="185"/>
        <v>1</v>
      </c>
      <c r="AH324">
        <f t="shared" si="178"/>
        <v>99.99999994455807</v>
      </c>
      <c r="AI324">
        <f t="shared" si="186"/>
        <v>5</v>
      </c>
      <c r="AJ324" cm="1">
        <f t="array" ref="AJ324:AO324">INDEX(surface!$A$2:$I$40,AI324+1,COLUMN(surface!$B$1:$G$1))</f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f t="shared" si="187"/>
        <v>184.77590652223341</v>
      </c>
      <c r="AQ324">
        <f t="shared" si="188"/>
        <v>301.82376663880268</v>
      </c>
      <c r="AR324">
        <f t="shared" si="189"/>
        <v>0</v>
      </c>
      <c r="AS324" t="e">
        <f t="shared" si="179"/>
        <v>#DIV/0!</v>
      </c>
      <c r="AT324" t="e">
        <f t="shared" si="180"/>
        <v>#DIV/0!</v>
      </c>
      <c r="AU324" t="b">
        <f t="shared" si="190"/>
        <v>0</v>
      </c>
      <c r="AV324">
        <f t="shared" si="181"/>
        <v>25000</v>
      </c>
    </row>
    <row r="325" spans="1:48" x14ac:dyDescent="0.25">
      <c r="A325">
        <f t="shared" si="160"/>
        <v>32.300000000000189</v>
      </c>
      <c r="B325">
        <f t="shared" si="182"/>
        <v>0.1</v>
      </c>
      <c r="C325">
        <f>sim!C324+(sim!$G324*$B325*COS($E325))</f>
        <v>101.62674858119316</v>
      </c>
      <c r="D325">
        <f>sim!D324+(sim!$G324*$B325*SIN($E325))</f>
        <v>144.73871762827491</v>
      </c>
      <c r="E325">
        <f t="shared" si="161"/>
        <v>-6737.1454456244273</v>
      </c>
      <c r="F325">
        <f t="shared" si="168"/>
        <v>99.999999954527354</v>
      </c>
      <c r="G325">
        <v>100</v>
      </c>
      <c r="H325">
        <f t="shared" si="162"/>
        <v>3.9682369695852139E-9</v>
      </c>
      <c r="I325">
        <f t="shared" si="169"/>
        <v>2.2736323046501639E-7</v>
      </c>
      <c r="J325">
        <f t="shared" si="183"/>
        <v>0</v>
      </c>
      <c r="K325">
        <f t="shared" si="184"/>
        <v>0</v>
      </c>
      <c r="L325">
        <f t="shared" si="170"/>
        <v>0</v>
      </c>
      <c r="M325">
        <f t="shared" si="163"/>
        <v>2.2736323046501639E-7</v>
      </c>
      <c r="N325">
        <f t="shared" si="171"/>
        <v>92.387953251810941</v>
      </c>
      <c r="O325">
        <f t="shared" si="172"/>
        <v>140.91188331493115</v>
      </c>
      <c r="P325">
        <f t="shared" si="164"/>
        <v>-4.2011251366602664E-8</v>
      </c>
      <c r="Q325">
        <f t="shared" si="165"/>
        <v>102.64354018149342</v>
      </c>
      <c r="R325">
        <f t="shared" si="173"/>
        <v>-0.38268343133437721</v>
      </c>
      <c r="S325">
        <f t="shared" si="174"/>
        <v>-0.92387953293822189</v>
      </c>
      <c r="U325">
        <f t="shared" ref="U325:U352" si="191">IF(((AJ324-C324)^2+(AK324-D324)^2)&gt;((AL324-C324)^2+(AM324-D324)^2),U324+1,U324)</f>
        <v>4</v>
      </c>
      <c r="V325" cm="1">
        <f t="array" ref="V325:AA325">INDEX(surface!$A$2:$I$40,U325+1,COLUMN(surface!$B$1:$G$1))</f>
        <v>0</v>
      </c>
      <c r="W325">
        <v>1000</v>
      </c>
      <c r="X325">
        <v>0</v>
      </c>
      <c r="Y325">
        <v>1</v>
      </c>
      <c r="Z325">
        <v>0</v>
      </c>
      <c r="AA325">
        <v>999</v>
      </c>
      <c r="AB325">
        <f t="shared" si="166"/>
        <v>184.77590650362188</v>
      </c>
      <c r="AC325">
        <f t="shared" si="167"/>
        <v>-718.17623337013765</v>
      </c>
      <c r="AD325">
        <f t="shared" si="175"/>
        <v>-922.95565340528367</v>
      </c>
      <c r="AE325">
        <f t="shared" si="176"/>
        <v>99.999999954527354</v>
      </c>
      <c r="AF325">
        <f t="shared" si="177"/>
        <v>0.89825471451562044</v>
      </c>
      <c r="AG325" t="b">
        <f t="shared" si="185"/>
        <v>1</v>
      </c>
      <c r="AH325">
        <f t="shared" si="178"/>
        <v>99.999999954527354</v>
      </c>
      <c r="AI325">
        <f t="shared" si="186"/>
        <v>5</v>
      </c>
      <c r="AJ325" cm="1">
        <f t="array" ref="AJ325:AO325">INDEX(surface!$A$2:$I$40,AI325+1,COLUMN(surface!$B$1:$G$1))</f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f t="shared" si="187"/>
        <v>184.77590650362188</v>
      </c>
      <c r="AQ325">
        <f t="shared" si="188"/>
        <v>281.82376662986229</v>
      </c>
      <c r="AR325">
        <f t="shared" si="189"/>
        <v>0</v>
      </c>
      <c r="AS325" t="e">
        <f t="shared" si="179"/>
        <v>#DIV/0!</v>
      </c>
      <c r="AT325" t="e">
        <f t="shared" si="180"/>
        <v>#DIV/0!</v>
      </c>
      <c r="AU325" t="b">
        <f t="shared" si="190"/>
        <v>0</v>
      </c>
      <c r="AV325">
        <f t="shared" si="181"/>
        <v>25000</v>
      </c>
    </row>
    <row r="326" spans="1:48" x14ac:dyDescent="0.25">
      <c r="A326">
        <f t="shared" si="160"/>
        <v>32.40000000000019</v>
      </c>
      <c r="B326">
        <f t="shared" si="182"/>
        <v>0.1</v>
      </c>
      <c r="C326">
        <f>sim!C325+(sim!$G325*$B326*COS($E326))</f>
        <v>101.62674857400117</v>
      </c>
      <c r="D326">
        <f>sim!D325+(sim!$G325*$B326*SIN($E326))</f>
        <v>134.73871762827491</v>
      </c>
      <c r="E326">
        <f t="shared" si="161"/>
        <v>-6737.1454456240308</v>
      </c>
      <c r="F326">
        <f t="shared" si="168"/>
        <v>99.999999964810542</v>
      </c>
      <c r="G326">
        <v>100</v>
      </c>
      <c r="H326">
        <f t="shared" si="162"/>
        <v>3.0708595604522304E-9</v>
      </c>
      <c r="I326">
        <f t="shared" si="169"/>
        <v>1.759472922913119E-7</v>
      </c>
      <c r="J326">
        <f t="shared" si="183"/>
        <v>0</v>
      </c>
      <c r="K326">
        <f t="shared" si="184"/>
        <v>0</v>
      </c>
      <c r="L326">
        <f t="shared" si="170"/>
        <v>0</v>
      </c>
      <c r="M326">
        <f t="shared" si="163"/>
        <v>1.759472922913119E-7</v>
      </c>
      <c r="N326">
        <f t="shared" si="171"/>
        <v>92.387953246136448</v>
      </c>
      <c r="O326">
        <f t="shared" si="172"/>
        <v>130.91188331126759</v>
      </c>
      <c r="P326">
        <f t="shared" si="164"/>
        <v>-3.2510826031284523E-8</v>
      </c>
      <c r="Q326">
        <f t="shared" si="165"/>
        <v>92.643540141194379</v>
      </c>
      <c r="R326">
        <f t="shared" si="173"/>
        <v>-0.3826834317007321</v>
      </c>
      <c r="S326">
        <f t="shared" si="174"/>
        <v>-0.92387953278647272</v>
      </c>
      <c r="U326">
        <f t="shared" si="191"/>
        <v>4</v>
      </c>
      <c r="V326" cm="1">
        <f t="array" ref="V326:AA326">INDEX(surface!$A$2:$I$40,U326+1,COLUMN(surface!$B$1:$G$1))</f>
        <v>0</v>
      </c>
      <c r="W326">
        <v>1000</v>
      </c>
      <c r="X326">
        <v>0</v>
      </c>
      <c r="Y326">
        <v>1</v>
      </c>
      <c r="Z326">
        <v>0</v>
      </c>
      <c r="AA326">
        <v>999</v>
      </c>
      <c r="AB326">
        <f t="shared" si="166"/>
        <v>184.7759064922729</v>
      </c>
      <c r="AC326">
        <f t="shared" si="167"/>
        <v>-738.17623337746477</v>
      </c>
      <c r="AD326">
        <f t="shared" si="175"/>
        <v>-922.95565325368625</v>
      </c>
      <c r="AE326">
        <f t="shared" si="176"/>
        <v>99.999999964810542</v>
      </c>
      <c r="AF326">
        <f t="shared" si="177"/>
        <v>0.90826472456990903</v>
      </c>
      <c r="AG326" t="b">
        <f t="shared" si="185"/>
        <v>1</v>
      </c>
      <c r="AH326">
        <f t="shared" si="178"/>
        <v>99.999999964810542</v>
      </c>
      <c r="AI326">
        <f t="shared" si="186"/>
        <v>5</v>
      </c>
      <c r="AJ326" cm="1">
        <f t="array" ref="AJ326:AO326">INDEX(surface!$A$2:$I$40,AI326+1,COLUMN(surface!$B$1:$G$1))</f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f t="shared" si="187"/>
        <v>184.7759064922729</v>
      </c>
      <c r="AQ326">
        <f t="shared" si="188"/>
        <v>261.82376662253517</v>
      </c>
      <c r="AR326">
        <f t="shared" si="189"/>
        <v>0</v>
      </c>
      <c r="AS326" t="e">
        <f t="shared" si="179"/>
        <v>#DIV/0!</v>
      </c>
      <c r="AT326" t="e">
        <f t="shared" si="180"/>
        <v>#DIV/0!</v>
      </c>
      <c r="AU326" t="b">
        <f t="shared" si="190"/>
        <v>0</v>
      </c>
      <c r="AV326">
        <f t="shared" si="181"/>
        <v>25000</v>
      </c>
    </row>
    <row r="327" spans="1:48" x14ac:dyDescent="0.25">
      <c r="A327">
        <f t="shared" si="160"/>
        <v>32.500000000000192</v>
      </c>
      <c r="B327">
        <f t="shared" si="182"/>
        <v>0.1</v>
      </c>
      <c r="C327">
        <f>sim!C326+(sim!$G326*$B327*COS($E327))</f>
        <v>101.62674856988328</v>
      </c>
      <c r="D327">
        <f>sim!D326+(sim!$G326*$B327*SIN($E327))</f>
        <v>124.73871762827491</v>
      </c>
      <c r="E327">
        <f t="shared" si="161"/>
        <v>-6737.1454456237234</v>
      </c>
      <c r="F327">
        <f t="shared" si="168"/>
        <v>99.999999974360009</v>
      </c>
      <c r="G327">
        <v>100</v>
      </c>
      <c r="H327">
        <f t="shared" si="162"/>
        <v>2.2375113560910458E-9</v>
      </c>
      <c r="I327">
        <f t="shared" si="169"/>
        <v>1.2819995731661038E-7</v>
      </c>
      <c r="J327">
        <f t="shared" si="183"/>
        <v>0</v>
      </c>
      <c r="K327">
        <f t="shared" si="184"/>
        <v>0</v>
      </c>
      <c r="L327">
        <f t="shared" si="170"/>
        <v>0</v>
      </c>
      <c r="M327">
        <f t="shared" si="163"/>
        <v>1.2819995731661038E-7</v>
      </c>
      <c r="N327">
        <f t="shared" si="171"/>
        <v>92.387953243194957</v>
      </c>
      <c r="O327">
        <f t="shared" si="172"/>
        <v>120.91188330842751</v>
      </c>
      <c r="P327">
        <f t="shared" si="164"/>
        <v>-2.3688272676736233E-8</v>
      </c>
      <c r="Q327">
        <f t="shared" si="165"/>
        <v>82.643540109953392</v>
      </c>
      <c r="R327">
        <f t="shared" si="173"/>
        <v>-0.38268343198474114</v>
      </c>
      <c r="S327">
        <f t="shared" si="174"/>
        <v>-0.92387953266883227</v>
      </c>
      <c r="U327">
        <f t="shared" si="191"/>
        <v>4</v>
      </c>
      <c r="V327" cm="1">
        <f t="array" ref="V327:AA327">INDEX(surface!$A$2:$I$40,U327+1,COLUMN(surface!$B$1:$G$1))</f>
        <v>0</v>
      </c>
      <c r="W327">
        <v>1000</v>
      </c>
      <c r="X327">
        <v>0</v>
      </c>
      <c r="Y327">
        <v>1</v>
      </c>
      <c r="Z327">
        <v>0</v>
      </c>
      <c r="AA327">
        <v>999</v>
      </c>
      <c r="AB327">
        <f t="shared" si="166"/>
        <v>184.77590648638991</v>
      </c>
      <c r="AC327">
        <f t="shared" si="167"/>
        <v>-758.17623338314502</v>
      </c>
      <c r="AD327">
        <f t="shared" si="175"/>
        <v>-922.95565313616339</v>
      </c>
      <c r="AE327">
        <f t="shared" si="176"/>
        <v>99.999999974360009</v>
      </c>
      <c r="AF327">
        <f t="shared" si="177"/>
        <v>0.91827473461484954</v>
      </c>
      <c r="AG327" t="b">
        <f t="shared" si="185"/>
        <v>1</v>
      </c>
      <c r="AH327">
        <f t="shared" si="178"/>
        <v>99.999999974360009</v>
      </c>
      <c r="AI327">
        <f t="shared" si="186"/>
        <v>5</v>
      </c>
      <c r="AJ327" cm="1">
        <f t="array" ref="AJ327:AO327">INDEX(surface!$A$2:$I$40,AI327+1,COLUMN(surface!$B$1:$G$1))</f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f t="shared" si="187"/>
        <v>184.77590648638991</v>
      </c>
      <c r="AQ327">
        <f t="shared" si="188"/>
        <v>241.82376661685501</v>
      </c>
      <c r="AR327">
        <f t="shared" si="189"/>
        <v>0</v>
      </c>
      <c r="AS327" t="e">
        <f t="shared" si="179"/>
        <v>#DIV/0!</v>
      </c>
      <c r="AT327" t="e">
        <f t="shared" si="180"/>
        <v>#DIV/0!</v>
      </c>
      <c r="AU327" t="b">
        <f t="shared" si="190"/>
        <v>0</v>
      </c>
      <c r="AV327">
        <f t="shared" si="181"/>
        <v>25000</v>
      </c>
    </row>
    <row r="328" spans="1:48" x14ac:dyDescent="0.25">
      <c r="A328">
        <f t="shared" si="160"/>
        <v>32.600000000000193</v>
      </c>
      <c r="B328">
        <f t="shared" si="182"/>
        <v>0.1</v>
      </c>
      <c r="C328">
        <f>sim!C327+(sim!$G327*$B328*COS($E328))</f>
        <v>101.62674856800274</v>
      </c>
      <c r="D328">
        <f>sim!D327+(sim!$G327*$B328*SIN($E328))</f>
        <v>114.73871762827491</v>
      </c>
      <c r="E328">
        <f t="shared" si="161"/>
        <v>-6737.1454456234997</v>
      </c>
      <c r="F328">
        <f t="shared" si="168"/>
        <v>99.999999982518702</v>
      </c>
      <c r="G328">
        <v>100</v>
      </c>
      <c r="H328">
        <f t="shared" si="162"/>
        <v>1.5255310544123891E-9</v>
      </c>
      <c r="I328">
        <f t="shared" si="169"/>
        <v>8.7406490933972236E-8</v>
      </c>
      <c r="J328">
        <f t="shared" si="183"/>
        <v>0</v>
      </c>
      <c r="K328">
        <f t="shared" si="184"/>
        <v>0</v>
      </c>
      <c r="L328">
        <f t="shared" si="170"/>
        <v>0</v>
      </c>
      <c r="M328">
        <f t="shared" si="163"/>
        <v>8.7406490933972236E-8</v>
      </c>
      <c r="N328">
        <f t="shared" si="171"/>
        <v>92.38795324217061</v>
      </c>
      <c r="O328">
        <f t="shared" si="172"/>
        <v>110.91188330636045</v>
      </c>
      <c r="P328">
        <f t="shared" si="164"/>
        <v>-1.6150622172972362E-8</v>
      </c>
      <c r="Q328">
        <f t="shared" si="165"/>
        <v>72.643540087215854</v>
      </c>
      <c r="R328">
        <f t="shared" si="173"/>
        <v>-0.38268343219144602</v>
      </c>
      <c r="S328">
        <f t="shared" si="174"/>
        <v>-0.92387953258321232</v>
      </c>
      <c r="U328">
        <f t="shared" si="191"/>
        <v>4</v>
      </c>
      <c r="V328" cm="1">
        <f t="array" ref="V328:AA328">INDEX(surface!$A$2:$I$40,U328+1,COLUMN(surface!$B$1:$G$1))</f>
        <v>0</v>
      </c>
      <c r="W328">
        <v>1000</v>
      </c>
      <c r="X328">
        <v>0</v>
      </c>
      <c r="Y328">
        <v>1</v>
      </c>
      <c r="Z328">
        <v>0</v>
      </c>
      <c r="AA328">
        <v>999</v>
      </c>
      <c r="AB328">
        <f t="shared" si="166"/>
        <v>184.77590648434122</v>
      </c>
      <c r="AC328">
        <f t="shared" si="167"/>
        <v>-778.17623338727913</v>
      </c>
      <c r="AD328">
        <f t="shared" si="175"/>
        <v>-922.95565305062905</v>
      </c>
      <c r="AE328">
        <f t="shared" si="176"/>
        <v>99.999999982518702</v>
      </c>
      <c r="AF328">
        <f t="shared" si="177"/>
        <v>0.92828474465074506</v>
      </c>
      <c r="AG328" t="b">
        <f t="shared" si="185"/>
        <v>1</v>
      </c>
      <c r="AH328">
        <f t="shared" si="178"/>
        <v>99.999999982518702</v>
      </c>
      <c r="AI328">
        <f t="shared" si="186"/>
        <v>5</v>
      </c>
      <c r="AJ328" cm="1">
        <f t="array" ref="AJ328:AO328">INDEX(surface!$A$2:$I$40,AI328+1,COLUMN(surface!$B$1:$G$1))</f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f t="shared" si="187"/>
        <v>184.77590648434122</v>
      </c>
      <c r="AQ328">
        <f t="shared" si="188"/>
        <v>221.8237666127209</v>
      </c>
      <c r="AR328">
        <f t="shared" si="189"/>
        <v>0</v>
      </c>
      <c r="AS328" t="e">
        <f t="shared" si="179"/>
        <v>#DIV/0!</v>
      </c>
      <c r="AT328" t="e">
        <f t="shared" si="180"/>
        <v>#DIV/0!</v>
      </c>
      <c r="AU328" t="b">
        <f t="shared" si="190"/>
        <v>0</v>
      </c>
      <c r="AV328">
        <f t="shared" si="181"/>
        <v>25000</v>
      </c>
    </row>
    <row r="329" spans="1:48" x14ac:dyDescent="0.25">
      <c r="A329">
        <f t="shared" si="160"/>
        <v>32.700000000000195</v>
      </c>
      <c r="B329">
        <f t="shared" si="182"/>
        <v>0.1</v>
      </c>
      <c r="C329">
        <f>sim!C328+(sim!$G328*$B329*COS($E329))</f>
        <v>101.62674856765015</v>
      </c>
      <c r="D329">
        <f>sim!D328+(sim!$G328*$B329*SIN($E329))</f>
        <v>104.73871762827491</v>
      </c>
      <c r="E329">
        <f t="shared" si="161"/>
        <v>-6737.1454456233469</v>
      </c>
      <c r="F329">
        <f t="shared" si="168"/>
        <v>99.999999989098924</v>
      </c>
      <c r="G329">
        <v>100</v>
      </c>
      <c r="H329">
        <f t="shared" si="162"/>
        <v>9.5129830594842007E-10</v>
      </c>
      <c r="I329">
        <f t="shared" si="169"/>
        <v>5.4505377988789405E-8</v>
      </c>
      <c r="J329">
        <f t="shared" si="183"/>
        <v>0</v>
      </c>
      <c r="K329">
        <f t="shared" si="184"/>
        <v>0</v>
      </c>
      <c r="L329">
        <f t="shared" si="170"/>
        <v>0</v>
      </c>
      <c r="M329">
        <f t="shared" si="163"/>
        <v>5.4505377988789405E-8</v>
      </c>
      <c r="N329">
        <f t="shared" si="171"/>
        <v>92.387953242402745</v>
      </c>
      <c r="O329">
        <f t="shared" si="172"/>
        <v>100.91188330494882</v>
      </c>
      <c r="P329">
        <f t="shared" si="164"/>
        <v>-1.0071275369227806E-8</v>
      </c>
      <c r="Q329">
        <f t="shared" si="165"/>
        <v>62.643540071687788</v>
      </c>
      <c r="R329">
        <f t="shared" si="173"/>
        <v>-0.38268343233261026</v>
      </c>
      <c r="S329">
        <f t="shared" si="174"/>
        <v>-0.9238795325247402</v>
      </c>
      <c r="U329">
        <f t="shared" si="191"/>
        <v>4</v>
      </c>
      <c r="V329" cm="1">
        <f t="array" ref="V329:AA329">INDEX(surface!$A$2:$I$40,U329+1,COLUMN(surface!$B$1:$G$1))</f>
        <v>0</v>
      </c>
      <c r="W329">
        <v>1000</v>
      </c>
      <c r="X329">
        <v>0</v>
      </c>
      <c r="Y329">
        <v>1</v>
      </c>
      <c r="Z329">
        <v>0</v>
      </c>
      <c r="AA329">
        <v>999</v>
      </c>
      <c r="AB329">
        <f t="shared" si="166"/>
        <v>184.77590648480549</v>
      </c>
      <c r="AC329">
        <f t="shared" si="167"/>
        <v>-798.17623339010242</v>
      </c>
      <c r="AD329">
        <f t="shared" si="175"/>
        <v>-922.95565299221551</v>
      </c>
      <c r="AE329">
        <f t="shared" si="176"/>
        <v>99.999999989098924</v>
      </c>
      <c r="AF329">
        <f t="shared" si="177"/>
        <v>0.93829475467881929</v>
      </c>
      <c r="AG329" t="b">
        <f t="shared" si="185"/>
        <v>1</v>
      </c>
      <c r="AH329">
        <f t="shared" si="178"/>
        <v>99.999999989098924</v>
      </c>
      <c r="AI329">
        <f t="shared" si="186"/>
        <v>5</v>
      </c>
      <c r="AJ329" cm="1">
        <f t="array" ref="AJ329:AO329">INDEX(surface!$A$2:$I$40,AI329+1,COLUMN(surface!$B$1:$G$1))</f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f t="shared" si="187"/>
        <v>184.77590648480549</v>
      </c>
      <c r="AQ329">
        <f t="shared" si="188"/>
        <v>201.82376660989763</v>
      </c>
      <c r="AR329">
        <f t="shared" si="189"/>
        <v>0</v>
      </c>
      <c r="AS329" t="e">
        <f t="shared" si="179"/>
        <v>#DIV/0!</v>
      </c>
      <c r="AT329" t="e">
        <f t="shared" si="180"/>
        <v>#DIV/0!</v>
      </c>
      <c r="AU329" t="b">
        <f t="shared" si="190"/>
        <v>0</v>
      </c>
      <c r="AV329">
        <f t="shared" si="181"/>
        <v>25000</v>
      </c>
    </row>
    <row r="330" spans="1:48" x14ac:dyDescent="0.25">
      <c r="A330">
        <f t="shared" si="160"/>
        <v>32.800000000000196</v>
      </c>
      <c r="B330">
        <f t="shared" si="182"/>
        <v>0.1</v>
      </c>
      <c r="C330">
        <f>sim!C329+(sim!$G329*$B330*COS($E330))</f>
        <v>101.62674856825254</v>
      </c>
      <c r="D330">
        <f>sim!D329+(sim!$G329*$B330*SIN($E330))</f>
        <v>94.738717628274912</v>
      </c>
      <c r="E330">
        <f t="shared" si="161"/>
        <v>-6737.1454456232514</v>
      </c>
      <c r="F330">
        <f t="shared" si="168"/>
        <v>99.999999994102126</v>
      </c>
      <c r="G330">
        <v>100</v>
      </c>
      <c r="H330">
        <f t="shared" si="162"/>
        <v>5.1468661733494416E-10</v>
      </c>
      <c r="I330">
        <f t="shared" si="169"/>
        <v>2.9489370945157134E-8</v>
      </c>
      <c r="J330">
        <f t="shared" si="183"/>
        <v>0</v>
      </c>
      <c r="K330">
        <f t="shared" si="184"/>
        <v>0</v>
      </c>
      <c r="L330">
        <f t="shared" si="170"/>
        <v>0</v>
      </c>
      <c r="M330">
        <f t="shared" si="163"/>
        <v>2.9489370945157134E-8</v>
      </c>
      <c r="N330">
        <f t="shared" si="171"/>
        <v>92.387953243370589</v>
      </c>
      <c r="O330">
        <f t="shared" si="172"/>
        <v>90.911883304066535</v>
      </c>
      <c r="P330">
        <f t="shared" si="164"/>
        <v>-5.4489248668687651E-9</v>
      </c>
      <c r="Q330">
        <f t="shared" si="165"/>
        <v>52.64354006198274</v>
      </c>
      <c r="R330">
        <f t="shared" si="173"/>
        <v>-0.38268343242083797</v>
      </c>
      <c r="S330">
        <f t="shared" si="174"/>
        <v>-0.9238795324881951</v>
      </c>
      <c r="U330">
        <f t="shared" si="191"/>
        <v>4</v>
      </c>
      <c r="V330" cm="1">
        <f t="array" ref="V330:AA330">INDEX(surface!$A$2:$I$40,U330+1,COLUMN(surface!$B$1:$G$1))</f>
        <v>0</v>
      </c>
      <c r="W330">
        <v>1000</v>
      </c>
      <c r="X330">
        <v>0</v>
      </c>
      <c r="Y330">
        <v>1</v>
      </c>
      <c r="Z330">
        <v>0</v>
      </c>
      <c r="AA330">
        <v>999</v>
      </c>
      <c r="AB330">
        <f t="shared" si="166"/>
        <v>184.77590648674118</v>
      </c>
      <c r="AC330">
        <f t="shared" si="167"/>
        <v>-818.17623339186696</v>
      </c>
      <c r="AD330">
        <f t="shared" si="175"/>
        <v>-922.95565295570691</v>
      </c>
      <c r="AE330">
        <f t="shared" si="176"/>
        <v>99.999999994102126</v>
      </c>
      <c r="AF330">
        <f t="shared" si="177"/>
        <v>0.94830476470046088</v>
      </c>
      <c r="AG330" t="b">
        <f t="shared" si="185"/>
        <v>1</v>
      </c>
      <c r="AH330">
        <f t="shared" si="178"/>
        <v>99.999999994102126</v>
      </c>
      <c r="AI330">
        <f t="shared" si="186"/>
        <v>5</v>
      </c>
      <c r="AJ330" cm="1">
        <f t="array" ref="AJ330:AO330">INDEX(surface!$A$2:$I$40,AI330+1,COLUMN(surface!$B$1:$G$1))</f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f t="shared" si="187"/>
        <v>184.77590648674118</v>
      </c>
      <c r="AQ330">
        <f t="shared" si="188"/>
        <v>181.82376660813307</v>
      </c>
      <c r="AR330">
        <f t="shared" si="189"/>
        <v>0</v>
      </c>
      <c r="AS330" t="e">
        <f t="shared" si="179"/>
        <v>#DIV/0!</v>
      </c>
      <c r="AT330" t="e">
        <f t="shared" si="180"/>
        <v>#DIV/0!</v>
      </c>
      <c r="AU330" t="b">
        <f t="shared" si="190"/>
        <v>0</v>
      </c>
      <c r="AV330">
        <f t="shared" si="181"/>
        <v>25000</v>
      </c>
    </row>
    <row r="331" spans="1:48" x14ac:dyDescent="0.25">
      <c r="A331">
        <f t="shared" si="160"/>
        <v>32.900000000000198</v>
      </c>
      <c r="B331">
        <f t="shared" si="182"/>
        <v>0.1</v>
      </c>
      <c r="C331">
        <f>sim!C330+(sim!$G330*$B331*COS($E331))</f>
        <v>101.62674856937333</v>
      </c>
      <c r="D331">
        <f>sim!D330+(sim!$G330*$B331*SIN($E331))</f>
        <v>84.738717628274912</v>
      </c>
      <c r="E331">
        <f t="shared" si="161"/>
        <v>-6737.1454456231995</v>
      </c>
      <c r="F331">
        <f t="shared" si="168"/>
        <v>99.999999997677321</v>
      </c>
      <c r="G331">
        <v>100</v>
      </c>
      <c r="H331">
        <f t="shared" si="162"/>
        <v>2.0269197468036367E-10</v>
      </c>
      <c r="I331">
        <f t="shared" si="169"/>
        <v>1.1613394690357381E-8</v>
      </c>
      <c r="J331">
        <f t="shared" si="183"/>
        <v>0</v>
      </c>
      <c r="K331">
        <f t="shared" si="184"/>
        <v>0</v>
      </c>
      <c r="L331">
        <f t="shared" si="170"/>
        <v>0</v>
      </c>
      <c r="M331">
        <f t="shared" si="163"/>
        <v>1.1613394690357381E-8</v>
      </c>
      <c r="N331">
        <f t="shared" si="171"/>
        <v>92.387953244689768</v>
      </c>
      <c r="O331">
        <f t="shared" si="172"/>
        <v>80.911883303587587</v>
      </c>
      <c r="P331">
        <f t="shared" si="164"/>
        <v>-2.145867483704933E-9</v>
      </c>
      <c r="Q331">
        <f t="shared" si="165"/>
        <v>42.643540056714286</v>
      </c>
      <c r="R331">
        <f t="shared" si="173"/>
        <v>-0.38268343246873299</v>
      </c>
      <c r="S331">
        <f t="shared" si="174"/>
        <v>-0.9238795324683563</v>
      </c>
      <c r="U331">
        <f t="shared" si="191"/>
        <v>4</v>
      </c>
      <c r="V331" cm="1">
        <f t="array" ref="V331:AA331">INDEX(surface!$A$2:$I$40,U331+1,COLUMN(surface!$B$1:$G$1))</f>
        <v>0</v>
      </c>
      <c r="W331">
        <v>1000</v>
      </c>
      <c r="X331">
        <v>0</v>
      </c>
      <c r="Y331">
        <v>1</v>
      </c>
      <c r="Z331">
        <v>0</v>
      </c>
      <c r="AA331">
        <v>999</v>
      </c>
      <c r="AB331">
        <f t="shared" si="166"/>
        <v>184.77590648937954</v>
      </c>
      <c r="AC331">
        <f t="shared" si="167"/>
        <v>-838.17623339282477</v>
      </c>
      <c r="AD331">
        <f t="shared" si="175"/>
        <v>-922.955652935888</v>
      </c>
      <c r="AE331">
        <f t="shared" si="176"/>
        <v>99.999999997677321</v>
      </c>
      <c r="AF331">
        <f t="shared" si="177"/>
        <v>0.9583147747171139</v>
      </c>
      <c r="AG331" t="b">
        <f t="shared" si="185"/>
        <v>1</v>
      </c>
      <c r="AH331">
        <f t="shared" si="178"/>
        <v>99.999999997677321</v>
      </c>
      <c r="AI331">
        <f t="shared" si="186"/>
        <v>5</v>
      </c>
      <c r="AJ331" cm="1">
        <f t="array" ref="AJ331:AO331">INDEX(surface!$A$2:$I$40,AI331+1,COLUMN(surface!$B$1:$G$1))</f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f t="shared" si="187"/>
        <v>184.77590648937954</v>
      </c>
      <c r="AQ331">
        <f t="shared" si="188"/>
        <v>161.82376660717517</v>
      </c>
      <c r="AR331">
        <f t="shared" si="189"/>
        <v>0</v>
      </c>
      <c r="AS331" t="e">
        <f t="shared" si="179"/>
        <v>#DIV/0!</v>
      </c>
      <c r="AT331" t="e">
        <f t="shared" si="180"/>
        <v>#DIV/0!</v>
      </c>
      <c r="AU331" t="b">
        <f t="shared" si="190"/>
        <v>0</v>
      </c>
      <c r="AV331">
        <f t="shared" si="181"/>
        <v>25000</v>
      </c>
    </row>
    <row r="332" spans="1:48" x14ac:dyDescent="0.25">
      <c r="A332">
        <f t="shared" si="160"/>
        <v>33.000000000000199</v>
      </c>
      <c r="B332">
        <f t="shared" si="182"/>
        <v>0.1</v>
      </c>
      <c r="C332">
        <f>sim!C331+(sim!$G331*$B332*COS($E332))</f>
        <v>101.62674857069422</v>
      </c>
      <c r="D332">
        <f>sim!D331+(sim!$G331*$B332*SIN($E332))</f>
        <v>74.738717628274912</v>
      </c>
      <c r="E332">
        <f t="shared" si="161"/>
        <v>-6737.1454456231795</v>
      </c>
      <c r="F332">
        <f t="shared" si="168"/>
        <v>100.00000000001872</v>
      </c>
      <c r="G332">
        <v>100</v>
      </c>
      <c r="H332">
        <f t="shared" si="162"/>
        <v>-1.6332525553341753E-12</v>
      </c>
      <c r="I332">
        <f t="shared" si="169"/>
        <v>-9.3578478299605194E-11</v>
      </c>
      <c r="J332">
        <f t="shared" si="183"/>
        <v>0</v>
      </c>
      <c r="K332">
        <f t="shared" si="184"/>
        <v>0</v>
      </c>
      <c r="L332">
        <f t="shared" si="170"/>
        <v>0</v>
      </c>
      <c r="M332">
        <f t="shared" si="163"/>
        <v>-9.3578478299605194E-11</v>
      </c>
      <c r="N332">
        <f t="shared" si="171"/>
        <v>92.387953246087221</v>
      </c>
      <c r="O332">
        <f t="shared" si="172"/>
        <v>70.911883303402732</v>
      </c>
      <c r="P332">
        <f t="shared" si="164"/>
        <v>1.7294610188400839E-11</v>
      </c>
      <c r="Q332">
        <f t="shared" si="165"/>
        <v>32.643540054680855</v>
      </c>
      <c r="R332">
        <f t="shared" si="173"/>
        <v>-0.38268343248721876</v>
      </c>
      <c r="S332">
        <f t="shared" si="174"/>
        <v>-0.92387953246069932</v>
      </c>
      <c r="U332">
        <f t="shared" si="191"/>
        <v>4</v>
      </c>
      <c r="V332" cm="1">
        <f t="array" ref="V332:AA332">INDEX(surface!$A$2:$I$40,U332+1,COLUMN(surface!$B$1:$G$1))</f>
        <v>0</v>
      </c>
      <c r="W332">
        <v>1000</v>
      </c>
      <c r="X332">
        <v>0</v>
      </c>
      <c r="Y332">
        <v>1</v>
      </c>
      <c r="Z332">
        <v>0</v>
      </c>
      <c r="AA332">
        <v>999</v>
      </c>
      <c r="AB332">
        <f t="shared" si="166"/>
        <v>184.77590649217444</v>
      </c>
      <c r="AC332">
        <f t="shared" si="167"/>
        <v>-858.17623339319448</v>
      </c>
      <c r="AD332">
        <f t="shared" si="175"/>
        <v>-922.95565292823858</v>
      </c>
      <c r="AE332">
        <f t="shared" si="176"/>
        <v>100.00000000001872</v>
      </c>
      <c r="AF332">
        <f t="shared" si="177"/>
        <v>0.96832478473005634</v>
      </c>
      <c r="AG332" t="b">
        <f t="shared" si="185"/>
        <v>1</v>
      </c>
      <c r="AH332">
        <f t="shared" si="178"/>
        <v>100.00000000001872</v>
      </c>
      <c r="AI332">
        <f t="shared" si="186"/>
        <v>5</v>
      </c>
      <c r="AJ332" cm="1">
        <f t="array" ref="AJ332:AO332">INDEX(surface!$A$2:$I$40,AI332+1,COLUMN(surface!$B$1:$G$1))</f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f t="shared" si="187"/>
        <v>184.77590649217444</v>
      </c>
      <c r="AQ332">
        <f t="shared" si="188"/>
        <v>141.82376660680546</v>
      </c>
      <c r="AR332">
        <f t="shared" si="189"/>
        <v>0</v>
      </c>
      <c r="AS332" t="e">
        <f t="shared" si="179"/>
        <v>#DIV/0!</v>
      </c>
      <c r="AT332" t="e">
        <f t="shared" si="180"/>
        <v>#DIV/0!</v>
      </c>
      <c r="AU332" t="b">
        <f t="shared" si="190"/>
        <v>0</v>
      </c>
      <c r="AV332">
        <f t="shared" si="181"/>
        <v>25000</v>
      </c>
    </row>
    <row r="333" spans="1:48" x14ac:dyDescent="0.25">
      <c r="A333">
        <f t="shared" si="160"/>
        <v>33.1000000000002</v>
      </c>
      <c r="B333">
        <f t="shared" si="182"/>
        <v>0.1</v>
      </c>
      <c r="C333">
        <f>sim!C332+(sim!$G332*$B333*COS($E333))</f>
        <v>101.6267485720151</v>
      </c>
      <c r="D333">
        <f>sim!D332+(sim!$G332*$B333*SIN($E333))</f>
        <v>64.738717628274912</v>
      </c>
      <c r="E333">
        <f t="shared" si="161"/>
        <v>-6737.1454456231795</v>
      </c>
      <c r="F333">
        <f t="shared" si="168"/>
        <v>100.00000000144843</v>
      </c>
      <c r="G333">
        <v>100</v>
      </c>
      <c r="H333">
        <f t="shared" si="162"/>
        <v>-1.263991142368113E-10</v>
      </c>
      <c r="I333">
        <f t="shared" si="169"/>
        <v>-7.2421357799612451E-9</v>
      </c>
      <c r="J333">
        <f t="shared" si="183"/>
        <v>0</v>
      </c>
      <c r="K333">
        <f t="shared" si="184"/>
        <v>0</v>
      </c>
      <c r="L333">
        <f t="shared" si="170"/>
        <v>0</v>
      </c>
      <c r="M333">
        <f t="shared" si="163"/>
        <v>-7.2421357799612451E-9</v>
      </c>
      <c r="N333">
        <f t="shared" si="171"/>
        <v>92.387953247408106</v>
      </c>
      <c r="O333">
        <f t="shared" si="172"/>
        <v>60.911883303402725</v>
      </c>
      <c r="P333">
        <f t="shared" si="164"/>
        <v>1.3381793451117119E-9</v>
      </c>
      <c r="Q333">
        <f t="shared" si="165"/>
        <v>22.643540054680848</v>
      </c>
      <c r="R333">
        <f t="shared" si="173"/>
        <v>-0.38268343248721876</v>
      </c>
      <c r="S333">
        <f t="shared" si="174"/>
        <v>-0.92387953246069932</v>
      </c>
      <c r="U333">
        <f t="shared" si="191"/>
        <v>4</v>
      </c>
      <c r="V333" cm="1">
        <f t="array" ref="V333:AA333">INDEX(surface!$A$2:$I$40,U333+1,COLUMN(surface!$B$1:$G$1))</f>
        <v>0</v>
      </c>
      <c r="W333">
        <v>1000</v>
      </c>
      <c r="X333">
        <v>0</v>
      </c>
      <c r="Y333">
        <v>1</v>
      </c>
      <c r="Z333">
        <v>0</v>
      </c>
      <c r="AA333">
        <v>999</v>
      </c>
      <c r="AB333">
        <f t="shared" si="166"/>
        <v>184.77590649481621</v>
      </c>
      <c r="AC333">
        <f t="shared" si="167"/>
        <v>-878.17623339319459</v>
      </c>
      <c r="AD333">
        <f t="shared" si="175"/>
        <v>-922.95565292823858</v>
      </c>
      <c r="AE333">
        <f t="shared" si="176"/>
        <v>100.00000000144843</v>
      </c>
      <c r="AF333">
        <f t="shared" si="177"/>
        <v>0.97833479474061424</v>
      </c>
      <c r="AG333" t="b">
        <f t="shared" si="185"/>
        <v>1</v>
      </c>
      <c r="AH333">
        <f t="shared" si="178"/>
        <v>100.00000000144843</v>
      </c>
      <c r="AI333">
        <f t="shared" si="186"/>
        <v>5</v>
      </c>
      <c r="AJ333" cm="1">
        <f t="array" ref="AJ333:AO333">INDEX(surface!$A$2:$I$40,AI333+1,COLUMN(surface!$B$1:$G$1))</f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f t="shared" si="187"/>
        <v>184.77590649481621</v>
      </c>
      <c r="AQ333">
        <f t="shared" si="188"/>
        <v>121.82376660680545</v>
      </c>
      <c r="AR333">
        <f t="shared" si="189"/>
        <v>0</v>
      </c>
      <c r="AS333" t="e">
        <f t="shared" si="179"/>
        <v>#DIV/0!</v>
      </c>
      <c r="AT333" t="e">
        <f t="shared" si="180"/>
        <v>#DIV/0!</v>
      </c>
      <c r="AU333" t="b">
        <f t="shared" si="190"/>
        <v>0</v>
      </c>
      <c r="AV333">
        <f t="shared" si="181"/>
        <v>25000</v>
      </c>
    </row>
    <row r="334" spans="1:48" x14ac:dyDescent="0.25">
      <c r="A334">
        <f t="shared" si="160"/>
        <v>33.200000000000202</v>
      </c>
      <c r="B334">
        <f t="shared" si="182"/>
        <v>0.1</v>
      </c>
      <c r="C334">
        <f>sim!C333+(sim!$G333*$B334*COS($E334))</f>
        <v>101.62674857320866</v>
      </c>
      <c r="D334">
        <f>sim!D333+(sim!$G333*$B334*SIN($E334))</f>
        <v>54.738717628274912</v>
      </c>
      <c r="E334">
        <f t="shared" si="161"/>
        <v>-6737.1454456231922</v>
      </c>
      <c r="F334">
        <f t="shared" si="168"/>
        <v>100.00000000216018</v>
      </c>
      <c r="G334">
        <v>100</v>
      </c>
      <c r="H334">
        <f t="shared" si="162"/>
        <v>-1.8851107644934902E-10</v>
      </c>
      <c r="I334">
        <f t="shared" si="169"/>
        <v>-1.0800889072015707E-8</v>
      </c>
      <c r="J334">
        <f t="shared" si="183"/>
        <v>0</v>
      </c>
      <c r="K334">
        <f t="shared" si="184"/>
        <v>0</v>
      </c>
      <c r="L334">
        <f t="shared" si="170"/>
        <v>0</v>
      </c>
      <c r="M334">
        <f t="shared" si="163"/>
        <v>-1.0800889072015707E-8</v>
      </c>
      <c r="N334">
        <f t="shared" si="171"/>
        <v>92.387953248552947</v>
      </c>
      <c r="O334">
        <f t="shared" si="172"/>
        <v>50.911883303520362</v>
      </c>
      <c r="P334">
        <f t="shared" si="164"/>
        <v>1.995744014493539E-9</v>
      </c>
      <c r="Q334">
        <f t="shared" si="165"/>
        <v>12.64354005597486</v>
      </c>
      <c r="R334">
        <f t="shared" si="173"/>
        <v>-0.38268343247545505</v>
      </c>
      <c r="S334">
        <f t="shared" si="174"/>
        <v>-0.92387953246557197</v>
      </c>
      <c r="U334">
        <f t="shared" si="191"/>
        <v>4</v>
      </c>
      <c r="V334" cm="1">
        <f t="array" ref="V334:AA334">INDEX(surface!$A$2:$I$40,U334+1,COLUMN(surface!$B$1:$G$1))</f>
        <v>0</v>
      </c>
      <c r="W334">
        <v>1000</v>
      </c>
      <c r="X334">
        <v>0</v>
      </c>
      <c r="Y334">
        <v>1</v>
      </c>
      <c r="Z334">
        <v>0</v>
      </c>
      <c r="AA334">
        <v>999</v>
      </c>
      <c r="AB334">
        <f t="shared" si="166"/>
        <v>184.77590649710589</v>
      </c>
      <c r="AC334">
        <f t="shared" si="167"/>
        <v>-898.17623339295926</v>
      </c>
      <c r="AD334">
        <f t="shared" si="175"/>
        <v>-922.95565293310642</v>
      </c>
      <c r="AE334">
        <f t="shared" si="176"/>
        <v>100.00000000216018</v>
      </c>
      <c r="AF334">
        <f t="shared" si="177"/>
        <v>0.98834480474960129</v>
      </c>
      <c r="AG334" t="b">
        <f t="shared" si="185"/>
        <v>1</v>
      </c>
      <c r="AH334">
        <f t="shared" si="178"/>
        <v>100.00000000216018</v>
      </c>
      <c r="AI334">
        <f t="shared" si="186"/>
        <v>5</v>
      </c>
      <c r="AJ334" cm="1">
        <f t="array" ref="AJ334:AO334">INDEX(surface!$A$2:$I$40,AI334+1,COLUMN(surface!$B$1:$G$1))</f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f t="shared" si="187"/>
        <v>184.77590649710589</v>
      </c>
      <c r="AQ334">
        <f t="shared" si="188"/>
        <v>101.82376660704072</v>
      </c>
      <c r="AR334">
        <f t="shared" si="189"/>
        <v>0</v>
      </c>
      <c r="AS334" t="e">
        <f t="shared" si="179"/>
        <v>#DIV/0!</v>
      </c>
      <c r="AT334" t="e">
        <f t="shared" si="180"/>
        <v>#DIV/0!</v>
      </c>
      <c r="AU334" t="b">
        <f t="shared" si="190"/>
        <v>0</v>
      </c>
      <c r="AV334">
        <f t="shared" si="181"/>
        <v>25000</v>
      </c>
    </row>
    <row r="335" spans="1:48" x14ac:dyDescent="0.25">
      <c r="A335">
        <f t="shared" si="160"/>
        <v>33.300000000000203</v>
      </c>
      <c r="B335">
        <f t="shared" si="182"/>
        <v>0.1</v>
      </c>
      <c r="C335">
        <f>sim!C334+(sim!$G334*$B335*COS($E335))</f>
        <v>101.62674857421122</v>
      </c>
      <c r="D335">
        <f>sim!D334+(sim!$G334*$B335*SIN($E335))</f>
        <v>44.738717628274912</v>
      </c>
      <c r="E335">
        <f t="shared" si="161"/>
        <v>-6737.1454456232113</v>
      </c>
      <c r="F335">
        <f t="shared" si="168"/>
        <v>100.00000000237509</v>
      </c>
      <c r="G335">
        <v>100</v>
      </c>
      <c r="H335">
        <f t="shared" si="162"/>
        <v>-2.0726557788770798E-10</v>
      </c>
      <c r="I335">
        <f t="shared" si="169"/>
        <v>-1.1875442851305706E-8</v>
      </c>
      <c r="J335">
        <f t="shared" si="183"/>
        <v>0</v>
      </c>
      <c r="K335">
        <f t="shared" si="184"/>
        <v>0</v>
      </c>
      <c r="L335">
        <f t="shared" si="170"/>
        <v>0</v>
      </c>
      <c r="M335">
        <f t="shared" si="163"/>
        <v>-1.1875442851305706E-8</v>
      </c>
      <c r="N335">
        <f t="shared" si="171"/>
        <v>92.387953249482408</v>
      </c>
      <c r="O335">
        <f t="shared" si="172"/>
        <v>40.911883303696818</v>
      </c>
      <c r="P335">
        <f t="shared" si="164"/>
        <v>2.1943122874290566E-9</v>
      </c>
      <c r="Q335">
        <f t="shared" si="165"/>
        <v>2.6435400579158639</v>
      </c>
      <c r="R335">
        <f t="shared" si="173"/>
        <v>-0.38268343245780956</v>
      </c>
      <c r="S335">
        <f t="shared" si="174"/>
        <v>-0.92387953247288102</v>
      </c>
      <c r="U335">
        <f t="shared" si="191"/>
        <v>4</v>
      </c>
      <c r="V335" cm="1">
        <f t="array" ref="V335:AA335">INDEX(surface!$A$2:$I$40,U335+1,COLUMN(surface!$B$1:$G$1))</f>
        <v>0</v>
      </c>
      <c r="W335">
        <v>1000</v>
      </c>
      <c r="X335">
        <v>0</v>
      </c>
      <c r="Y335">
        <v>1</v>
      </c>
      <c r="Z335">
        <v>0</v>
      </c>
      <c r="AA335">
        <v>999</v>
      </c>
      <c r="AB335">
        <f t="shared" si="166"/>
        <v>184.77590649896482</v>
      </c>
      <c r="AC335">
        <f t="shared" si="167"/>
        <v>-918.17623339260638</v>
      </c>
      <c r="AD335">
        <f t="shared" si="175"/>
        <v>-922.95565294040819</v>
      </c>
      <c r="AE335">
        <f t="shared" si="176"/>
        <v>100.00000000237509</v>
      </c>
      <c r="AF335">
        <f t="shared" si="177"/>
        <v>0.99835481475775079</v>
      </c>
      <c r="AG335" t="b">
        <f t="shared" si="185"/>
        <v>1</v>
      </c>
      <c r="AH335">
        <f t="shared" si="178"/>
        <v>100.00000000237509</v>
      </c>
      <c r="AI335">
        <f t="shared" si="186"/>
        <v>5</v>
      </c>
      <c r="AJ335" cm="1">
        <f t="array" ref="AJ335:AO335">INDEX(surface!$A$2:$I$40,AI335+1,COLUMN(surface!$B$1:$G$1))</f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f t="shared" si="187"/>
        <v>184.77590649896482</v>
      </c>
      <c r="AQ335">
        <f t="shared" si="188"/>
        <v>81.823766607393637</v>
      </c>
      <c r="AR335">
        <f t="shared" si="189"/>
        <v>0</v>
      </c>
      <c r="AS335" t="e">
        <f t="shared" si="179"/>
        <v>#DIV/0!</v>
      </c>
      <c r="AT335" t="e">
        <f t="shared" si="180"/>
        <v>#DIV/0!</v>
      </c>
      <c r="AU335" t="b">
        <f t="shared" si="190"/>
        <v>0</v>
      </c>
      <c r="AV335">
        <f t="shared" si="181"/>
        <v>25000</v>
      </c>
    </row>
    <row r="336" spans="1:48" x14ac:dyDescent="0.25">
      <c r="A336">
        <f t="shared" si="160"/>
        <v>33.400000000000205</v>
      </c>
      <c r="B336">
        <f t="shared" si="182"/>
        <v>0.1</v>
      </c>
      <c r="C336">
        <f>sim!C335+(sim!$G335*$B336*COS($E336))</f>
        <v>101.6267485750046</v>
      </c>
      <c r="D336">
        <f>sim!D335+(sim!$G335*$B336*SIN($E336))</f>
        <v>34.738717628274912</v>
      </c>
      <c r="E336">
        <f t="shared" si="161"/>
        <v>-6737.1454456232323</v>
      </c>
      <c r="F336">
        <f t="shared" si="168"/>
        <v>25000</v>
      </c>
      <c r="G336">
        <v>100</v>
      </c>
      <c r="H336">
        <f t="shared" si="162"/>
        <v>-2172.9349187329403</v>
      </c>
      <c r="I336">
        <f t="shared" si="169"/>
        <v>-124500</v>
      </c>
      <c r="J336">
        <f t="shared" si="183"/>
        <v>0</v>
      </c>
      <c r="K336">
        <f t="shared" si="184"/>
        <v>0</v>
      </c>
      <c r="L336">
        <f t="shared" si="170"/>
        <v>0</v>
      </c>
      <c r="M336">
        <f t="shared" si="163"/>
        <v>-124500</v>
      </c>
      <c r="N336">
        <f t="shared" si="171"/>
        <v>92.387953250195736</v>
      </c>
      <c r="O336">
        <f t="shared" si="172"/>
        <v>30.911883303890079</v>
      </c>
      <c r="P336">
        <f t="shared" si="164"/>
        <v>2.1071286937512923E-9</v>
      </c>
      <c r="Q336">
        <f t="shared" si="165"/>
        <v>-7.3564599399582704</v>
      </c>
      <c r="R336">
        <f t="shared" si="173"/>
        <v>-0.38268343243848346</v>
      </c>
      <c r="S336">
        <f t="shared" si="174"/>
        <v>-0.92387953248088606</v>
      </c>
      <c r="U336">
        <f t="shared" si="191"/>
        <v>4</v>
      </c>
      <c r="V336" cm="1">
        <f t="array" ref="V336:AA336">INDEX(surface!$A$2:$I$40,U336+1,COLUMN(surface!$B$1:$G$1))</f>
        <v>0</v>
      </c>
      <c r="W336">
        <v>1000</v>
      </c>
      <c r="X336">
        <v>0</v>
      </c>
      <c r="Y336">
        <v>1</v>
      </c>
      <c r="Z336">
        <v>0</v>
      </c>
      <c r="AA336">
        <v>999</v>
      </c>
      <c r="AB336">
        <f t="shared" si="166"/>
        <v>184.77590650039147</v>
      </c>
      <c r="AC336">
        <f t="shared" si="167"/>
        <v>-938.17623339221984</v>
      </c>
      <c r="AD336">
        <f t="shared" si="175"/>
        <v>-922.95565294840515</v>
      </c>
      <c r="AE336">
        <f t="shared" si="176"/>
        <v>100.00000000228074</v>
      </c>
      <c r="AF336">
        <f t="shared" si="177"/>
        <v>1.0083648247655967</v>
      </c>
      <c r="AG336" t="b">
        <f t="shared" si="185"/>
        <v>0</v>
      </c>
      <c r="AH336">
        <f t="shared" si="178"/>
        <v>25000</v>
      </c>
      <c r="AI336">
        <f t="shared" si="186"/>
        <v>5</v>
      </c>
      <c r="AJ336" cm="1">
        <f t="array" ref="AJ336:AO336">INDEX(surface!$A$2:$I$40,AI336+1,COLUMN(surface!$B$1:$G$1))</f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f t="shared" si="187"/>
        <v>184.77590650039147</v>
      </c>
      <c r="AQ336">
        <f t="shared" si="188"/>
        <v>61.823766607780158</v>
      </c>
      <c r="AR336">
        <f t="shared" si="189"/>
        <v>0</v>
      </c>
      <c r="AS336" t="e">
        <f t="shared" si="179"/>
        <v>#DIV/0!</v>
      </c>
      <c r="AT336" t="e">
        <f t="shared" si="180"/>
        <v>#DIV/0!</v>
      </c>
      <c r="AU336" t="b">
        <f t="shared" si="190"/>
        <v>0</v>
      </c>
      <c r="AV336">
        <f t="shared" si="181"/>
        <v>25000</v>
      </c>
    </row>
    <row r="337" spans="1:48" x14ac:dyDescent="0.25">
      <c r="A337">
        <f t="shared" si="160"/>
        <v>33.500000000000206</v>
      </c>
      <c r="B337">
        <f t="shared" si="182"/>
        <v>0.1</v>
      </c>
      <c r="C337">
        <f>sim!C336+(sim!$G336*$B337*COS($E337))</f>
        <v>106.62674857432107</v>
      </c>
      <c r="D337">
        <f>sim!D336+(sim!$G336*$B337*SIN($E337))</f>
        <v>43.398971666513937</v>
      </c>
      <c r="E337">
        <f t="shared" si="161"/>
        <v>-6954.4389374965267</v>
      </c>
      <c r="F337">
        <f t="shared" si="168"/>
        <v>25000</v>
      </c>
      <c r="G337">
        <v>100</v>
      </c>
      <c r="H337">
        <f t="shared" si="162"/>
        <v>-2172.9349187329403</v>
      </c>
      <c r="I337">
        <f t="shared" si="169"/>
        <v>-124500</v>
      </c>
      <c r="J337">
        <f t="shared" si="183"/>
        <v>0</v>
      </c>
      <c r="K337">
        <f t="shared" si="184"/>
        <v>0</v>
      </c>
      <c r="L337">
        <f t="shared" si="170"/>
        <v>0</v>
      </c>
      <c r="M337">
        <f t="shared" si="163"/>
        <v>-124500</v>
      </c>
      <c r="N337">
        <f t="shared" si="171"/>
        <v>116.54119718816233</v>
      </c>
      <c r="O337">
        <f t="shared" si="172"/>
        <v>42.093709745096966</v>
      </c>
      <c r="P337">
        <f t="shared" si="164"/>
        <v>215.68568332657492</v>
      </c>
      <c r="Q337">
        <f t="shared" si="165"/>
        <v>29.041090530927256</v>
      </c>
      <c r="R337">
        <f t="shared" si="173"/>
        <v>-0.13052619214169708</v>
      </c>
      <c r="S337">
        <f t="shared" si="174"/>
        <v>0.99144486138412602</v>
      </c>
      <c r="U337">
        <f t="shared" si="191"/>
        <v>4</v>
      </c>
      <c r="V337" cm="1">
        <f t="array" ref="V337:AA337">INDEX(surface!$A$2:$I$40,U337+1,COLUMN(surface!$B$1:$G$1))</f>
        <v>0</v>
      </c>
      <c r="W337">
        <v>1000</v>
      </c>
      <c r="X337">
        <v>0</v>
      </c>
      <c r="Y337">
        <v>1</v>
      </c>
      <c r="Z337">
        <v>0</v>
      </c>
      <c r="AA337">
        <v>999</v>
      </c>
      <c r="AB337">
        <f t="shared" si="166"/>
        <v>233.08239437632466</v>
      </c>
      <c r="AC337">
        <f t="shared" si="167"/>
        <v>-915.81258050980603</v>
      </c>
      <c r="AD337">
        <f t="shared" si="175"/>
        <v>990.45341652274192</v>
      </c>
      <c r="AE337">
        <f t="shared" si="176"/>
        <v>-117.54682658343975</v>
      </c>
      <c r="AF337">
        <f t="shared" si="177"/>
        <v>0.94350685744006624</v>
      </c>
      <c r="AG337" t="b">
        <f t="shared" si="185"/>
        <v>0</v>
      </c>
      <c r="AH337">
        <f t="shared" si="178"/>
        <v>25000</v>
      </c>
      <c r="AI337">
        <f t="shared" si="186"/>
        <v>5</v>
      </c>
      <c r="AJ337" cm="1">
        <f t="array" ref="AJ337:AO337">INDEX(surface!$A$2:$I$40,AI337+1,COLUMN(surface!$B$1:$G$1))</f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f t="shared" si="187"/>
        <v>233.08239437632466</v>
      </c>
      <c r="AQ337">
        <f t="shared" si="188"/>
        <v>84.187419490193932</v>
      </c>
      <c r="AR337">
        <f t="shared" si="189"/>
        <v>0</v>
      </c>
      <c r="AS337" t="e">
        <f t="shared" si="179"/>
        <v>#DIV/0!</v>
      </c>
      <c r="AT337" t="e">
        <f t="shared" si="180"/>
        <v>#DIV/0!</v>
      </c>
      <c r="AU337" t="b">
        <f t="shared" si="190"/>
        <v>0</v>
      </c>
      <c r="AV337">
        <f t="shared" si="181"/>
        <v>25000</v>
      </c>
    </row>
    <row r="338" spans="1:48" x14ac:dyDescent="0.25">
      <c r="A338">
        <f t="shared" si="160"/>
        <v>33.600000000000207</v>
      </c>
      <c r="B338">
        <f t="shared" si="182"/>
        <v>0.1</v>
      </c>
      <c r="C338">
        <f>sim!C337+(sim!$G337*$B338*COS($E338))</f>
        <v>97.966494536869263</v>
      </c>
      <c r="D338">
        <f>sim!D337+(sim!$G337*$B338*SIN($E338))</f>
        <v>38.398971665833962</v>
      </c>
      <c r="E338">
        <f t="shared" si="161"/>
        <v>-7171.7324293698211</v>
      </c>
      <c r="F338">
        <f t="shared" si="168"/>
        <v>113.48406385356148</v>
      </c>
      <c r="G338">
        <v>100</v>
      </c>
      <c r="H338">
        <f t="shared" si="162"/>
        <v>-1.1767065539690118</v>
      </c>
      <c r="I338">
        <f t="shared" si="169"/>
        <v>-67.4203192678074</v>
      </c>
      <c r="J338">
        <f t="shared" si="183"/>
        <v>0</v>
      </c>
      <c r="K338">
        <f t="shared" si="184"/>
        <v>0</v>
      </c>
      <c r="L338">
        <f t="shared" si="170"/>
        <v>0</v>
      </c>
      <c r="M338">
        <f t="shared" si="163"/>
        <v>-67.4203192678074</v>
      </c>
      <c r="N338">
        <f t="shared" si="171"/>
        <v>90.032961133478295</v>
      </c>
      <c r="O338">
        <f t="shared" si="172"/>
        <v>44.486585955297429</v>
      </c>
      <c r="P338">
        <f t="shared" si="164"/>
        <v>10.697627099568663</v>
      </c>
      <c r="Q338">
        <f t="shared" si="165"/>
        <v>105.36272884993213</v>
      </c>
      <c r="R338">
        <f t="shared" si="173"/>
        <v>0.60876142894634688</v>
      </c>
      <c r="S338">
        <f t="shared" si="174"/>
        <v>-0.79335334033909632</v>
      </c>
      <c r="U338">
        <f t="shared" si="191"/>
        <v>4</v>
      </c>
      <c r="V338" cm="1">
        <f t="array" ref="V338:AA338">INDEX(surface!$A$2:$I$40,U338+1,COLUMN(surface!$B$1:$G$1))</f>
        <v>0</v>
      </c>
      <c r="W338">
        <v>1000</v>
      </c>
      <c r="X338">
        <v>0</v>
      </c>
      <c r="Y338">
        <v>1</v>
      </c>
      <c r="Z338">
        <v>0</v>
      </c>
      <c r="AA338">
        <v>999</v>
      </c>
      <c r="AB338">
        <f t="shared" si="166"/>
        <v>180.06592226695659</v>
      </c>
      <c r="AC338">
        <f t="shared" si="167"/>
        <v>-911.02682808940517</v>
      </c>
      <c r="AD338">
        <f t="shared" si="175"/>
        <v>-792.55998699875727</v>
      </c>
      <c r="AE338">
        <f t="shared" si="176"/>
        <v>113.48406385356148</v>
      </c>
      <c r="AF338">
        <f t="shared" si="177"/>
        <v>0.88731600917974984</v>
      </c>
      <c r="AG338" t="b">
        <f t="shared" si="185"/>
        <v>1</v>
      </c>
      <c r="AH338">
        <f t="shared" si="178"/>
        <v>113.48406385356148</v>
      </c>
      <c r="AI338">
        <f t="shared" si="186"/>
        <v>5</v>
      </c>
      <c r="AJ338" cm="1">
        <f t="array" ref="AJ338:AO338">INDEX(surface!$A$2:$I$40,AI338+1,COLUMN(surface!$B$1:$G$1))</f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f t="shared" si="187"/>
        <v>180.06592226695659</v>
      </c>
      <c r="AQ338">
        <f t="shared" si="188"/>
        <v>88.973171910594857</v>
      </c>
      <c r="AR338">
        <f t="shared" si="189"/>
        <v>0</v>
      </c>
      <c r="AS338" t="e">
        <f t="shared" si="179"/>
        <v>#DIV/0!</v>
      </c>
      <c r="AT338" t="e">
        <f t="shared" si="180"/>
        <v>#DIV/0!</v>
      </c>
      <c r="AU338" t="b">
        <f t="shared" si="190"/>
        <v>0</v>
      </c>
      <c r="AV338">
        <f t="shared" si="181"/>
        <v>25000</v>
      </c>
    </row>
    <row r="339" spans="1:48" x14ac:dyDescent="0.25">
      <c r="A339">
        <f t="shared" si="160"/>
        <v>33.700000000000209</v>
      </c>
      <c r="B339">
        <f t="shared" si="182"/>
        <v>0.1</v>
      </c>
      <c r="C339">
        <f>sim!C338+(sim!$G338*$B339*COS($E339))</f>
        <v>88.779131491314928</v>
      </c>
      <c r="D339">
        <f>sim!D338+(sim!$G338*$B339*SIN($E339))</f>
        <v>34.450255384663244</v>
      </c>
      <c r="E339">
        <f t="shared" si="161"/>
        <v>-7171.8501000252181</v>
      </c>
      <c r="F339">
        <f t="shared" si="168"/>
        <v>113.9241459866715</v>
      </c>
      <c r="G339">
        <v>100</v>
      </c>
      <c r="H339">
        <f t="shared" si="162"/>
        <v>-1.2151109649788612</v>
      </c>
      <c r="I339">
        <f t="shared" si="169"/>
        <v>-69.620729933357524</v>
      </c>
      <c r="J339">
        <f t="shared" si="183"/>
        <v>0</v>
      </c>
      <c r="K339">
        <f t="shared" si="184"/>
        <v>0</v>
      </c>
      <c r="L339">
        <f t="shared" si="170"/>
        <v>0</v>
      </c>
      <c r="M339">
        <f t="shared" si="163"/>
        <v>-69.620729933357524</v>
      </c>
      <c r="N339">
        <f t="shared" si="171"/>
        <v>81.615141714789587</v>
      </c>
      <c r="O339">
        <f t="shared" si="172"/>
        <v>41.427163760286383</v>
      </c>
      <c r="P339">
        <f t="shared" si="164"/>
        <v>9.9752439495361216</v>
      </c>
      <c r="Q339">
        <f t="shared" si="165"/>
        <v>111.19624751651779</v>
      </c>
      <c r="R339">
        <f t="shared" si="173"/>
        <v>0.69769083756231398</v>
      </c>
      <c r="S339">
        <f t="shared" si="174"/>
        <v>-0.71639897765253469</v>
      </c>
      <c r="U339">
        <f t="shared" si="191"/>
        <v>4</v>
      </c>
      <c r="V339" cm="1">
        <f t="array" ref="V339:AA339">INDEX(surface!$A$2:$I$40,U339+1,COLUMN(surface!$B$1:$G$1))</f>
        <v>0</v>
      </c>
      <c r="W339">
        <v>1000</v>
      </c>
      <c r="X339">
        <v>0</v>
      </c>
      <c r="Y339">
        <v>1</v>
      </c>
      <c r="Z339">
        <v>0</v>
      </c>
      <c r="AA339">
        <v>999</v>
      </c>
      <c r="AB339">
        <f t="shared" si="166"/>
        <v>163.23028342957917</v>
      </c>
      <c r="AC339">
        <f t="shared" si="167"/>
        <v>-917.14567247942728</v>
      </c>
      <c r="AD339">
        <f t="shared" si="175"/>
        <v>-715.68257867488217</v>
      </c>
      <c r="AE339">
        <f t="shared" si="176"/>
        <v>113.9241459866715</v>
      </c>
      <c r="AF339">
        <f t="shared" si="177"/>
        <v>0.87996897238008143</v>
      </c>
      <c r="AG339" t="b">
        <f t="shared" si="185"/>
        <v>1</v>
      </c>
      <c r="AH339">
        <f t="shared" si="178"/>
        <v>113.9241459866715</v>
      </c>
      <c r="AI339">
        <f t="shared" si="186"/>
        <v>5</v>
      </c>
      <c r="AJ339" cm="1">
        <f t="array" ref="AJ339:AO339">INDEX(surface!$A$2:$I$40,AI339+1,COLUMN(surface!$B$1:$G$1))</f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f t="shared" si="187"/>
        <v>163.23028342957917</v>
      </c>
      <c r="AQ339">
        <f t="shared" si="188"/>
        <v>82.854327520572767</v>
      </c>
      <c r="AR339">
        <f t="shared" si="189"/>
        <v>0</v>
      </c>
      <c r="AS339" t="e">
        <f t="shared" si="179"/>
        <v>#DIV/0!</v>
      </c>
      <c r="AT339" t="e">
        <f t="shared" si="180"/>
        <v>#DIV/0!</v>
      </c>
      <c r="AU339" t="b">
        <f t="shared" si="190"/>
        <v>0</v>
      </c>
      <c r="AV339">
        <f t="shared" si="181"/>
        <v>25000</v>
      </c>
    </row>
    <row r="340" spans="1:48" x14ac:dyDescent="0.25">
      <c r="A340">
        <f t="shared" si="160"/>
        <v>33.80000000000021</v>
      </c>
      <c r="B340">
        <f t="shared" si="182"/>
        <v>0.1</v>
      </c>
      <c r="C340">
        <f>sim!C339+(sim!$G339*$B340*COS($E340))</f>
        <v>79.180877514517135</v>
      </c>
      <c r="D340">
        <f>sim!D339+(sim!$G339*$B340*SIN($E340))</f>
        <v>31.644275948372684</v>
      </c>
      <c r="E340">
        <f t="shared" si="161"/>
        <v>-7171.9716111217158</v>
      </c>
      <c r="F340">
        <f t="shared" si="168"/>
        <v>116.37640008355025</v>
      </c>
      <c r="G340">
        <v>100</v>
      </c>
      <c r="H340">
        <f t="shared" si="162"/>
        <v>-1.4291105054091318</v>
      </c>
      <c r="I340">
        <f t="shared" si="169"/>
        <v>-81.882000417751257</v>
      </c>
      <c r="J340">
        <f t="shared" si="183"/>
        <v>0</v>
      </c>
      <c r="K340">
        <f t="shared" si="184"/>
        <v>0</v>
      </c>
      <c r="L340">
        <f t="shared" si="170"/>
        <v>0</v>
      </c>
      <c r="M340">
        <f t="shared" si="163"/>
        <v>-81.882000417751257</v>
      </c>
      <c r="N340">
        <f t="shared" si="171"/>
        <v>72.915397768127079</v>
      </c>
      <c r="O340">
        <f t="shared" si="172"/>
        <v>39.438104503555039</v>
      </c>
      <c r="P340">
        <f t="shared" si="164"/>
        <v>10.260600304226465</v>
      </c>
      <c r="Q340">
        <f t="shared" si="165"/>
        <v>117.37639005537862</v>
      </c>
      <c r="R340">
        <f t="shared" si="173"/>
        <v>0.77938285551823583</v>
      </c>
      <c r="S340">
        <f t="shared" si="174"/>
        <v>-0.62654797463900613</v>
      </c>
      <c r="U340">
        <f t="shared" si="191"/>
        <v>4</v>
      </c>
      <c r="V340" cm="1">
        <f t="array" ref="V340:AA340">INDEX(surface!$A$2:$I$40,U340+1,COLUMN(surface!$B$1:$G$1))</f>
        <v>0</v>
      </c>
      <c r="W340">
        <v>1000</v>
      </c>
      <c r="X340">
        <v>0</v>
      </c>
      <c r="Y340">
        <v>1</v>
      </c>
      <c r="Z340">
        <v>0</v>
      </c>
      <c r="AA340">
        <v>999</v>
      </c>
      <c r="AB340">
        <f t="shared" si="166"/>
        <v>145.83079553625416</v>
      </c>
      <c r="AC340">
        <f t="shared" si="167"/>
        <v>-921.12379099288989</v>
      </c>
      <c r="AD340">
        <f t="shared" si="175"/>
        <v>-625.92142666436712</v>
      </c>
      <c r="AE340">
        <f t="shared" si="176"/>
        <v>116.37640008355025</v>
      </c>
      <c r="AF340">
        <f t="shared" si="177"/>
        <v>0.8707308553397346</v>
      </c>
      <c r="AG340" t="b">
        <f t="shared" si="185"/>
        <v>1</v>
      </c>
      <c r="AH340">
        <f t="shared" si="178"/>
        <v>116.37640008355025</v>
      </c>
      <c r="AI340">
        <f t="shared" si="186"/>
        <v>5</v>
      </c>
      <c r="AJ340" cm="1">
        <f t="array" ref="AJ340:AO340">INDEX(surface!$A$2:$I$40,AI340+1,COLUMN(surface!$B$1:$G$1))</f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f t="shared" si="187"/>
        <v>145.83079553625416</v>
      </c>
      <c r="AQ340">
        <f t="shared" si="188"/>
        <v>78.876209007110077</v>
      </c>
      <c r="AR340">
        <f t="shared" si="189"/>
        <v>0</v>
      </c>
      <c r="AS340" t="e">
        <f t="shared" si="179"/>
        <v>#DIV/0!</v>
      </c>
      <c r="AT340" t="e">
        <f t="shared" si="180"/>
        <v>#DIV/0!</v>
      </c>
      <c r="AU340" t="b">
        <f t="shared" si="190"/>
        <v>0</v>
      </c>
      <c r="AV340">
        <f t="shared" si="181"/>
        <v>25000</v>
      </c>
    </row>
    <row r="341" spans="1:48" x14ac:dyDescent="0.25">
      <c r="A341">
        <f t="shared" si="160"/>
        <v>33.900000000000212</v>
      </c>
      <c r="B341">
        <f t="shared" si="182"/>
        <v>0.1</v>
      </c>
      <c r="C341">
        <f>sim!C340+(sim!$G340*$B341*COS($E341))</f>
        <v>69.280830262389983</v>
      </c>
      <c r="D341">
        <f>sim!D340+(sim!$G340*$B341*SIN($E341))</f>
        <v>30.23393400201725</v>
      </c>
      <c r="E341">
        <f t="shared" si="161"/>
        <v>-7172.1145221722563</v>
      </c>
      <c r="F341">
        <f t="shared" si="168"/>
        <v>126.06967716159681</v>
      </c>
      <c r="G341">
        <v>100</v>
      </c>
      <c r="H341">
        <f t="shared" si="162"/>
        <v>-2.2750085070091712</v>
      </c>
      <c r="I341">
        <f t="shared" si="169"/>
        <v>-130.34838580798407</v>
      </c>
      <c r="J341">
        <f t="shared" si="183"/>
        <v>0</v>
      </c>
      <c r="K341">
        <f t="shared" si="184"/>
        <v>0</v>
      </c>
      <c r="L341">
        <f t="shared" si="170"/>
        <v>0</v>
      </c>
      <c r="M341">
        <f t="shared" si="163"/>
        <v>-130.34838580798407</v>
      </c>
      <c r="N341">
        <f t="shared" si="171"/>
        <v>64.189260141288585</v>
      </c>
      <c r="O341">
        <f t="shared" si="172"/>
        <v>38.840670532311847</v>
      </c>
      <c r="P341">
        <f t="shared" si="164"/>
        <v>13.273558930274589</v>
      </c>
      <c r="Q341">
        <f t="shared" si="165"/>
        <v>124.90803583525781</v>
      </c>
      <c r="R341">
        <f t="shared" si="173"/>
        <v>0.86067365302945964</v>
      </c>
      <c r="S341">
        <f t="shared" si="174"/>
        <v>-0.50915701211013997</v>
      </c>
      <c r="U341">
        <f t="shared" si="191"/>
        <v>4</v>
      </c>
      <c r="V341" cm="1">
        <f t="array" ref="V341:AA341">INDEX(surface!$A$2:$I$40,U341+1,COLUMN(surface!$B$1:$G$1))</f>
        <v>0</v>
      </c>
      <c r="W341">
        <v>1000</v>
      </c>
      <c r="X341">
        <v>0</v>
      </c>
      <c r="Y341">
        <v>1</v>
      </c>
      <c r="Z341">
        <v>0</v>
      </c>
      <c r="AA341">
        <v>999</v>
      </c>
      <c r="AB341">
        <f t="shared" si="166"/>
        <v>128.37852028257717</v>
      </c>
      <c r="AC341">
        <f t="shared" si="167"/>
        <v>-922.31865893537633</v>
      </c>
      <c r="AD341">
        <f t="shared" si="175"/>
        <v>-508.64785509802982</v>
      </c>
      <c r="AE341">
        <f t="shared" si="176"/>
        <v>126.06967716159681</v>
      </c>
      <c r="AF341">
        <f t="shared" si="177"/>
        <v>0.85350798787664872</v>
      </c>
      <c r="AG341" t="b">
        <f t="shared" si="185"/>
        <v>1</v>
      </c>
      <c r="AH341">
        <f t="shared" si="178"/>
        <v>126.06967716159681</v>
      </c>
      <c r="AI341">
        <f t="shared" si="186"/>
        <v>5</v>
      </c>
      <c r="AJ341" cm="1">
        <f t="array" ref="AJ341:AO341">INDEX(surface!$A$2:$I$40,AI341+1,COLUMN(surface!$B$1:$G$1))</f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f t="shared" si="187"/>
        <v>128.37852028257717</v>
      </c>
      <c r="AQ341">
        <f t="shared" si="188"/>
        <v>77.681341064623695</v>
      </c>
      <c r="AR341">
        <f t="shared" si="189"/>
        <v>0</v>
      </c>
      <c r="AS341" t="e">
        <f t="shared" si="179"/>
        <v>#DIV/0!</v>
      </c>
      <c r="AT341" t="e">
        <f t="shared" si="180"/>
        <v>#DIV/0!</v>
      </c>
      <c r="AU341" t="b">
        <f t="shared" si="190"/>
        <v>0</v>
      </c>
      <c r="AV341">
        <f t="shared" si="181"/>
        <v>25000</v>
      </c>
    </row>
    <row r="342" spans="1:48" x14ac:dyDescent="0.25">
      <c r="A342">
        <f t="shared" si="160"/>
        <v>34.000000000000213</v>
      </c>
      <c r="B342">
        <f t="shared" si="182"/>
        <v>0.1</v>
      </c>
      <c r="C342">
        <f>sim!C341+(sim!$G341*$B342*COS($E342))</f>
        <v>59.317783076175949</v>
      </c>
      <c r="D342">
        <f>sim!D341+(sim!$G341*$B342*SIN($E342))</f>
        <v>31.092823264537511</v>
      </c>
      <c r="E342">
        <f t="shared" si="161"/>
        <v>-7172.3420230229576</v>
      </c>
      <c r="F342">
        <f t="shared" si="168"/>
        <v>186.46965871597521</v>
      </c>
      <c r="G342">
        <v>100</v>
      </c>
      <c r="H342">
        <f t="shared" si="162"/>
        <v>-7.5459012383478994</v>
      </c>
      <c r="I342">
        <f t="shared" si="169"/>
        <v>-432.3482935798761</v>
      </c>
      <c r="J342">
        <f t="shared" si="183"/>
        <v>0</v>
      </c>
      <c r="K342">
        <f t="shared" si="184"/>
        <v>0</v>
      </c>
      <c r="L342">
        <f t="shared" si="170"/>
        <v>0</v>
      </c>
      <c r="M342">
        <f t="shared" si="163"/>
        <v>-432.3482935798761</v>
      </c>
      <c r="N342">
        <f t="shared" si="171"/>
        <v>56.298600192475405</v>
      </c>
      <c r="O342">
        <f t="shared" si="172"/>
        <v>40.626161332327285</v>
      </c>
      <c r="P342">
        <f t="shared" si="164"/>
        <v>26.106771355469981</v>
      </c>
      <c r="Q342">
        <f t="shared" si="165"/>
        <v>135.95954201022505</v>
      </c>
      <c r="R342">
        <f t="shared" si="173"/>
        <v>0.9533338067789775</v>
      </c>
      <c r="S342">
        <f t="shared" si="174"/>
        <v>-0.30191828837005424</v>
      </c>
      <c r="U342">
        <f t="shared" si="191"/>
        <v>4</v>
      </c>
      <c r="V342" cm="1">
        <f t="array" ref="V342:AA342">INDEX(surface!$A$2:$I$40,U342+1,COLUMN(surface!$B$1:$G$1))</f>
        <v>0</v>
      </c>
      <c r="W342">
        <v>1000</v>
      </c>
      <c r="X342">
        <v>0</v>
      </c>
      <c r="Y342">
        <v>1</v>
      </c>
      <c r="Z342">
        <v>0</v>
      </c>
      <c r="AA342">
        <v>999</v>
      </c>
      <c r="AB342">
        <f t="shared" si="166"/>
        <v>112.59720038495081</v>
      </c>
      <c r="AC342">
        <f t="shared" si="167"/>
        <v>-918.74767733534543</v>
      </c>
      <c r="AD342">
        <f t="shared" si="175"/>
        <v>-301.61637008168418</v>
      </c>
      <c r="AE342">
        <f t="shared" si="176"/>
        <v>186.46965871597521</v>
      </c>
      <c r="AF342">
        <f t="shared" si="177"/>
        <v>0.78238839747266808</v>
      </c>
      <c r="AG342" t="b">
        <f t="shared" si="185"/>
        <v>1</v>
      </c>
      <c r="AH342">
        <f t="shared" si="178"/>
        <v>186.46965871597521</v>
      </c>
      <c r="AI342">
        <f t="shared" si="186"/>
        <v>5</v>
      </c>
      <c r="AJ342" cm="1">
        <f t="array" ref="AJ342:AO342">INDEX(surface!$A$2:$I$40,AI342+1,COLUMN(surface!$B$1:$G$1))</f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f t="shared" si="187"/>
        <v>112.59720038495081</v>
      </c>
      <c r="AQ342">
        <f t="shared" si="188"/>
        <v>81.252322664654571</v>
      </c>
      <c r="AR342">
        <f t="shared" si="189"/>
        <v>0</v>
      </c>
      <c r="AS342" t="e">
        <f t="shared" si="179"/>
        <v>#DIV/0!</v>
      </c>
      <c r="AT342" t="e">
        <f t="shared" si="180"/>
        <v>#DIV/0!</v>
      </c>
      <c r="AU342" t="b">
        <f t="shared" si="190"/>
        <v>0</v>
      </c>
      <c r="AV342">
        <f t="shared" si="181"/>
        <v>25000</v>
      </c>
    </row>
    <row r="343" spans="1:48" x14ac:dyDescent="0.25">
      <c r="A343">
        <f t="shared" si="160"/>
        <v>34.100000000000215</v>
      </c>
      <c r="B343">
        <f t="shared" si="182"/>
        <v>0.1</v>
      </c>
      <c r="C343">
        <f>sim!C342+(sim!$G342*$B343*COS($E343))</f>
        <v>52.647512131520664</v>
      </c>
      <c r="D343">
        <f>sim!D342+(sim!$G342*$B343*SIN($E343))</f>
        <v>38.543157856009728</v>
      </c>
      <c r="E343">
        <f t="shared" si="161"/>
        <v>-7173.0966131467922</v>
      </c>
      <c r="F343">
        <f t="shared" si="168"/>
        <v>25000</v>
      </c>
      <c r="G343">
        <v>100</v>
      </c>
      <c r="H343">
        <f t="shared" si="162"/>
        <v>-2172.9349187329403</v>
      </c>
      <c r="I343">
        <f t="shared" si="169"/>
        <v>-124500</v>
      </c>
      <c r="J343">
        <f t="shared" si="183"/>
        <v>0</v>
      </c>
      <c r="K343">
        <f t="shared" si="184"/>
        <v>0</v>
      </c>
      <c r="L343">
        <f t="shared" si="170"/>
        <v>0</v>
      </c>
      <c r="M343">
        <f t="shared" si="163"/>
        <v>-124500</v>
      </c>
      <c r="N343">
        <f t="shared" si="171"/>
        <v>56.978121591035929</v>
      </c>
      <c r="O343">
        <f t="shared" si="172"/>
        <v>47.556804271814869</v>
      </c>
      <c r="P343">
        <f t="shared" si="164"/>
        <v>100.28421618618862</v>
      </c>
      <c r="Q343">
        <f t="shared" si="165"/>
        <v>137.69326842986629</v>
      </c>
      <c r="R343">
        <f t="shared" si="173"/>
        <v>0.9013646415805141</v>
      </c>
      <c r="S343">
        <f t="shared" si="174"/>
        <v>0.43306094595152694</v>
      </c>
      <c r="U343">
        <f t="shared" si="191"/>
        <v>4</v>
      </c>
      <c r="V343" cm="1">
        <f t="array" ref="V343:AA343">INDEX(surface!$A$2:$I$40,U343+1,COLUMN(surface!$B$1:$G$1))</f>
        <v>0</v>
      </c>
      <c r="W343">
        <v>1000</v>
      </c>
      <c r="X343">
        <v>0</v>
      </c>
      <c r="Y343">
        <v>1</v>
      </c>
      <c r="Z343">
        <v>0</v>
      </c>
      <c r="AA343">
        <v>999</v>
      </c>
      <c r="AB343">
        <f t="shared" si="166"/>
        <v>113.95624318207186</v>
      </c>
      <c r="AC343">
        <f t="shared" si="167"/>
        <v>-904.88639145637023</v>
      </c>
      <c r="AD343">
        <f t="shared" si="175"/>
        <v>432.62788500557542</v>
      </c>
      <c r="AE343">
        <f t="shared" si="176"/>
        <v>-131.57067642255961</v>
      </c>
      <c r="AF343">
        <f t="shared" si="177"/>
        <v>1.0721084597840953</v>
      </c>
      <c r="AG343" t="b">
        <f t="shared" si="185"/>
        <v>0</v>
      </c>
      <c r="AH343">
        <f t="shared" si="178"/>
        <v>25000</v>
      </c>
      <c r="AI343">
        <f t="shared" si="186"/>
        <v>5</v>
      </c>
      <c r="AJ343" cm="1">
        <f t="array" ref="AJ343:AO343">INDEX(surface!$A$2:$I$40,AI343+1,COLUMN(surface!$B$1:$G$1))</f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f t="shared" si="187"/>
        <v>113.95624318207186</v>
      </c>
      <c r="AQ343">
        <f t="shared" si="188"/>
        <v>95.113608543629738</v>
      </c>
      <c r="AR343">
        <f t="shared" si="189"/>
        <v>0</v>
      </c>
      <c r="AS343" t="e">
        <f t="shared" si="179"/>
        <v>#DIV/0!</v>
      </c>
      <c r="AT343" t="e">
        <f t="shared" si="180"/>
        <v>#DIV/0!</v>
      </c>
      <c r="AU343" t="b">
        <f t="shared" si="190"/>
        <v>0</v>
      </c>
      <c r="AV343">
        <f t="shared" si="181"/>
        <v>25000</v>
      </c>
    </row>
    <row r="344" spans="1:48" x14ac:dyDescent="0.25">
      <c r="A344">
        <f t="shared" si="160"/>
        <v>34.200000000000216</v>
      </c>
      <c r="B344">
        <f t="shared" si="182"/>
        <v>0.1</v>
      </c>
      <c r="C344">
        <f>sim!C343+(sim!$G343*$B344*COS($E344))</f>
        <v>54.698968923977247</v>
      </c>
      <c r="D344">
        <f>sim!D343+(sim!$G343*$B344*SIN($E344))</f>
        <v>28.755843360772346</v>
      </c>
      <c r="E344">
        <f t="shared" si="161"/>
        <v>-7390.3901050200866</v>
      </c>
      <c r="F344">
        <f t="shared" si="168"/>
        <v>25000</v>
      </c>
      <c r="G344">
        <v>100</v>
      </c>
      <c r="H344">
        <f t="shared" si="162"/>
        <v>-2172.9349187329403</v>
      </c>
      <c r="I344">
        <f t="shared" si="169"/>
        <v>-124500</v>
      </c>
      <c r="J344">
        <f t="shared" si="183"/>
        <v>0</v>
      </c>
      <c r="K344">
        <f t="shared" si="184"/>
        <v>0</v>
      </c>
      <c r="L344">
        <f t="shared" si="170"/>
        <v>0</v>
      </c>
      <c r="M344">
        <f t="shared" si="163"/>
        <v>-124500</v>
      </c>
      <c r="N344">
        <f t="shared" si="171"/>
        <v>46.441727910262941</v>
      </c>
      <c r="O344">
        <f t="shared" si="172"/>
        <v>23.115101313715563</v>
      </c>
      <c r="P344">
        <f t="shared" si="164"/>
        <v>-36.130682226880111</v>
      </c>
      <c r="Q344">
        <f t="shared" si="165"/>
        <v>-33.292319156852272</v>
      </c>
      <c r="R344">
        <f t="shared" si="173"/>
        <v>-0.56407420470567837</v>
      </c>
      <c r="S344">
        <f t="shared" si="174"/>
        <v>-0.82572410137143049</v>
      </c>
      <c r="U344">
        <f t="shared" si="191"/>
        <v>4</v>
      </c>
      <c r="V344" cm="1">
        <f t="array" ref="V344:AA344">INDEX(surface!$A$2:$I$40,U344+1,COLUMN(surface!$B$1:$G$1))</f>
        <v>0</v>
      </c>
      <c r="W344">
        <v>1000</v>
      </c>
      <c r="X344">
        <v>0</v>
      </c>
      <c r="Y344">
        <v>1</v>
      </c>
      <c r="Z344">
        <v>0</v>
      </c>
      <c r="AA344">
        <v>999</v>
      </c>
      <c r="AB344">
        <f t="shared" si="166"/>
        <v>92.883455820525882</v>
      </c>
      <c r="AC344">
        <f t="shared" si="167"/>
        <v>-953.76979737256886</v>
      </c>
      <c r="AD344">
        <f t="shared" si="175"/>
        <v>-824.89837727005909</v>
      </c>
      <c r="AE344">
        <f t="shared" si="176"/>
        <v>56.243638562963945</v>
      </c>
      <c r="AF344">
        <f t="shared" si="177"/>
        <v>1.0096201044829247</v>
      </c>
      <c r="AG344" t="b">
        <f t="shared" si="185"/>
        <v>0</v>
      </c>
      <c r="AH344">
        <f t="shared" si="178"/>
        <v>25000</v>
      </c>
      <c r="AI344">
        <f t="shared" si="186"/>
        <v>5</v>
      </c>
      <c r="AJ344" cm="1">
        <f t="array" ref="AJ344:AO344">INDEX(surface!$A$2:$I$40,AI344+1,COLUMN(surface!$B$1:$G$1))</f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f t="shared" si="187"/>
        <v>92.883455820525882</v>
      </c>
      <c r="AQ344">
        <f t="shared" si="188"/>
        <v>46.230202627431126</v>
      </c>
      <c r="AR344">
        <f t="shared" si="189"/>
        <v>0</v>
      </c>
      <c r="AS344" t="e">
        <f t="shared" si="179"/>
        <v>#DIV/0!</v>
      </c>
      <c r="AT344" t="e">
        <f t="shared" si="180"/>
        <v>#DIV/0!</v>
      </c>
      <c r="AU344" t="b">
        <f t="shared" si="190"/>
        <v>0</v>
      </c>
      <c r="AV344">
        <f t="shared" si="181"/>
        <v>25000</v>
      </c>
    </row>
    <row r="345" spans="1:48" x14ac:dyDescent="0.25">
      <c r="A345">
        <f t="shared" si="160"/>
        <v>34.300000000000217</v>
      </c>
      <c r="B345">
        <f t="shared" si="182"/>
        <v>0.1</v>
      </c>
      <c r="C345">
        <f>sim!C344+(sim!$G344*$B345*COS($E345))</f>
        <v>57.816012474566293</v>
      </c>
      <c r="D345">
        <f>sim!D344+(sim!$G344*$B345*SIN($E345))</f>
        <v>38.2576347447026</v>
      </c>
      <c r="E345">
        <f t="shared" si="161"/>
        <v>-7607.683596893381</v>
      </c>
      <c r="F345">
        <f t="shared" si="168"/>
        <v>25000</v>
      </c>
      <c r="G345">
        <v>100</v>
      </c>
      <c r="H345">
        <f t="shared" si="162"/>
        <v>-2172.9349187329403</v>
      </c>
      <c r="I345">
        <f t="shared" si="169"/>
        <v>-124500</v>
      </c>
      <c r="J345">
        <f t="shared" si="183"/>
        <v>0</v>
      </c>
      <c r="K345">
        <f t="shared" si="184"/>
        <v>0</v>
      </c>
      <c r="L345">
        <f t="shared" si="170"/>
        <v>0</v>
      </c>
      <c r="M345">
        <f t="shared" si="163"/>
        <v>-124500</v>
      </c>
      <c r="N345">
        <f t="shared" si="171"/>
        <v>67.787363981142349</v>
      </c>
      <c r="O345">
        <f t="shared" si="172"/>
        <v>39.014040146787572</v>
      </c>
      <c r="P345">
        <f t="shared" si="164"/>
        <v>167.50087904690295</v>
      </c>
      <c r="Q345">
        <f t="shared" si="165"/>
        <v>46.578094167637275</v>
      </c>
      <c r="R345">
        <f t="shared" si="173"/>
        <v>7.5640540208497017E-2</v>
      </c>
      <c r="S345">
        <f t="shared" si="174"/>
        <v>0.99713515065760605</v>
      </c>
      <c r="U345">
        <f t="shared" si="191"/>
        <v>4</v>
      </c>
      <c r="V345" cm="1">
        <f t="array" ref="V345:AA345">INDEX(surface!$A$2:$I$40,U345+1,COLUMN(surface!$B$1:$G$1))</f>
        <v>0</v>
      </c>
      <c r="W345">
        <v>1000</v>
      </c>
      <c r="X345">
        <v>0</v>
      </c>
      <c r="Y345">
        <v>1</v>
      </c>
      <c r="Z345">
        <v>0</v>
      </c>
      <c r="AA345">
        <v>999</v>
      </c>
      <c r="AB345">
        <f t="shared" si="166"/>
        <v>135.5747279622847</v>
      </c>
      <c r="AC345">
        <f t="shared" si="167"/>
        <v>-921.97191970642484</v>
      </c>
      <c r="AD345">
        <f t="shared" si="175"/>
        <v>996.13801550694848</v>
      </c>
      <c r="AE345">
        <f t="shared" si="176"/>
        <v>-67.982122520138702</v>
      </c>
      <c r="AF345">
        <f t="shared" si="177"/>
        <v>0.96709525958474074</v>
      </c>
      <c r="AG345" t="b">
        <f t="shared" si="185"/>
        <v>0</v>
      </c>
      <c r="AH345">
        <f t="shared" si="178"/>
        <v>25000</v>
      </c>
      <c r="AI345">
        <f t="shared" si="186"/>
        <v>5</v>
      </c>
      <c r="AJ345" cm="1">
        <f t="array" ref="AJ345:AO345">INDEX(surface!$A$2:$I$40,AI345+1,COLUMN(surface!$B$1:$G$1))</f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f t="shared" si="187"/>
        <v>135.5747279622847</v>
      </c>
      <c r="AQ345">
        <f t="shared" si="188"/>
        <v>78.028080293575144</v>
      </c>
      <c r="AR345">
        <f t="shared" si="189"/>
        <v>0</v>
      </c>
      <c r="AS345" t="e">
        <f t="shared" si="179"/>
        <v>#DIV/0!</v>
      </c>
      <c r="AT345" t="e">
        <f t="shared" si="180"/>
        <v>#DIV/0!</v>
      </c>
      <c r="AU345" t="b">
        <f t="shared" si="190"/>
        <v>0</v>
      </c>
      <c r="AV345">
        <f t="shared" si="181"/>
        <v>25000</v>
      </c>
    </row>
    <row r="346" spans="1:48" x14ac:dyDescent="0.25">
      <c r="A346">
        <f t="shared" si="160"/>
        <v>34.400000000000219</v>
      </c>
      <c r="B346">
        <f t="shared" si="182"/>
        <v>0.1</v>
      </c>
      <c r="C346">
        <f>sim!C345+(sim!$G345*$B346*COS($E346))</f>
        <v>50.365677883085873</v>
      </c>
      <c r="D346">
        <f>sim!D345+(sim!$G345*$B346*SIN($E346))</f>
        <v>31.58736380005648</v>
      </c>
      <c r="E346">
        <f t="shared" si="161"/>
        <v>-7824.9770887666755</v>
      </c>
      <c r="F346">
        <f t="shared" si="168"/>
        <v>45.877139572283468</v>
      </c>
      <c r="G346">
        <v>100</v>
      </c>
      <c r="H346">
        <f t="shared" si="162"/>
        <v>4.7231105753050002</v>
      </c>
      <c r="I346">
        <f t="shared" si="169"/>
        <v>270.61430213858267</v>
      </c>
      <c r="J346">
        <f t="shared" si="183"/>
        <v>0</v>
      </c>
      <c r="K346">
        <f t="shared" si="184"/>
        <v>0</v>
      </c>
      <c r="L346">
        <f t="shared" si="170"/>
        <v>0</v>
      </c>
      <c r="M346">
        <f t="shared" si="163"/>
        <v>270.61430213858267</v>
      </c>
      <c r="N346">
        <f t="shared" si="171"/>
        <v>41.352031467286061</v>
      </c>
      <c r="O346">
        <f t="shared" si="172"/>
        <v>35.917973259582837</v>
      </c>
      <c r="P346">
        <f t="shared" si="164"/>
        <v>-48.784432690712059</v>
      </c>
      <c r="Q346">
        <f t="shared" si="165"/>
        <v>79.224067854846453</v>
      </c>
      <c r="R346">
        <f t="shared" si="173"/>
        <v>0.43306094595263606</v>
      </c>
      <c r="S346">
        <f t="shared" si="174"/>
        <v>-0.9013646415799812</v>
      </c>
      <c r="U346">
        <f t="shared" si="191"/>
        <v>4</v>
      </c>
      <c r="V346" cm="1">
        <f t="array" ref="V346:AA346">INDEX(surface!$A$2:$I$40,U346+1,COLUMN(surface!$B$1:$G$1))</f>
        <v>0</v>
      </c>
      <c r="W346">
        <v>1000</v>
      </c>
      <c r="X346">
        <v>0</v>
      </c>
      <c r="Y346">
        <v>1</v>
      </c>
      <c r="Z346">
        <v>0</v>
      </c>
      <c r="AA346">
        <v>999</v>
      </c>
      <c r="AB346">
        <f t="shared" si="166"/>
        <v>82.704062934572121</v>
      </c>
      <c r="AC346">
        <f t="shared" si="167"/>
        <v>-928.16405348083435</v>
      </c>
      <c r="AD346">
        <f t="shared" si="175"/>
        <v>-900.46327693840124</v>
      </c>
      <c r="AE346">
        <f t="shared" si="176"/>
        <v>45.877139572283468</v>
      </c>
      <c r="AF346">
        <f t="shared" si="177"/>
        <v>0.94515958886851159</v>
      </c>
      <c r="AG346" t="b">
        <f t="shared" si="185"/>
        <v>1</v>
      </c>
      <c r="AH346">
        <f t="shared" si="178"/>
        <v>45.877139572283468</v>
      </c>
      <c r="AI346">
        <f t="shared" si="186"/>
        <v>5</v>
      </c>
      <c r="AJ346" cm="1">
        <f t="array" ref="AJ346:AO346">INDEX(surface!$A$2:$I$40,AI346+1,COLUMN(surface!$B$1:$G$1))</f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f t="shared" si="187"/>
        <v>82.704062934572121</v>
      </c>
      <c r="AQ346">
        <f t="shared" si="188"/>
        <v>71.835946519165674</v>
      </c>
      <c r="AR346">
        <f t="shared" si="189"/>
        <v>0</v>
      </c>
      <c r="AS346" t="e">
        <f t="shared" si="179"/>
        <v>#DIV/0!</v>
      </c>
      <c r="AT346" t="e">
        <f t="shared" si="180"/>
        <v>#DIV/0!</v>
      </c>
      <c r="AU346" t="b">
        <f t="shared" si="190"/>
        <v>0</v>
      </c>
      <c r="AV346">
        <f t="shared" si="181"/>
        <v>25000</v>
      </c>
    </row>
    <row r="347" spans="1:48" x14ac:dyDescent="0.25">
      <c r="A347">
        <f t="shared" si="160"/>
        <v>34.50000000000022</v>
      </c>
      <c r="B347">
        <f t="shared" si="182"/>
        <v>0.1</v>
      </c>
      <c r="C347">
        <f>sim!C346+(sim!$G346*$B347*COS($E347))</f>
        <v>46.765621436475044</v>
      </c>
      <c r="D347">
        <f>sim!D346+(sim!$G346*$B347*SIN($E347))</f>
        <v>22.257862549656444</v>
      </c>
      <c r="E347">
        <f t="shared" si="161"/>
        <v>-7824.5047777091449</v>
      </c>
      <c r="F347">
        <f t="shared" si="168"/>
        <v>36.779574794341166</v>
      </c>
      <c r="G347">
        <v>100</v>
      </c>
      <c r="H347">
        <f t="shared" si="162"/>
        <v>5.5170228717477992</v>
      </c>
      <c r="I347">
        <f t="shared" si="169"/>
        <v>316.10212602829415</v>
      </c>
      <c r="J347">
        <f t="shared" si="183"/>
        <v>0</v>
      </c>
      <c r="K347">
        <f t="shared" si="184"/>
        <v>0</v>
      </c>
      <c r="L347">
        <f t="shared" si="170"/>
        <v>0</v>
      </c>
      <c r="M347">
        <f t="shared" si="163"/>
        <v>316.10212602829415</v>
      </c>
      <c r="N347">
        <f t="shared" si="171"/>
        <v>36.768604224994917</v>
      </c>
      <c r="O347">
        <f t="shared" si="172"/>
        <v>22.01363545580698</v>
      </c>
      <c r="P347">
        <f t="shared" si="164"/>
        <v>-63.201567889806327</v>
      </c>
      <c r="Q347">
        <f t="shared" si="165"/>
        <v>19.57136451731234</v>
      </c>
      <c r="R347">
        <f t="shared" si="173"/>
        <v>-2.4422709384946412E-2</v>
      </c>
      <c r="S347">
        <f t="shared" si="174"/>
        <v>-0.99970172114801248</v>
      </c>
      <c r="U347">
        <f t="shared" si="191"/>
        <v>4</v>
      </c>
      <c r="V347" cm="1">
        <f t="array" ref="V347:AA347">INDEX(surface!$A$2:$I$40,U347+1,COLUMN(surface!$B$1:$G$1))</f>
        <v>0</v>
      </c>
      <c r="W347">
        <v>1000</v>
      </c>
      <c r="X347">
        <v>0</v>
      </c>
      <c r="Y347">
        <v>1</v>
      </c>
      <c r="Z347">
        <v>0</v>
      </c>
      <c r="AA347">
        <v>999</v>
      </c>
      <c r="AB347">
        <f t="shared" si="166"/>
        <v>73.537208449989834</v>
      </c>
      <c r="AC347">
        <f t="shared" si="167"/>
        <v>-955.97272908838602</v>
      </c>
      <c r="AD347">
        <f t="shared" si="175"/>
        <v>-998.70201942686447</v>
      </c>
      <c r="AE347">
        <f t="shared" si="176"/>
        <v>36.779574794341166</v>
      </c>
      <c r="AF347">
        <f t="shared" si="177"/>
        <v>0.97986448589659358</v>
      </c>
      <c r="AG347" t="b">
        <f t="shared" si="185"/>
        <v>1</v>
      </c>
      <c r="AH347">
        <f t="shared" si="178"/>
        <v>36.779574794341166</v>
      </c>
      <c r="AI347">
        <f t="shared" si="186"/>
        <v>5</v>
      </c>
      <c r="AJ347" cm="1">
        <f t="array" ref="AJ347:AO347">INDEX(surface!$A$2:$I$40,AI347+1,COLUMN(surface!$B$1:$G$1))</f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f t="shared" si="187"/>
        <v>73.537208449989834</v>
      </c>
      <c r="AQ347">
        <f t="shared" si="188"/>
        <v>44.027270911613961</v>
      </c>
      <c r="AR347">
        <f t="shared" si="189"/>
        <v>0</v>
      </c>
      <c r="AS347" t="e">
        <f t="shared" si="179"/>
        <v>#DIV/0!</v>
      </c>
      <c r="AT347" t="e">
        <f t="shared" si="180"/>
        <v>#DIV/0!</v>
      </c>
      <c r="AU347" t="b">
        <f t="shared" si="190"/>
        <v>0</v>
      </c>
      <c r="AV347">
        <f t="shared" si="181"/>
        <v>25000</v>
      </c>
    </row>
    <row r="348" spans="1:48" x14ac:dyDescent="0.25">
      <c r="A348">
        <f t="shared" si="160"/>
        <v>34.600000000000222</v>
      </c>
      <c r="B348">
        <f t="shared" si="182"/>
        <v>0.1</v>
      </c>
      <c r="C348">
        <f>sim!C347+(sim!$G347*$B348*COS($E348))</f>
        <v>48.58963612391792</v>
      </c>
      <c r="D348">
        <f>sim!D347+(sim!$G347*$B348*SIN($E348))</f>
        <v>12.425621176500847</v>
      </c>
      <c r="E348">
        <f t="shared" si="161"/>
        <v>-7823.9530754219704</v>
      </c>
      <c r="F348">
        <f t="shared" si="168"/>
        <v>25000</v>
      </c>
      <c r="G348">
        <v>100</v>
      </c>
      <c r="H348">
        <f t="shared" si="162"/>
        <v>-2172.9349187329403</v>
      </c>
      <c r="I348">
        <f t="shared" si="169"/>
        <v>-124500</v>
      </c>
      <c r="J348">
        <f t="shared" si="183"/>
        <v>0</v>
      </c>
      <c r="K348">
        <f t="shared" si="184"/>
        <v>0</v>
      </c>
      <c r="L348">
        <f t="shared" si="170"/>
        <v>0</v>
      </c>
      <c r="M348">
        <f t="shared" si="163"/>
        <v>-124500</v>
      </c>
      <c r="N348">
        <f t="shared" si="171"/>
        <v>40.203849761824337</v>
      </c>
      <c r="O348">
        <f t="shared" si="172"/>
        <v>6.9778154632503062</v>
      </c>
      <c r="P348">
        <f t="shared" si="164"/>
        <v>-43.654013859111508</v>
      </c>
      <c r="Q348">
        <f t="shared" si="165"/>
        <v>-47.500241669255097</v>
      </c>
      <c r="R348">
        <f t="shared" si="173"/>
        <v>-0.54478057132505409</v>
      </c>
      <c r="S348">
        <f t="shared" si="174"/>
        <v>-0.83857863620935846</v>
      </c>
      <c r="U348">
        <f t="shared" si="191"/>
        <v>4</v>
      </c>
      <c r="V348" cm="1">
        <f t="array" ref="V348:AA348">INDEX(surface!$A$2:$I$40,U348+1,COLUMN(surface!$B$1:$G$1))</f>
        <v>0</v>
      </c>
      <c r="W348">
        <v>1000</v>
      </c>
      <c r="X348">
        <v>0</v>
      </c>
      <c r="Y348">
        <v>1</v>
      </c>
      <c r="Z348">
        <v>0</v>
      </c>
      <c r="AA348">
        <v>999</v>
      </c>
      <c r="AB348">
        <f t="shared" si="166"/>
        <v>80.407699523648674</v>
      </c>
      <c r="AC348">
        <f t="shared" si="167"/>
        <v>-986.04436907349941</v>
      </c>
      <c r="AD348">
        <f t="shared" si="175"/>
        <v>-837.7400575731491</v>
      </c>
      <c r="AE348">
        <f t="shared" si="176"/>
        <v>47.942849991455184</v>
      </c>
      <c r="AF348">
        <f t="shared" si="177"/>
        <v>1.0201606784244706</v>
      </c>
      <c r="AG348" t="b">
        <f t="shared" si="185"/>
        <v>0</v>
      </c>
      <c r="AH348">
        <f t="shared" si="178"/>
        <v>25000</v>
      </c>
      <c r="AI348">
        <f t="shared" si="186"/>
        <v>5</v>
      </c>
      <c r="AJ348" cm="1">
        <f t="array" ref="AJ348:AO348">INDEX(surface!$A$2:$I$40,AI348+1,COLUMN(surface!$B$1:$G$1))</f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f t="shared" si="187"/>
        <v>80.407699523648674</v>
      </c>
      <c r="AQ348">
        <f t="shared" si="188"/>
        <v>13.955630926500612</v>
      </c>
      <c r="AR348">
        <f t="shared" si="189"/>
        <v>0</v>
      </c>
      <c r="AS348" t="e">
        <f t="shared" si="179"/>
        <v>#DIV/0!</v>
      </c>
      <c r="AT348" t="e">
        <f t="shared" si="180"/>
        <v>#DIV/0!</v>
      </c>
      <c r="AU348" t="b">
        <f t="shared" si="190"/>
        <v>0</v>
      </c>
      <c r="AV348">
        <f t="shared" si="181"/>
        <v>25000</v>
      </c>
    </row>
    <row r="349" spans="1:48" x14ac:dyDescent="0.25">
      <c r="A349">
        <f t="shared" si="160"/>
        <v>34.700000000000223</v>
      </c>
      <c r="B349">
        <f t="shared" si="182"/>
        <v>0.1</v>
      </c>
      <c r="C349">
        <f>sim!C348+(sim!$G348*$B349*COS($E349))</f>
        <v>51.926113754298122</v>
      </c>
      <c r="D349">
        <f>sim!D348+(sim!$G348*$B349*SIN($E349))</f>
        <v>21.852599325514056</v>
      </c>
      <c r="E349">
        <f t="shared" si="161"/>
        <v>-8041.2465672952649</v>
      </c>
      <c r="F349">
        <f t="shared" si="168"/>
        <v>25000</v>
      </c>
      <c r="G349">
        <v>100</v>
      </c>
      <c r="H349">
        <f t="shared" si="162"/>
        <v>-2172.9349187329403</v>
      </c>
      <c r="I349">
        <f t="shared" si="169"/>
        <v>-124500</v>
      </c>
      <c r="J349">
        <f t="shared" si="183"/>
        <v>0</v>
      </c>
      <c r="K349">
        <f t="shared" si="184"/>
        <v>0</v>
      </c>
      <c r="L349">
        <f t="shared" si="170"/>
        <v>0</v>
      </c>
      <c r="M349">
        <f t="shared" si="163"/>
        <v>-124500</v>
      </c>
      <c r="N349">
        <f t="shared" si="171"/>
        <v>61.912320631205745</v>
      </c>
      <c r="O349">
        <f t="shared" si="172"/>
        <v>22.377644287020139</v>
      </c>
      <c r="P349">
        <f t="shared" si="164"/>
        <v>161.77438940028196</v>
      </c>
      <c r="Q349">
        <f t="shared" si="165"/>
        <v>27.628093902080973</v>
      </c>
      <c r="R349">
        <f t="shared" si="173"/>
        <v>5.2504496150608343E-2</v>
      </c>
      <c r="S349">
        <f t="shared" si="174"/>
        <v>0.99862068769076218</v>
      </c>
      <c r="U349">
        <f t="shared" si="191"/>
        <v>4</v>
      </c>
      <c r="V349" cm="1">
        <f t="array" ref="V349:AA349">INDEX(surface!$A$2:$I$40,U349+1,COLUMN(surface!$B$1:$G$1))</f>
        <v>0</v>
      </c>
      <c r="W349">
        <v>1000</v>
      </c>
      <c r="X349">
        <v>0</v>
      </c>
      <c r="Y349">
        <v>1</v>
      </c>
      <c r="Z349">
        <v>0</v>
      </c>
      <c r="AA349">
        <v>999</v>
      </c>
      <c r="AB349">
        <f t="shared" si="166"/>
        <v>123.82464126241149</v>
      </c>
      <c r="AC349">
        <f t="shared" si="167"/>
        <v>-955.24471142595974</v>
      </c>
      <c r="AD349">
        <f t="shared" si="175"/>
        <v>997.62206700307138</v>
      </c>
      <c r="AE349">
        <f t="shared" si="176"/>
        <v>-61.997835008178619</v>
      </c>
      <c r="AF349">
        <f t="shared" si="177"/>
        <v>0.9818593801826957</v>
      </c>
      <c r="AG349" t="b">
        <f t="shared" si="185"/>
        <v>0</v>
      </c>
      <c r="AH349">
        <f t="shared" si="178"/>
        <v>25000</v>
      </c>
      <c r="AI349">
        <f t="shared" si="186"/>
        <v>5</v>
      </c>
      <c r="AJ349" cm="1">
        <f t="array" ref="AJ349:AO349">INDEX(surface!$A$2:$I$40,AI349+1,COLUMN(surface!$B$1:$G$1))</f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f t="shared" si="187"/>
        <v>123.82464126241149</v>
      </c>
      <c r="AQ349">
        <f t="shared" si="188"/>
        <v>44.755288574040279</v>
      </c>
      <c r="AR349">
        <f t="shared" si="189"/>
        <v>0</v>
      </c>
      <c r="AS349" t="e">
        <f t="shared" si="179"/>
        <v>#DIV/0!</v>
      </c>
      <c r="AT349" t="e">
        <f t="shared" si="180"/>
        <v>#DIV/0!</v>
      </c>
      <c r="AU349" t="b">
        <f t="shared" si="190"/>
        <v>0</v>
      </c>
      <c r="AV349">
        <f t="shared" si="181"/>
        <v>25000</v>
      </c>
    </row>
    <row r="350" spans="1:48" x14ac:dyDescent="0.25">
      <c r="A350">
        <f t="shared" si="160"/>
        <v>34.800000000000225</v>
      </c>
      <c r="B350">
        <f t="shared" si="182"/>
        <v>0.1</v>
      </c>
      <c r="C350">
        <f>sim!C349+(sim!$G349*$B350*COS($E350))</f>
        <v>44.323150292721095</v>
      </c>
      <c r="D350">
        <f>sim!D349+(sim!$G349*$B350*SIN($E350))</f>
        <v>15.356835582741031</v>
      </c>
      <c r="E350">
        <f t="shared" si="161"/>
        <v>-8258.5400591685593</v>
      </c>
      <c r="F350">
        <f t="shared" si="168"/>
        <v>39.740757829555925</v>
      </c>
      <c r="G350">
        <v>100</v>
      </c>
      <c r="H350">
        <f t="shared" si="162"/>
        <v>5.2586109031543158</v>
      </c>
      <c r="I350">
        <f t="shared" si="169"/>
        <v>301.29621085222038</v>
      </c>
      <c r="J350">
        <f t="shared" si="183"/>
        <v>0</v>
      </c>
      <c r="K350">
        <f t="shared" si="184"/>
        <v>0</v>
      </c>
      <c r="L350">
        <f t="shared" si="170"/>
        <v>0</v>
      </c>
      <c r="M350">
        <f t="shared" si="163"/>
        <v>301.29621085222038</v>
      </c>
      <c r="N350">
        <f t="shared" si="171"/>
        <v>35.412318969121053</v>
      </c>
      <c r="O350">
        <f t="shared" si="172"/>
        <v>19.895236746405207</v>
      </c>
      <c r="P350">
        <f t="shared" si="164"/>
        <v>-53.69599426687936</v>
      </c>
      <c r="Q350">
        <f t="shared" si="165"/>
        <v>65.279248383046948</v>
      </c>
      <c r="R350">
        <f t="shared" si="173"/>
        <v>0.45384011636641747</v>
      </c>
      <c r="S350">
        <f t="shared" si="174"/>
        <v>-0.89108313236000414</v>
      </c>
      <c r="U350">
        <f t="shared" si="191"/>
        <v>4</v>
      </c>
      <c r="V350" cm="1">
        <f t="array" ref="V350:AA350">INDEX(surface!$A$2:$I$40,U350+1,COLUMN(surface!$B$1:$G$1))</f>
        <v>0</v>
      </c>
      <c r="W350">
        <v>1000</v>
      </c>
      <c r="X350">
        <v>0</v>
      </c>
      <c r="Y350">
        <v>1</v>
      </c>
      <c r="Z350">
        <v>0</v>
      </c>
      <c r="AA350">
        <v>999</v>
      </c>
      <c r="AB350">
        <f t="shared" si="166"/>
        <v>70.824637938242105</v>
      </c>
      <c r="AC350">
        <f t="shared" si="167"/>
        <v>-960.20952650718959</v>
      </c>
      <c r="AD350">
        <f t="shared" si="175"/>
        <v>-890.19204922764413</v>
      </c>
      <c r="AE350">
        <f t="shared" si="176"/>
        <v>39.740757829555925</v>
      </c>
      <c r="AF350">
        <f t="shared" si="177"/>
        <v>0.96303184494068028</v>
      </c>
      <c r="AG350" t="b">
        <f t="shared" si="185"/>
        <v>1</v>
      </c>
      <c r="AH350">
        <f t="shared" si="178"/>
        <v>39.740757829555925</v>
      </c>
      <c r="AI350">
        <f t="shared" si="186"/>
        <v>5</v>
      </c>
      <c r="AJ350" cm="1">
        <f t="array" ref="AJ350:AO350">INDEX(surface!$A$2:$I$40,AI350+1,COLUMN(surface!$B$1:$G$1))</f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f t="shared" si="187"/>
        <v>70.824637938242105</v>
      </c>
      <c r="AQ350">
        <f t="shared" si="188"/>
        <v>39.790473492810413</v>
      </c>
      <c r="AR350">
        <f t="shared" si="189"/>
        <v>0</v>
      </c>
      <c r="AS350" t="e">
        <f t="shared" si="179"/>
        <v>#DIV/0!</v>
      </c>
      <c r="AT350" t="e">
        <f t="shared" si="180"/>
        <v>#DIV/0!</v>
      </c>
      <c r="AU350" t="b">
        <f t="shared" si="190"/>
        <v>0</v>
      </c>
      <c r="AV350">
        <f t="shared" si="181"/>
        <v>25000</v>
      </c>
    </row>
    <row r="351" spans="1:48" x14ac:dyDescent="0.25">
      <c r="A351">
        <f t="shared" si="160"/>
        <v>34.900000000000226</v>
      </c>
      <c r="B351">
        <f t="shared" si="182"/>
        <v>0.1</v>
      </c>
      <c r="C351">
        <f>sim!C350+(sim!$G350*$B351*COS($E351))</f>
        <v>41.008007973698774</v>
      </c>
      <c r="D351">
        <f>sim!D350+(sim!$G350*$B351*SIN($E351))</f>
        <v>5.9223334016703557</v>
      </c>
      <c r="E351">
        <f t="shared" si="161"/>
        <v>-8258.0141980782446</v>
      </c>
      <c r="F351">
        <f t="shared" si="168"/>
        <v>31.069639103197101</v>
      </c>
      <c r="G351">
        <v>100</v>
      </c>
      <c r="H351">
        <f t="shared" si="162"/>
        <v>6.0153087611858087</v>
      </c>
      <c r="I351">
        <f t="shared" si="169"/>
        <v>344.65180448401446</v>
      </c>
      <c r="J351">
        <f t="shared" si="183"/>
        <v>0</v>
      </c>
      <c r="K351">
        <f t="shared" si="184"/>
        <v>0</v>
      </c>
      <c r="L351">
        <f t="shared" si="170"/>
        <v>0</v>
      </c>
      <c r="M351">
        <f t="shared" si="163"/>
        <v>344.65180448401446</v>
      </c>
      <c r="N351">
        <f t="shared" si="171"/>
        <v>31.023014467752319</v>
      </c>
      <c r="O351">
        <f t="shared" si="172"/>
        <v>5.3746978602679931</v>
      </c>
      <c r="P351">
        <f t="shared" si="164"/>
        <v>-68.826920591712266</v>
      </c>
      <c r="Q351">
        <f t="shared" si="165"/>
        <v>-0.10165755375563013</v>
      </c>
      <c r="R351">
        <f t="shared" si="173"/>
        <v>-5.4763554140236231E-2</v>
      </c>
      <c r="S351">
        <f t="shared" si="174"/>
        <v>-0.99849935059464578</v>
      </c>
      <c r="U351">
        <f t="shared" si="191"/>
        <v>4</v>
      </c>
      <c r="V351" cm="1">
        <f t="array" ref="V351:AA351">INDEX(surface!$A$2:$I$40,U351+1,COLUMN(surface!$B$1:$G$1))</f>
        <v>0</v>
      </c>
      <c r="W351">
        <v>1000</v>
      </c>
      <c r="X351">
        <v>0</v>
      </c>
      <c r="Y351">
        <v>1</v>
      </c>
      <c r="Z351">
        <v>0</v>
      </c>
      <c r="AA351">
        <v>999</v>
      </c>
      <c r="AB351">
        <f t="shared" si="166"/>
        <v>62.046028935504637</v>
      </c>
      <c r="AC351">
        <f t="shared" si="167"/>
        <v>-989.25060427946403</v>
      </c>
      <c r="AD351">
        <f t="shared" si="175"/>
        <v>-997.50085124405109</v>
      </c>
      <c r="AE351">
        <f t="shared" si="176"/>
        <v>31.069639103197101</v>
      </c>
      <c r="AF351">
        <f t="shared" si="177"/>
        <v>0.99732411011299071</v>
      </c>
      <c r="AG351" t="b">
        <f t="shared" si="185"/>
        <v>1</v>
      </c>
      <c r="AH351">
        <f t="shared" si="178"/>
        <v>31.069639103197101</v>
      </c>
      <c r="AI351">
        <f t="shared" si="186"/>
        <v>5</v>
      </c>
      <c r="AJ351" cm="1">
        <f t="array" ref="AJ351:AO351">INDEX(surface!$A$2:$I$40,AI351+1,COLUMN(surface!$B$1:$G$1))</f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f t="shared" si="187"/>
        <v>62.046028935504637</v>
      </c>
      <c r="AQ351">
        <f t="shared" si="188"/>
        <v>10.749395720535986</v>
      </c>
      <c r="AR351">
        <f t="shared" si="189"/>
        <v>0</v>
      </c>
      <c r="AS351" t="e">
        <f t="shared" si="179"/>
        <v>#DIV/0!</v>
      </c>
      <c r="AT351" t="e">
        <f t="shared" si="180"/>
        <v>#DIV/0!</v>
      </c>
      <c r="AU351" t="b">
        <f t="shared" si="190"/>
        <v>0</v>
      </c>
      <c r="AV351">
        <f t="shared" si="181"/>
        <v>25000</v>
      </c>
    </row>
    <row r="352" spans="1:48" x14ac:dyDescent="0.25">
      <c r="A352">
        <f t="shared" si="160"/>
        <v>35.000000000000227</v>
      </c>
      <c r="B352">
        <f t="shared" si="182"/>
        <v>0.1</v>
      </c>
      <c r="C352">
        <f>sim!C351+(sim!$G351*$B352*COS($E352))</f>
        <v>43.613806522420049</v>
      </c>
      <c r="D352">
        <f>sim!D351+(sim!$G351*$B352*SIN($E352))</f>
        <v>-3.732189575850704</v>
      </c>
      <c r="E352">
        <f t="shared" si="161"/>
        <v>-8257.4126672021266</v>
      </c>
      <c r="F352">
        <f t="shared" si="168"/>
        <v>25000</v>
      </c>
      <c r="G352">
        <v>100</v>
      </c>
      <c r="H352">
        <f t="shared" si="162"/>
        <v>-2172.9349187329403</v>
      </c>
      <c r="I352">
        <f t="shared" si="169"/>
        <v>-124500</v>
      </c>
      <c r="J352">
        <f t="shared" si="183"/>
        <v>0</v>
      </c>
      <c r="K352">
        <f t="shared" si="184"/>
        <v>0</v>
      </c>
      <c r="L352">
        <f t="shared" si="170"/>
        <v>0</v>
      </c>
      <c r="M352">
        <f t="shared" si="163"/>
        <v>-124500</v>
      </c>
      <c r="N352">
        <f t="shared" si="171"/>
        <v>35.691386280005673</v>
      </c>
      <c r="O352">
        <f t="shared" si="172"/>
        <v>-9.83425951174811</v>
      </c>
      <c r="P352">
        <f t="shared" si="164"/>
        <v>-43.532816144138067</v>
      </c>
      <c r="Q352">
        <f t="shared" si="165"/>
        <v>-70.854958870722172</v>
      </c>
      <c r="R352">
        <f t="shared" si="173"/>
        <v>-0.61020699358974062</v>
      </c>
      <c r="S352">
        <f t="shared" si="174"/>
        <v>-0.79224202424143741</v>
      </c>
      <c r="U352">
        <f t="shared" si="191"/>
        <v>4</v>
      </c>
      <c r="V352" cm="1">
        <f t="array" ref="V352:AA352">INDEX(surface!$A$2:$I$40,U352+1,COLUMN(surface!$B$1:$G$1))</f>
        <v>0</v>
      </c>
      <c r="W352">
        <v>1000</v>
      </c>
      <c r="X352">
        <v>0</v>
      </c>
      <c r="Y352">
        <v>1</v>
      </c>
      <c r="Z352">
        <v>0</v>
      </c>
      <c r="AA352">
        <v>999</v>
      </c>
      <c r="AB352">
        <f t="shared" si="166"/>
        <v>71.382772560011347</v>
      </c>
      <c r="AC352">
        <f t="shared" si="167"/>
        <v>-1019.6685190234962</v>
      </c>
      <c r="AD352">
        <f t="shared" si="175"/>
        <v>-791.449782217196</v>
      </c>
      <c r="AE352">
        <f t="shared" si="176"/>
        <v>45.051114669383715</v>
      </c>
      <c r="AF352">
        <f t="shared" si="177"/>
        <v>1.0383631278798993</v>
      </c>
      <c r="AG352" t="b">
        <f t="shared" si="185"/>
        <v>0</v>
      </c>
      <c r="AH352">
        <f t="shared" si="178"/>
        <v>25000</v>
      </c>
      <c r="AI352">
        <f t="shared" si="186"/>
        <v>5</v>
      </c>
      <c r="AJ352" cm="1">
        <f t="array" ref="AJ352:AO352">INDEX(surface!$A$2:$I$40,AI352+1,COLUMN(surface!$B$1:$G$1))</f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f t="shared" si="187"/>
        <v>71.382772560011347</v>
      </c>
      <c r="AQ352">
        <f t="shared" si="188"/>
        <v>-19.66851902349622</v>
      </c>
      <c r="AR352">
        <f t="shared" si="189"/>
        <v>0</v>
      </c>
      <c r="AS352" t="e">
        <f t="shared" si="179"/>
        <v>#DIV/0!</v>
      </c>
      <c r="AT352" t="e">
        <f t="shared" si="180"/>
        <v>#DIV/0!</v>
      </c>
      <c r="AU352" t="b">
        <f t="shared" si="190"/>
        <v>0</v>
      </c>
      <c r="AV352">
        <f t="shared" si="181"/>
        <v>25000</v>
      </c>
    </row>
  </sheetData>
  <dataConsolidate/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4A4F8-073A-4934-90D8-30F5B86F12A2}">
  <sheetPr codeName="Tabelle2"/>
  <dimension ref="A1:AU301"/>
  <sheetViews>
    <sheetView tabSelected="1" topLeftCell="A13" zoomScale="74" zoomScaleNormal="85" workbookViewId="0">
      <selection activeCell="C9" sqref="C9"/>
    </sheetView>
    <sheetView zoomScale="70" workbookViewId="1">
      <selection activeCell="D2" sqref="D2"/>
    </sheetView>
  </sheetViews>
  <sheetFormatPr baseColWidth="10" defaultRowHeight="15" x14ac:dyDescent="0.25"/>
  <cols>
    <col min="5" max="5" width="15.85546875" customWidth="1"/>
    <col min="8" max="8" width="16.42578125" customWidth="1"/>
    <col min="16" max="16" width="30.85546875" customWidth="1"/>
    <col min="21" max="35" width="10.85546875" customWidth="1"/>
    <col min="38" max="52" width="10.85546875" customWidth="1"/>
  </cols>
  <sheetData>
    <row r="1" spans="1:47" x14ac:dyDescent="0.25">
      <c r="A1" t="s">
        <v>29</v>
      </c>
      <c r="B1" s="1">
        <v>2</v>
      </c>
      <c r="C1" t="s">
        <v>43</v>
      </c>
      <c r="D1" s="1">
        <v>289</v>
      </c>
      <c r="E1" t="s">
        <v>49</v>
      </c>
      <c r="F1" s="1">
        <v>57</v>
      </c>
      <c r="J1" s="10" t="s">
        <v>51</v>
      </c>
      <c r="K1" s="10"/>
      <c r="L1" cm="1">
        <f t="array" ref="L1">AVERAGE(IF(F14:F104&lt;usNoTarget,F14:F104,""))</f>
        <v>99.987705501674711</v>
      </c>
      <c r="M1">
        <f>L1-Ksoll</f>
        <v>-1.2294498325289283E-2</v>
      </c>
      <c r="N1">
        <f>M1+L2</f>
        <v>7.5848972387530438</v>
      </c>
      <c r="P1" s="8" cm="1">
        <f t="array" ref="P1">SUM((F14:F1000-Ksoll)^2)/COUNTA(F14:F1000)</f>
        <v>66763767.484623164</v>
      </c>
    </row>
    <row r="2" spans="1:47" x14ac:dyDescent="0.25">
      <c r="C2">
        <v>20</v>
      </c>
      <c r="D2" s="5">
        <f>MIN(MAX(B1,D1)+1,COUNTA(sim!A:A)+1)</f>
        <v>290</v>
      </c>
      <c r="F2" s="5">
        <f>MAX(IF(F1="",B1,F1),2)</f>
        <v>57</v>
      </c>
      <c r="J2" s="10" t="s">
        <v>50</v>
      </c>
      <c r="K2" s="10"/>
      <c r="L2" cm="1">
        <f t="array" ref="L2">STDEV(IF(F14:F104&lt;usNoTarget,F14:F104,""))</f>
        <v>7.5971917370783331</v>
      </c>
      <c r="N2">
        <f>AVERAGE(M14:M82)</f>
        <v>6.3341752323214271</v>
      </c>
      <c r="P2" s="8" cm="1">
        <f t="array" ref="P2">SUM(M14:M1000^2)/COUNTA(M14:M1000)*50</f>
        <v>83424370814.112213</v>
      </c>
    </row>
    <row r="3" spans="1:47" x14ac:dyDescent="0.25">
      <c r="A3" t="s">
        <v>55</v>
      </c>
      <c r="J3" s="7"/>
      <c r="K3" s="7"/>
    </row>
    <row r="4" spans="1:47" x14ac:dyDescent="0.25">
      <c r="A4" t="s">
        <v>56</v>
      </c>
      <c r="B4" t="s">
        <v>57</v>
      </c>
      <c r="C4" t="s">
        <v>58</v>
      </c>
      <c r="D4" t="s">
        <v>59</v>
      </c>
      <c r="J4" s="7"/>
      <c r="K4" s="7"/>
    </row>
    <row r="5" spans="1:47" x14ac:dyDescent="0.25">
      <c r="A5">
        <f>IF($AG11,N11+(S11*$AE11),"no")</f>
        <v>-408.37590451413092</v>
      </c>
      <c r="B5">
        <f>IF($AG11,O11+(R11*$AE11),"no")</f>
        <v>426.70072361130474</v>
      </c>
      <c r="C5" t="str">
        <f>IF($AU11,N11+(S11*$AS11),"no")</f>
        <v>no</v>
      </c>
      <c r="D5" t="str">
        <f>IF($AU11,O11+(R11*$AS11),"no")</f>
        <v>no</v>
      </c>
      <c r="J5" s="7"/>
      <c r="K5" s="7"/>
    </row>
    <row r="6" spans="1:47" x14ac:dyDescent="0.25">
      <c r="J6" s="7"/>
      <c r="K6" s="7"/>
    </row>
    <row r="7" spans="1:47" x14ac:dyDescent="0.25">
      <c r="A7" t="s">
        <v>30</v>
      </c>
    </row>
    <row r="8" spans="1:47" x14ac:dyDescent="0.25">
      <c r="A8" t="str" cm="1">
        <f t="array" ref="A8:AU8">IF(sim!A1:AU1="","",sim!A1:AU1)</f>
        <v>Time [s]</v>
      </c>
      <c r="B8" t="str">
        <v>dt [s]</v>
      </c>
      <c r="C8" t="str">
        <v>x robo [mm]</v>
      </c>
      <c r="D8" t="str">
        <v>y robo [mm]</v>
      </c>
      <c r="E8" t="str">
        <v>new heading [rad]</v>
      </c>
      <c r="F8" t="str">
        <v>us distance [mm]</v>
      </c>
      <c r="G8" t="str">
        <v>speed [mm/s]</v>
      </c>
      <c r="H8" t="str">
        <v>rotation [rat/s]</v>
      </c>
      <c r="I8" t="str">
        <v>p</v>
      </c>
      <c r="J8" t="str">
        <v>i</v>
      </c>
      <c r="K8" t="str">
        <v>d</v>
      </c>
      <c r="L8" t="str">
        <v>d_cap</v>
      </c>
      <c r="M8" t="str">
        <v>PID Result</v>
      </c>
      <c r="N8" t="str">
        <v>beam start x [mm]</v>
      </c>
      <c r="O8" t="str">
        <v>beam start y [mm]</v>
      </c>
      <c r="P8" t="str">
        <v>bem x example</v>
      </c>
      <c r="Q8" t="str">
        <v>bem y example</v>
      </c>
      <c r="R8" t="str">
        <v>sin_angle</v>
      </c>
      <c r="S8" t="str">
        <v>cos_angle</v>
      </c>
      <c r="T8" t="str">
        <v>Surfaces</v>
      </c>
      <c r="U8" t="str">
        <v>surfaceid</v>
      </c>
      <c r="V8" t="str">
        <v>x1</v>
      </c>
      <c r="W8" t="str">
        <v>y1</v>
      </c>
      <c r="X8" t="str">
        <v>x2</v>
      </c>
      <c r="Y8" t="str">
        <v>y2</v>
      </c>
      <c r="Z8" t="str">
        <v>dx_seg</v>
      </c>
      <c r="AA8" t="str">
        <v>dy_seg</v>
      </c>
      <c r="AB8" t="str">
        <v>x1mod</v>
      </c>
      <c r="AC8" t="str">
        <v>y1mod</v>
      </c>
      <c r="AD8" t="str">
        <v>denom</v>
      </c>
      <c r="AE8" t="str">
        <v>t</v>
      </c>
      <c r="AF8" t="str">
        <v>u</v>
      </c>
      <c r="AG8" t="str">
        <v>Does Intercept</v>
      </c>
      <c r="AH8" t="str">
        <v>distance Surface1</v>
      </c>
      <c r="AI8" t="str">
        <v>surface2id</v>
      </c>
      <c r="AJ8" t="str">
        <v>x1</v>
      </c>
      <c r="AK8" t="str">
        <v>y1</v>
      </c>
      <c r="AL8" t="str">
        <v>x2</v>
      </c>
      <c r="AM8" t="str">
        <v>y2</v>
      </c>
      <c r="AN8" t="str">
        <v>dx_seg</v>
      </c>
      <c r="AO8" t="str">
        <v>dy_seg</v>
      </c>
      <c r="AP8" t="str">
        <v>x1mod</v>
      </c>
      <c r="AQ8" t="str">
        <v>y1mod</v>
      </c>
      <c r="AR8" t="str">
        <v>denom</v>
      </c>
      <c r="AS8" t="str">
        <v>t</v>
      </c>
      <c r="AT8" t="str">
        <v>u</v>
      </c>
      <c r="AU8" t="str">
        <v>Does Intercept</v>
      </c>
    </row>
    <row r="9" spans="1:47" x14ac:dyDescent="0.25">
      <c r="A9" t="s">
        <v>47</v>
      </c>
    </row>
    <row r="10" spans="1:47" x14ac:dyDescent="0.25">
      <c r="A10" cm="1">
        <f t="array" ref="A10:AU10">IF(INDEX(sim!1:1048576,F2-1,COLUMN(sim!A1:AU1))="","",INDEX(sim!1:1048576,F2-1,COLUMN(sim!A1:AU1)))</f>
        <v>5.3999999999999968</v>
      </c>
      <c r="B10">
        <v>0.1</v>
      </c>
      <c r="C10">
        <v>-431.1750638228188</v>
      </c>
      <c r="D10">
        <v>314.79713650545267</v>
      </c>
      <c r="E10">
        <v>2.466927619517997</v>
      </c>
      <c r="F10">
        <v>100.00107141575829</v>
      </c>
      <c r="G10">
        <v>100</v>
      </c>
      <c r="H10">
        <v>-9.3498663199527798E-5</v>
      </c>
      <c r="I10">
        <v>-5.3570787914480889E-3</v>
      </c>
      <c r="J10">
        <v>0</v>
      </c>
      <c r="K10">
        <v>0</v>
      </c>
      <c r="L10">
        <v>0</v>
      </c>
      <c r="M10">
        <v>-5.3570787914480889E-3</v>
      </c>
      <c r="N10">
        <v>-428.39261879768037</v>
      </c>
      <c r="O10">
        <v>324.40223929938895</v>
      </c>
      <c r="P10">
        <v>-400.56816854629591</v>
      </c>
      <c r="Q10">
        <v>420.45326723875166</v>
      </c>
      <c r="R10">
        <v>0.96051027939362688</v>
      </c>
      <c r="S10">
        <v>0.27824450251384464</v>
      </c>
      <c r="T10" t="str">
        <v/>
      </c>
      <c r="U10">
        <v>1</v>
      </c>
      <c r="V10">
        <v>0</v>
      </c>
      <c r="W10">
        <v>100</v>
      </c>
      <c r="X10">
        <v>-500</v>
      </c>
      <c r="Y10">
        <v>500</v>
      </c>
      <c r="Z10">
        <v>500</v>
      </c>
      <c r="AA10">
        <v>-400</v>
      </c>
      <c r="AB10">
        <v>-856.78523759536074</v>
      </c>
      <c r="AC10">
        <v>548.80447859877791</v>
      </c>
      <c r="AD10">
        <v>-591.55294070235129</v>
      </c>
      <c r="AE10">
        <v>100.00107141575829</v>
      </c>
      <c r="AF10">
        <v>0.80113574086150241</v>
      </c>
      <c r="AG10" t="b">
        <v>1</v>
      </c>
      <c r="AH10">
        <v>100.00107141575829</v>
      </c>
      <c r="AI10">
        <v>2</v>
      </c>
      <c r="AJ10">
        <v>-500</v>
      </c>
      <c r="AK10">
        <v>500</v>
      </c>
      <c r="AL10">
        <v>-500</v>
      </c>
      <c r="AM10">
        <v>1000</v>
      </c>
      <c r="AN10">
        <v>0</v>
      </c>
      <c r="AO10">
        <v>-500</v>
      </c>
      <c r="AP10">
        <v>-356.78523759536074</v>
      </c>
      <c r="AQ10">
        <v>148.80447859877791</v>
      </c>
      <c r="AR10">
        <v>-139.12225125692231</v>
      </c>
      <c r="AS10">
        <v>-257.35416353376706</v>
      </c>
      <c r="AT10">
        <v>-0.84557816043908551</v>
      </c>
      <c r="AU10" t="b">
        <v>0</v>
      </c>
    </row>
    <row r="11" spans="1:47" s="6" customFormat="1" x14ac:dyDescent="0.25">
      <c r="A11" s="6" cm="1">
        <f t="array" ref="A11:AU11">IF(INDEX(sim!1:1048576,F2,COLUMN(sim!A1:AU1))="","",INDEX(sim!1:1048576,F2,COLUMN(sim!A1:AU1)))</f>
        <v>5.4999999999999964</v>
      </c>
      <c r="B11" s="6">
        <v>0.1</v>
      </c>
      <c r="C11" s="6">
        <v>-438.98416768626538</v>
      </c>
      <c r="D11" s="6">
        <v>321.04356723426923</v>
      </c>
      <c r="E11" s="6">
        <v>2.4669182696516772</v>
      </c>
      <c r="F11" s="6">
        <v>100.00136575559402</v>
      </c>
      <c r="G11" s="6">
        <v>100</v>
      </c>
      <c r="H11" s="6">
        <v>-1.1918465946613935E-4</v>
      </c>
      <c r="I11" s="6">
        <v>-6.8287779701137197E-3</v>
      </c>
      <c r="J11" s="6">
        <v>0</v>
      </c>
      <c r="K11" s="6">
        <v>0</v>
      </c>
      <c r="L11" s="6">
        <v>0</v>
      </c>
      <c r="M11" s="6">
        <v>-6.8287779701137197E-3</v>
      </c>
      <c r="N11" s="6">
        <v>-436.20163285482147</v>
      </c>
      <c r="O11" s="6">
        <v>330.64864401229664</v>
      </c>
      <c r="P11" s="6">
        <v>-408.37628454038213</v>
      </c>
      <c r="Q11" s="6">
        <v>426.69941179257069</v>
      </c>
      <c r="R11" s="6">
        <v>0.96050767780274027</v>
      </c>
      <c r="S11" s="6">
        <v>0.27825348314439363</v>
      </c>
      <c r="T11" s="6" t="str">
        <v/>
      </c>
      <c r="U11" s="6">
        <v>1</v>
      </c>
      <c r="V11" s="6">
        <v>0</v>
      </c>
      <c r="W11" s="6">
        <v>100</v>
      </c>
      <c r="X11" s="6">
        <v>-500</v>
      </c>
      <c r="Y11" s="6">
        <v>500</v>
      </c>
      <c r="Z11" s="6">
        <v>500</v>
      </c>
      <c r="AA11" s="6">
        <v>-400</v>
      </c>
      <c r="AB11" s="6">
        <v>-872.40326570964294</v>
      </c>
      <c r="AC11" s="6">
        <v>561.29728802459329</v>
      </c>
      <c r="AD11" s="6">
        <v>-591.55523215912763</v>
      </c>
      <c r="AE11" s="6">
        <v>100.00136575559402</v>
      </c>
      <c r="AF11" s="6">
        <v>0.81675180902826183</v>
      </c>
      <c r="AG11" s="6" t="b">
        <v>1</v>
      </c>
      <c r="AH11" s="6">
        <v>100.00136575559402</v>
      </c>
      <c r="AI11" s="6">
        <v>2</v>
      </c>
      <c r="AJ11" s="6">
        <v>-500</v>
      </c>
      <c r="AK11" s="6">
        <v>500</v>
      </c>
      <c r="AL11" s="6">
        <v>-500</v>
      </c>
      <c r="AM11" s="6">
        <v>1000</v>
      </c>
      <c r="AN11" s="6">
        <v>0</v>
      </c>
      <c r="AO11" s="6">
        <v>-500</v>
      </c>
      <c r="AP11" s="6">
        <v>-372.40326570964294</v>
      </c>
      <c r="AQ11" s="6">
        <v>161.29728802459329</v>
      </c>
      <c r="AR11" s="6">
        <v>-139.12674157219681</v>
      </c>
      <c r="AS11" s="6">
        <v>-229.28146819305675</v>
      </c>
      <c r="AT11" s="6">
        <v>-0.77915593313003828</v>
      </c>
      <c r="AU11" s="6" t="b">
        <v>0</v>
      </c>
    </row>
    <row r="12" spans="1:47" x14ac:dyDescent="0.25">
      <c r="A12" cm="1">
        <f t="array" ref="A12:AU12">IF(INDEX(sim!1:1048576,F2+1,COLUMN(sim!A1:AU1))="","",INDEX(sim!1:1048576,F2+1,COLUMN(sim!A1:AU1)))</f>
        <v>5.5999999999999961</v>
      </c>
      <c r="B12">
        <v>0.1</v>
      </c>
      <c r="C12">
        <v>-446.79319710128539</v>
      </c>
      <c r="D12">
        <v>327.29009103518058</v>
      </c>
      <c r="E12">
        <v>2.4669063511857305</v>
      </c>
      <c r="F12">
        <v>100.00141404071519</v>
      </c>
      <c r="G12">
        <v>100</v>
      </c>
      <c r="H12">
        <v>-1.2339833118659685E-4</v>
      </c>
      <c r="I12">
        <v>-7.0702035759495629E-3</v>
      </c>
      <c r="J12">
        <v>0</v>
      </c>
      <c r="K12">
        <v>0</v>
      </c>
      <c r="L12">
        <v>0</v>
      </c>
      <c r="M12">
        <v>-7.0702035759495629E-3</v>
      </c>
      <c r="N12">
        <v>-444.01054779225859</v>
      </c>
      <c r="O12">
        <v>336.89513464897914</v>
      </c>
      <c r="P12">
        <v>-416.18405470199059</v>
      </c>
      <c r="Q12">
        <v>432.94557078696482</v>
      </c>
      <c r="R12">
        <v>0.96050436137985695</v>
      </c>
      <c r="S12">
        <v>0.27826493090267979</v>
      </c>
      <c r="T12" t="str">
        <v/>
      </c>
      <c r="U12">
        <v>1</v>
      </c>
      <c r="V12">
        <v>0</v>
      </c>
      <c r="W12">
        <v>100</v>
      </c>
      <c r="X12">
        <v>-500</v>
      </c>
      <c r="Y12">
        <v>500</v>
      </c>
      <c r="Z12">
        <v>500</v>
      </c>
      <c r="AA12">
        <v>-400</v>
      </c>
      <c r="AB12">
        <v>-888.02109558451718</v>
      </c>
      <c r="AC12">
        <v>573.79026929795828</v>
      </c>
      <c r="AD12">
        <v>-591.55815305100043</v>
      </c>
      <c r="AE12">
        <v>100.00141404071519</v>
      </c>
      <c r="AF12">
        <v>0.8323673224480973</v>
      </c>
      <c r="AG12" t="b">
        <v>1</v>
      </c>
      <c r="AH12">
        <v>100.00141404071519</v>
      </c>
      <c r="AI12">
        <v>2</v>
      </c>
      <c r="AJ12">
        <v>-500</v>
      </c>
      <c r="AK12">
        <v>500</v>
      </c>
      <c r="AL12">
        <v>-500</v>
      </c>
      <c r="AM12">
        <v>1000</v>
      </c>
      <c r="AN12">
        <v>0</v>
      </c>
      <c r="AO12">
        <v>-500</v>
      </c>
      <c r="AP12">
        <v>-388.02109558451718</v>
      </c>
      <c r="AQ12">
        <v>173.79026929795828</v>
      </c>
      <c r="AR12">
        <v>-139.1324654513399</v>
      </c>
      <c r="AS12">
        <v>-201.2091571370994</v>
      </c>
      <c r="AT12">
        <v>-0.71273427666153966</v>
      </c>
      <c r="AU12" t="b">
        <v>0</v>
      </c>
    </row>
    <row r="13" spans="1:47" x14ac:dyDescent="0.25">
      <c r="A13" t="s">
        <v>48</v>
      </c>
    </row>
    <row r="14" spans="1:47" x14ac:dyDescent="0.25">
      <c r="A14" cm="1">
        <f t="array" ref="A14:AU301">IF(INDEX(sim!1:1048576,_xlfn.SEQUENCE(D2-B1,1,B1),COLUMN(sim!A1:AU1))="","",INDEX(sim!1:1048576,_xlfn.SEQUENCE(D2-B1,1,B1),COLUMN(sim!A1:AU1)))</f>
        <v>0</v>
      </c>
      <c r="B14">
        <v>0</v>
      </c>
      <c r="C14">
        <v>-110</v>
      </c>
      <c r="D14">
        <v>-50</v>
      </c>
      <c r="E14">
        <v>1.5707963267948966</v>
      </c>
      <c r="F14">
        <v>109.06314203216333</v>
      </c>
      <c r="G14">
        <v>100</v>
      </c>
      <c r="H14">
        <v>-0.79090834518569941</v>
      </c>
      <c r="I14">
        <v>-45.315710160816636</v>
      </c>
      <c r="J14">
        <v>0</v>
      </c>
      <c r="K14">
        <v>0</v>
      </c>
      <c r="L14">
        <v>0</v>
      </c>
      <c r="M14">
        <v>-45.315710160816636</v>
      </c>
      <c r="N14">
        <v>-100.76120467488713</v>
      </c>
      <c r="O14">
        <v>-46.1731656763491</v>
      </c>
      <c r="P14">
        <v>-8.3732514237584468</v>
      </c>
      <c r="Q14">
        <v>-7.9048224398401246</v>
      </c>
      <c r="R14">
        <v>0.38268343236508978</v>
      </c>
      <c r="S14">
        <v>0.92387953251128674</v>
      </c>
      <c r="T14" t="str">
        <v/>
      </c>
      <c r="U14">
        <v>0</v>
      </c>
      <c r="V14">
        <v>0</v>
      </c>
      <c r="W14">
        <v>-100</v>
      </c>
      <c r="X14">
        <v>0</v>
      </c>
      <c r="Y14">
        <v>100</v>
      </c>
      <c r="Z14">
        <v>0</v>
      </c>
      <c r="AA14">
        <v>-200</v>
      </c>
      <c r="AB14">
        <v>-201.52240934977425</v>
      </c>
      <c r="AC14">
        <v>7.6536686473017994</v>
      </c>
      <c r="AD14">
        <v>-184.77590650225736</v>
      </c>
      <c r="AE14">
        <v>109.06314203216333</v>
      </c>
      <c r="AF14">
        <v>0.47781745930520225</v>
      </c>
      <c r="AG14" t="b">
        <v>1</v>
      </c>
      <c r="AH14">
        <v>109.06314203216333</v>
      </c>
      <c r="AI14">
        <v>1</v>
      </c>
      <c r="AJ14">
        <v>0</v>
      </c>
      <c r="AK14">
        <v>100</v>
      </c>
      <c r="AL14">
        <v>-500</v>
      </c>
      <c r="AM14">
        <v>500</v>
      </c>
      <c r="AN14">
        <v>500</v>
      </c>
      <c r="AO14">
        <v>-400</v>
      </c>
      <c r="AP14">
        <v>-201.52240934977425</v>
      </c>
      <c r="AQ14">
        <v>-192.3463313526982</v>
      </c>
      <c r="AR14">
        <v>-560.89352918705958</v>
      </c>
      <c r="AS14">
        <v>202.16147772728746</v>
      </c>
      <c r="AT14">
        <v>-0.17202329371918024</v>
      </c>
      <c r="AU14" t="b">
        <v>0</v>
      </c>
    </row>
    <row r="15" spans="1:47" x14ac:dyDescent="0.25">
      <c r="A15">
        <v>0.1</v>
      </c>
      <c r="B15">
        <v>0.1</v>
      </c>
      <c r="C15">
        <v>-109.20991596637195</v>
      </c>
      <c r="D15">
        <v>-40.031260499952566</v>
      </c>
      <c r="E15">
        <v>1.4917054922763267</v>
      </c>
      <c r="F15">
        <v>104.80956346051892</v>
      </c>
      <c r="G15">
        <v>100</v>
      </c>
      <c r="H15">
        <v>-0.41971358984833695</v>
      </c>
      <c r="I15">
        <v>-24.047817302594581</v>
      </c>
      <c r="J15">
        <v>0</v>
      </c>
      <c r="K15">
        <v>0</v>
      </c>
      <c r="L15">
        <v>0</v>
      </c>
      <c r="M15">
        <v>-24.047817302594581</v>
      </c>
      <c r="N15">
        <v>-99.697649507495697</v>
      </c>
      <c r="O15">
        <v>-36.946331519353876</v>
      </c>
      <c r="P15">
        <v>-4.5749849187330938</v>
      </c>
      <c r="Q15">
        <v>-6.0970417133669699</v>
      </c>
      <c r="R15">
        <v>0.30849289805986907</v>
      </c>
      <c r="S15">
        <v>0.95122664588762607</v>
      </c>
      <c r="T15" t="str">
        <v/>
      </c>
      <c r="U15">
        <v>0</v>
      </c>
      <c r="V15">
        <v>0</v>
      </c>
      <c r="W15">
        <v>-100</v>
      </c>
      <c r="X15">
        <v>0</v>
      </c>
      <c r="Y15">
        <v>100</v>
      </c>
      <c r="Z15">
        <v>0</v>
      </c>
      <c r="AA15">
        <v>-200</v>
      </c>
      <c r="AB15">
        <v>-199.39529901499139</v>
      </c>
      <c r="AC15">
        <v>26.107336961292248</v>
      </c>
      <c r="AD15">
        <v>-190.24532917752521</v>
      </c>
      <c r="AE15">
        <v>104.80956346051892</v>
      </c>
      <c r="AF15">
        <v>0.47693337228485683</v>
      </c>
      <c r="AG15" t="b">
        <v>1</v>
      </c>
      <c r="AH15">
        <v>104.80956346051892</v>
      </c>
      <c r="AI15">
        <v>1</v>
      </c>
      <c r="AJ15">
        <v>0</v>
      </c>
      <c r="AK15">
        <v>100</v>
      </c>
      <c r="AL15">
        <v>-500</v>
      </c>
      <c r="AM15">
        <v>500</v>
      </c>
      <c r="AN15">
        <v>500</v>
      </c>
      <c r="AO15">
        <v>-400</v>
      </c>
      <c r="AP15">
        <v>-199.39529901499139</v>
      </c>
      <c r="AQ15">
        <v>-173.89266303870775</v>
      </c>
      <c r="AR15">
        <v>-534.73710738498494</v>
      </c>
      <c r="AS15">
        <v>202.62709295142827</v>
      </c>
      <c r="AT15">
        <v>-0.18609328097330324</v>
      </c>
      <c r="AU15" t="b">
        <v>0</v>
      </c>
    </row>
    <row r="16" spans="1:47" x14ac:dyDescent="0.25">
      <c r="A16">
        <v>0.2</v>
      </c>
      <c r="B16">
        <v>0.1</v>
      </c>
      <c r="C16">
        <v>-108.00224902196395</v>
      </c>
      <c r="D16">
        <v>-30.104451317169598</v>
      </c>
      <c r="E16">
        <v>1.449734133291493</v>
      </c>
      <c r="F16">
        <v>102.11310054423642</v>
      </c>
      <c r="G16">
        <v>100</v>
      </c>
      <c r="H16">
        <v>-0.18440280961304781</v>
      </c>
      <c r="I16">
        <v>-10.565502721182085</v>
      </c>
      <c r="J16">
        <v>0</v>
      </c>
      <c r="K16">
        <v>0</v>
      </c>
      <c r="L16">
        <v>0</v>
      </c>
      <c r="M16">
        <v>-10.565502721182085</v>
      </c>
      <c r="N16">
        <v>-98.368919063405755</v>
      </c>
      <c r="O16">
        <v>-27.421364678697927</v>
      </c>
      <c r="P16">
        <v>-2.035619477823829</v>
      </c>
      <c r="Q16">
        <v>-0.59049829398121645</v>
      </c>
      <c r="R16">
        <v>0.26830866384716712</v>
      </c>
      <c r="S16">
        <v>0.96333299585581922</v>
      </c>
      <c r="T16" t="str">
        <v/>
      </c>
      <c r="U16">
        <v>0</v>
      </c>
      <c r="V16">
        <v>0</v>
      </c>
      <c r="W16">
        <v>-100</v>
      </c>
      <c r="X16">
        <v>0</v>
      </c>
      <c r="Y16">
        <v>100</v>
      </c>
      <c r="Z16">
        <v>0</v>
      </c>
      <c r="AA16">
        <v>-200</v>
      </c>
      <c r="AB16">
        <v>-196.73783812681151</v>
      </c>
      <c r="AC16">
        <v>45.157270642604146</v>
      </c>
      <c r="AD16">
        <v>-192.66659917116385</v>
      </c>
      <c r="AE16">
        <v>102.11310054423642</v>
      </c>
      <c r="AF16">
        <v>0.49988232444808783</v>
      </c>
      <c r="AG16" t="b">
        <v>1</v>
      </c>
      <c r="AH16">
        <v>102.11310054423642</v>
      </c>
      <c r="AI16">
        <v>1</v>
      </c>
      <c r="AJ16">
        <v>0</v>
      </c>
      <c r="AK16">
        <v>100</v>
      </c>
      <c r="AL16">
        <v>-500</v>
      </c>
      <c r="AM16">
        <v>500</v>
      </c>
      <c r="AN16">
        <v>500</v>
      </c>
      <c r="AO16">
        <v>-400</v>
      </c>
      <c r="AP16">
        <v>-196.73783812681151</v>
      </c>
      <c r="AQ16">
        <v>-154.84272935739585</v>
      </c>
      <c r="AR16">
        <v>-519.48753026591123</v>
      </c>
      <c r="AS16">
        <v>198.38445383271971</v>
      </c>
      <c r="AT16">
        <v>-0.18548274235697718</v>
      </c>
      <c r="AU16" t="b">
        <v>0</v>
      </c>
    </row>
    <row r="17" spans="1:47" x14ac:dyDescent="0.25">
      <c r="A17">
        <v>0.30000000000000004</v>
      </c>
      <c r="B17">
        <v>0.1</v>
      </c>
      <c r="C17">
        <v>-106.61174462546073</v>
      </c>
      <c r="D17">
        <v>-20.201598317992783</v>
      </c>
      <c r="E17">
        <v>1.4312938523301884</v>
      </c>
      <c r="F17">
        <v>100.12283281031425</v>
      </c>
      <c r="G17">
        <v>100</v>
      </c>
      <c r="H17">
        <v>-1.0719184847306584E-2</v>
      </c>
      <c r="I17">
        <v>-0.61416405157125098</v>
      </c>
      <c r="J17">
        <v>0</v>
      </c>
      <c r="K17">
        <v>0</v>
      </c>
      <c r="L17">
        <v>0</v>
      </c>
      <c r="M17">
        <v>-0.61416405157125098</v>
      </c>
      <c r="N17">
        <v>-96.930578430880658</v>
      </c>
      <c r="O17">
        <v>-17.696599093857159</v>
      </c>
      <c r="P17">
        <v>-0.11891648507996422</v>
      </c>
      <c r="Q17">
        <v>7.3533931474990588</v>
      </c>
      <c r="R17">
        <v>0.25049992241356217</v>
      </c>
      <c r="S17">
        <v>0.96811661945800687</v>
      </c>
      <c r="T17" t="str">
        <v/>
      </c>
      <c r="U17">
        <v>0</v>
      </c>
      <c r="V17">
        <v>0</v>
      </c>
      <c r="W17">
        <v>-100</v>
      </c>
      <c r="X17">
        <v>0</v>
      </c>
      <c r="Y17">
        <v>100</v>
      </c>
      <c r="Z17">
        <v>0</v>
      </c>
      <c r="AA17">
        <v>-200</v>
      </c>
      <c r="AB17">
        <v>-193.86115686176132</v>
      </c>
      <c r="AC17">
        <v>64.606801812285681</v>
      </c>
      <c r="AD17">
        <v>-193.62332389160139</v>
      </c>
      <c r="AE17">
        <v>100.12283281031425</v>
      </c>
      <c r="AF17">
        <v>0.53692081378476308</v>
      </c>
      <c r="AG17" t="b">
        <v>1</v>
      </c>
      <c r="AH17">
        <v>100.12283281031425</v>
      </c>
      <c r="AI17">
        <v>1</v>
      </c>
      <c r="AJ17">
        <v>0</v>
      </c>
      <c r="AK17">
        <v>100</v>
      </c>
      <c r="AL17">
        <v>-500</v>
      </c>
      <c r="AM17">
        <v>500</v>
      </c>
      <c r="AN17">
        <v>500</v>
      </c>
      <c r="AO17">
        <v>-400</v>
      </c>
      <c r="AP17">
        <v>-193.86115686176132</v>
      </c>
      <c r="AQ17">
        <v>-135.39319818771432</v>
      </c>
      <c r="AR17">
        <v>-512.49660898998388</v>
      </c>
      <c r="AS17">
        <v>190.48034505373423</v>
      </c>
      <c r="AT17">
        <v>-0.17495321859147042</v>
      </c>
      <c r="AU17" t="b">
        <v>0</v>
      </c>
    </row>
    <row r="18" spans="1:47" x14ac:dyDescent="0.25">
      <c r="A18">
        <v>0.4</v>
      </c>
      <c r="B18">
        <v>0.1</v>
      </c>
      <c r="C18">
        <v>-105.21062597866003</v>
      </c>
      <c r="D18">
        <v>-10.300241515130491</v>
      </c>
      <c r="E18">
        <v>1.4302219338454576</v>
      </c>
      <c r="F18">
        <v>98.645499206641986</v>
      </c>
      <c r="G18">
        <v>100</v>
      </c>
      <c r="H18">
        <v>0.11820249282486341</v>
      </c>
      <c r="I18">
        <v>6.7725039667900688</v>
      </c>
      <c r="J18">
        <v>0</v>
      </c>
      <c r="K18">
        <v>0</v>
      </c>
      <c r="L18">
        <v>0</v>
      </c>
      <c r="M18">
        <v>6.7725039667900688</v>
      </c>
      <c r="N18">
        <v>-95.526780191495746</v>
      </c>
      <c r="O18">
        <v>-7.8056211491387852</v>
      </c>
      <c r="P18">
        <v>1.3116776801470706</v>
      </c>
      <c r="Q18">
        <v>17.140582510778273</v>
      </c>
      <c r="R18">
        <v>0.24946203659917057</v>
      </c>
      <c r="S18">
        <v>0.96838457871642813</v>
      </c>
      <c r="T18" t="str">
        <v/>
      </c>
      <c r="U18">
        <v>0</v>
      </c>
      <c r="V18">
        <v>0</v>
      </c>
      <c r="W18">
        <v>-100</v>
      </c>
      <c r="X18">
        <v>0</v>
      </c>
      <c r="Y18">
        <v>100</v>
      </c>
      <c r="Z18">
        <v>0</v>
      </c>
      <c r="AA18">
        <v>-200</v>
      </c>
      <c r="AB18">
        <v>-191.05356038299149</v>
      </c>
      <c r="AC18">
        <v>84.388757701722426</v>
      </c>
      <c r="AD18">
        <v>-193.67691574328563</v>
      </c>
      <c r="AE18">
        <v>98.645499206641986</v>
      </c>
      <c r="AF18">
        <v>0.58401342992145988</v>
      </c>
      <c r="AG18" t="b">
        <v>1</v>
      </c>
      <c r="AH18">
        <v>98.645499206641986</v>
      </c>
      <c r="AI18">
        <v>1</v>
      </c>
      <c r="AJ18">
        <v>0</v>
      </c>
      <c r="AK18">
        <v>100</v>
      </c>
      <c r="AL18">
        <v>-500</v>
      </c>
      <c r="AM18">
        <v>500</v>
      </c>
      <c r="AN18">
        <v>500</v>
      </c>
      <c r="AO18">
        <v>-400</v>
      </c>
      <c r="AP18">
        <v>-191.05356038299149</v>
      </c>
      <c r="AQ18">
        <v>-115.61124229827757</v>
      </c>
      <c r="AR18">
        <v>-512.08484978615661</v>
      </c>
      <c r="AS18">
        <v>179.87941390891316</v>
      </c>
      <c r="AT18">
        <v>-0.1573313405328903</v>
      </c>
      <c r="AU18" t="b">
        <v>0</v>
      </c>
    </row>
    <row r="19" spans="1:47" x14ac:dyDescent="0.25">
      <c r="A19">
        <v>0.5</v>
      </c>
      <c r="B19">
        <v>0.1</v>
      </c>
      <c r="C19">
        <v>-103.9266389919795</v>
      </c>
      <c r="D19">
        <v>-0.3830152185274418</v>
      </c>
      <c r="E19">
        <v>1.442042183127944</v>
      </c>
      <c r="F19">
        <v>97.654912241856223</v>
      </c>
      <c r="G19">
        <v>100</v>
      </c>
      <c r="H19">
        <v>0.20464751313910684</v>
      </c>
      <c r="I19">
        <v>11.725438790718883</v>
      </c>
      <c r="J19">
        <v>0</v>
      </c>
      <c r="K19">
        <v>0</v>
      </c>
      <c r="L19">
        <v>0</v>
      </c>
      <c r="M19">
        <v>11.725438790718883</v>
      </c>
      <c r="N19">
        <v>-94.272956050090215</v>
      </c>
      <c r="O19">
        <v>2.2258936831929512</v>
      </c>
      <c r="P19">
        <v>2.2638733688025923</v>
      </c>
      <c r="Q19">
        <v>28.314982700396882</v>
      </c>
      <c r="R19">
        <v>0.26089089017203931</v>
      </c>
      <c r="S19">
        <v>0.96536829418892811</v>
      </c>
      <c r="T19" t="str">
        <v/>
      </c>
      <c r="U19">
        <v>0</v>
      </c>
      <c r="V19">
        <v>0</v>
      </c>
      <c r="W19">
        <v>-100</v>
      </c>
      <c r="X19">
        <v>0</v>
      </c>
      <c r="Y19">
        <v>100</v>
      </c>
      <c r="Z19">
        <v>0</v>
      </c>
      <c r="AA19">
        <v>-200</v>
      </c>
      <c r="AB19">
        <v>-188.54591210018043</v>
      </c>
      <c r="AC19">
        <v>104.4517873663859</v>
      </c>
      <c r="AD19">
        <v>-193.07365883778562</v>
      </c>
      <c r="AE19">
        <v>97.654912241856223</v>
      </c>
      <c r="AF19">
        <v>0.63851585333821592</v>
      </c>
      <c r="AG19" t="b">
        <v>1</v>
      </c>
      <c r="AH19">
        <v>97.654912241856223</v>
      </c>
      <c r="AI19">
        <v>1</v>
      </c>
      <c r="AJ19">
        <v>0</v>
      </c>
      <c r="AK19">
        <v>100</v>
      </c>
      <c r="AL19">
        <v>-500</v>
      </c>
      <c r="AM19">
        <v>500</v>
      </c>
      <c r="AN19">
        <v>500</v>
      </c>
      <c r="AO19">
        <v>-400</v>
      </c>
      <c r="AP19">
        <v>-188.54591210018043</v>
      </c>
      <c r="AQ19">
        <v>-95.548212633614099</v>
      </c>
      <c r="AR19">
        <v>-516.59276276159085</v>
      </c>
      <c r="AS19">
        <v>167.62959495505754</v>
      </c>
      <c r="AT19">
        <v>-0.13510268017450927</v>
      </c>
      <c r="AU19" t="b">
        <v>0</v>
      </c>
    </row>
    <row r="20" spans="1:47" x14ac:dyDescent="0.25">
      <c r="A20">
        <v>0.6</v>
      </c>
      <c r="B20">
        <v>0.1</v>
      </c>
      <c r="C20">
        <v>-102.8458602704888</v>
      </c>
      <c r="D20">
        <v>9.5584090936711341</v>
      </c>
      <c r="E20">
        <v>1.4625069344418546</v>
      </c>
      <c r="F20">
        <v>97.150362975851991</v>
      </c>
      <c r="G20">
        <v>100</v>
      </c>
      <c r="H20">
        <v>0.24867774279057961</v>
      </c>
      <c r="I20">
        <v>14.248185120740047</v>
      </c>
      <c r="J20">
        <v>0</v>
      </c>
      <c r="K20">
        <v>0</v>
      </c>
      <c r="L20">
        <v>0</v>
      </c>
      <c r="M20">
        <v>14.248185120740047</v>
      </c>
      <c r="N20">
        <v>-93.247585713671228</v>
      </c>
      <c r="O20">
        <v>12.364318132102056</v>
      </c>
      <c r="P20">
        <v>2.7351598545045306</v>
      </c>
      <c r="Q20">
        <v>40.423408516411286</v>
      </c>
      <c r="R20">
        <v>0.28059090384309232</v>
      </c>
      <c r="S20">
        <v>0.95982745568175765</v>
      </c>
      <c r="T20" t="str">
        <v/>
      </c>
      <c r="U20">
        <v>0</v>
      </c>
      <c r="V20">
        <v>0</v>
      </c>
      <c r="W20">
        <v>-100</v>
      </c>
      <c r="X20">
        <v>0</v>
      </c>
      <c r="Y20">
        <v>100</v>
      </c>
      <c r="Z20">
        <v>0</v>
      </c>
      <c r="AA20">
        <v>-200</v>
      </c>
      <c r="AB20">
        <v>-186.49517142734246</v>
      </c>
      <c r="AC20">
        <v>124.72863626420411</v>
      </c>
      <c r="AD20">
        <v>-191.96549113635152</v>
      </c>
      <c r="AE20">
        <v>97.150362975851991</v>
      </c>
      <c r="AF20">
        <v>0.69811913144090443</v>
      </c>
      <c r="AG20" t="b">
        <v>1</v>
      </c>
      <c r="AH20">
        <v>97.150362975851991</v>
      </c>
      <c r="AI20">
        <v>1</v>
      </c>
      <c r="AJ20">
        <v>0</v>
      </c>
      <c r="AK20">
        <v>100</v>
      </c>
      <c r="AL20">
        <v>-500</v>
      </c>
      <c r="AM20">
        <v>500</v>
      </c>
      <c r="AN20">
        <v>500</v>
      </c>
      <c r="AO20">
        <v>-400</v>
      </c>
      <c r="AP20">
        <v>-186.49517142734246</v>
      </c>
      <c r="AQ20">
        <v>-75.271363735795887</v>
      </c>
      <c r="AR20">
        <v>-524.22643419424924</v>
      </c>
      <c r="AS20">
        <v>154.73633134142958</v>
      </c>
      <c r="AT20">
        <v>-0.11054518699860504</v>
      </c>
      <c r="AU20" t="b">
        <v>0</v>
      </c>
    </row>
    <row r="21" spans="1:47" x14ac:dyDescent="0.25">
      <c r="A21">
        <v>0.7</v>
      </c>
      <c r="B21">
        <v>0.1</v>
      </c>
      <c r="C21">
        <v>-102.01261132799297</v>
      </c>
      <c r="D21">
        <v>19.523633436345492</v>
      </c>
      <c r="E21">
        <v>1.4873747087209126</v>
      </c>
      <c r="F21">
        <v>97.093812495530031</v>
      </c>
      <c r="G21">
        <v>100</v>
      </c>
      <c r="H21">
        <v>0.2536127031665919</v>
      </c>
      <c r="I21">
        <v>14.530937522349845</v>
      </c>
      <c r="J21">
        <v>0</v>
      </c>
      <c r="K21">
        <v>0</v>
      </c>
      <c r="L21">
        <v>0</v>
      </c>
      <c r="M21">
        <v>14.530937522349845</v>
      </c>
      <c r="N21">
        <v>-92.487073955584009</v>
      </c>
      <c r="O21">
        <v>22.567338048629686</v>
      </c>
      <c r="P21">
        <v>2.7682997685056563</v>
      </c>
      <c r="Q21">
        <v>53.004384171471656</v>
      </c>
      <c r="R21">
        <v>0.30437046122841965</v>
      </c>
      <c r="S21">
        <v>0.95255373724089665</v>
      </c>
      <c r="T21" t="str">
        <v/>
      </c>
      <c r="U21">
        <v>0</v>
      </c>
      <c r="V21">
        <v>0</v>
      </c>
      <c r="W21">
        <v>-100</v>
      </c>
      <c r="X21">
        <v>0</v>
      </c>
      <c r="Y21">
        <v>100</v>
      </c>
      <c r="Z21">
        <v>0</v>
      </c>
      <c r="AA21">
        <v>-200</v>
      </c>
      <c r="AB21">
        <v>-184.97414791116802</v>
      </c>
      <c r="AC21">
        <v>145.13467609725939</v>
      </c>
      <c r="AD21">
        <v>-190.51074744817933</v>
      </c>
      <c r="AE21">
        <v>97.093812495530031</v>
      </c>
      <c r="AF21">
        <v>0.7605991327015994</v>
      </c>
      <c r="AG21" t="b">
        <v>1</v>
      </c>
      <c r="AH21">
        <v>97.093812495530031</v>
      </c>
      <c r="AI21">
        <v>1</v>
      </c>
      <c r="AJ21">
        <v>0</v>
      </c>
      <c r="AK21">
        <v>100</v>
      </c>
      <c r="AL21">
        <v>-500</v>
      </c>
      <c r="AM21">
        <v>500</v>
      </c>
      <c r="AN21">
        <v>500</v>
      </c>
      <c r="AO21">
        <v>-400</v>
      </c>
      <c r="AP21">
        <v>-184.97414791116802</v>
      </c>
      <c r="AQ21">
        <v>-54.865323902740627</v>
      </c>
      <c r="AR21">
        <v>-533.2067255105685</v>
      </c>
      <c r="AS21">
        <v>141.99213351148569</v>
      </c>
      <c r="AT21">
        <v>-8.5536126959180142E-2</v>
      </c>
      <c r="AU21" t="b">
        <v>0</v>
      </c>
    </row>
    <row r="22" spans="1:47" x14ac:dyDescent="0.25">
      <c r="A22">
        <v>0.79999999999999993</v>
      </c>
      <c r="B22">
        <v>0.1</v>
      </c>
      <c r="C22">
        <v>-101.43233399821504</v>
      </c>
      <c r="D22">
        <v>29.506783150766577</v>
      </c>
      <c r="E22">
        <v>1.5127359790375718</v>
      </c>
      <c r="F22">
        <v>97.389324973245465</v>
      </c>
      <c r="G22">
        <v>100</v>
      </c>
      <c r="H22">
        <v>0.22782437458228846</v>
      </c>
      <c r="I22">
        <v>13.053375133772676</v>
      </c>
      <c r="J22">
        <v>0</v>
      </c>
      <c r="K22">
        <v>0</v>
      </c>
      <c r="L22">
        <v>0</v>
      </c>
      <c r="M22">
        <v>13.053375133772676</v>
      </c>
      <c r="N22">
        <v>-91.987043786782436</v>
      </c>
      <c r="O22">
        <v>32.79106280113367</v>
      </c>
      <c r="P22">
        <v>2.4658583275436143</v>
      </c>
      <c r="Q22">
        <v>65.633859304804631</v>
      </c>
      <c r="R22">
        <v>0.32842796503670962</v>
      </c>
      <c r="S22">
        <v>0.94452902114326054</v>
      </c>
      <c r="T22" t="str">
        <v/>
      </c>
      <c r="U22">
        <v>0</v>
      </c>
      <c r="V22">
        <v>0</v>
      </c>
      <c r="W22">
        <v>-100</v>
      </c>
      <c r="X22">
        <v>0</v>
      </c>
      <c r="Y22">
        <v>100</v>
      </c>
      <c r="Z22">
        <v>0</v>
      </c>
      <c r="AA22">
        <v>-200</v>
      </c>
      <c r="AB22">
        <v>-183.97408757356487</v>
      </c>
      <c r="AC22">
        <v>165.58212560226735</v>
      </c>
      <c r="AD22">
        <v>-188.9058042286521</v>
      </c>
      <c r="AE22">
        <v>97.389324973245465</v>
      </c>
      <c r="AF22">
        <v>0.82388220309197757</v>
      </c>
      <c r="AG22" t="b">
        <v>1</v>
      </c>
      <c r="AH22">
        <v>97.389324973245465</v>
      </c>
      <c r="AI22">
        <v>1</v>
      </c>
      <c r="AJ22">
        <v>0</v>
      </c>
      <c r="AK22">
        <v>100</v>
      </c>
      <c r="AL22">
        <v>-500</v>
      </c>
      <c r="AM22">
        <v>500</v>
      </c>
      <c r="AN22">
        <v>500</v>
      </c>
      <c r="AO22">
        <v>-400</v>
      </c>
      <c r="AP22">
        <v>-183.97408757356487</v>
      </c>
      <c r="AQ22">
        <v>-34.41787439773266</v>
      </c>
      <c r="AR22">
        <v>-542.02559097565904</v>
      </c>
      <c r="AS22">
        <v>129.88184928210813</v>
      </c>
      <c r="AT22">
        <v>-6.1380264359847302E-2</v>
      </c>
      <c r="AU22" t="b">
        <v>0</v>
      </c>
    </row>
    <row r="23" spans="1:47" x14ac:dyDescent="0.25">
      <c r="A23">
        <v>0.89999999999999991</v>
      </c>
      <c r="B23">
        <v>0.1</v>
      </c>
      <c r="C23">
        <v>-101.07962806475651</v>
      </c>
      <c r="D23">
        <v>39.500561141321654</v>
      </c>
      <c r="E23">
        <v>1.5355184164958007</v>
      </c>
      <c r="F23">
        <v>97.898584979257251</v>
      </c>
      <c r="G23">
        <v>100</v>
      </c>
      <c r="H23">
        <v>0.18338305531412954</v>
      </c>
      <c r="I23">
        <v>10.507075103713746</v>
      </c>
      <c r="J23">
        <v>0</v>
      </c>
      <c r="K23">
        <v>0</v>
      </c>
      <c r="L23">
        <v>0</v>
      </c>
      <c r="M23">
        <v>10.507075103713746</v>
      </c>
      <c r="N23">
        <v>-91.71160640958945</v>
      </c>
      <c r="O23">
        <v>42.999156612124338</v>
      </c>
      <c r="P23">
        <v>1.9686101420811468</v>
      </c>
      <c r="Q23">
        <v>77.985111320151162</v>
      </c>
      <c r="R23">
        <v>0.34985954708026823</v>
      </c>
      <c r="S23">
        <v>0.93680216551670592</v>
      </c>
      <c r="T23" t="str">
        <v/>
      </c>
      <c r="U23">
        <v>0</v>
      </c>
      <c r="V23">
        <v>0</v>
      </c>
      <c r="W23">
        <v>-100</v>
      </c>
      <c r="X23">
        <v>0</v>
      </c>
      <c r="Y23">
        <v>100</v>
      </c>
      <c r="Z23">
        <v>0</v>
      </c>
      <c r="AA23">
        <v>-200</v>
      </c>
      <c r="AB23">
        <v>-183.4232128191789</v>
      </c>
      <c r="AC23">
        <v>185.99831322424868</v>
      </c>
      <c r="AD23">
        <v>-187.36043310334119</v>
      </c>
      <c r="AE23">
        <v>97.898584979257251</v>
      </c>
      <c r="AF23">
        <v>0.88624955606383204</v>
      </c>
      <c r="AG23" t="b">
        <v>1</v>
      </c>
      <c r="AH23">
        <v>97.898584979257251</v>
      </c>
      <c r="AI23">
        <v>1</v>
      </c>
      <c r="AJ23">
        <v>0</v>
      </c>
      <c r="AK23">
        <v>100</v>
      </c>
      <c r="AL23">
        <v>-500</v>
      </c>
      <c r="AM23">
        <v>500</v>
      </c>
      <c r="AN23">
        <v>500</v>
      </c>
      <c r="AO23">
        <v>-400</v>
      </c>
      <c r="AP23">
        <v>-183.4232128191789</v>
      </c>
      <c r="AQ23">
        <v>-14.001686775751324</v>
      </c>
      <c r="AR23">
        <v>-549.65063974681652</v>
      </c>
      <c r="AS23">
        <v>118.59362937847132</v>
      </c>
      <c r="AT23">
        <v>-3.8774324817296243E-2</v>
      </c>
      <c r="AU23" t="b">
        <v>0</v>
      </c>
    </row>
    <row r="24" spans="1:47" x14ac:dyDescent="0.25">
      <c r="A24">
        <v>0.99999999999999989</v>
      </c>
      <c r="B24">
        <v>0.1</v>
      </c>
      <c r="C24">
        <v>-100.91024011833534</v>
      </c>
      <c r="D24">
        <v>49.499126424581405</v>
      </c>
      <c r="E24">
        <v>1.5538567220272137</v>
      </c>
      <c r="F24">
        <v>98.478902296683842</v>
      </c>
      <c r="G24">
        <v>100</v>
      </c>
      <c r="H24">
        <v>0.13274081583695416</v>
      </c>
      <c r="I24">
        <v>7.6054885165807917</v>
      </c>
      <c r="J24">
        <v>0</v>
      </c>
      <c r="K24">
        <v>0</v>
      </c>
      <c r="L24">
        <v>0</v>
      </c>
      <c r="M24">
        <v>7.6054885165807917</v>
      </c>
      <c r="N24">
        <v>-91.607948337916014</v>
      </c>
      <c r="O24">
        <v>53.168917649153045</v>
      </c>
      <c r="P24">
        <v>1.4149694662772703</v>
      </c>
      <c r="Q24">
        <v>89.866829894869426</v>
      </c>
      <c r="R24">
        <v>0.36697912245716385</v>
      </c>
      <c r="S24">
        <v>0.93022917804193284</v>
      </c>
      <c r="T24" t="str">
        <v/>
      </c>
      <c r="U24">
        <v>0</v>
      </c>
      <c r="V24">
        <v>0</v>
      </c>
      <c r="W24">
        <v>-100</v>
      </c>
      <c r="X24">
        <v>0</v>
      </c>
      <c r="Y24">
        <v>100</v>
      </c>
      <c r="Z24">
        <v>0</v>
      </c>
      <c r="AA24">
        <v>-200</v>
      </c>
      <c r="AB24">
        <v>-183.21589667583203</v>
      </c>
      <c r="AC24">
        <v>206.33783529830609</v>
      </c>
      <c r="AD24">
        <v>-186.04583560838657</v>
      </c>
      <c r="AE24">
        <v>98.478902296683842</v>
      </c>
      <c r="AF24">
        <v>0.94654309397267422</v>
      </c>
      <c r="AG24" t="b">
        <v>1</v>
      </c>
      <c r="AH24">
        <v>98.478902296683842</v>
      </c>
      <c r="AI24">
        <v>1</v>
      </c>
      <c r="AJ24">
        <v>0</v>
      </c>
      <c r="AK24">
        <v>100</v>
      </c>
      <c r="AL24">
        <v>-500</v>
      </c>
      <c r="AM24">
        <v>500</v>
      </c>
      <c r="AN24">
        <v>500</v>
      </c>
      <c r="AO24">
        <v>-400</v>
      </c>
      <c r="AP24">
        <v>-183.21589667583203</v>
      </c>
      <c r="AQ24">
        <v>6.3378352983060893</v>
      </c>
      <c r="AR24">
        <v>-555.581232445355</v>
      </c>
      <c r="AS24">
        <v>108.10070067746044</v>
      </c>
      <c r="AT24">
        <v>-1.7900955198070001E-2</v>
      </c>
      <c r="AU24" t="b">
        <v>0</v>
      </c>
    </row>
    <row r="25" spans="1:47" x14ac:dyDescent="0.25">
      <c r="A25">
        <v>1.0999999999999999</v>
      </c>
      <c r="B25">
        <v>0.1</v>
      </c>
      <c r="C25">
        <v>-100.87358496857905</v>
      </c>
      <c r="D25">
        <v>59.499059244355564</v>
      </c>
      <c r="E25">
        <v>1.5671308036109091</v>
      </c>
      <c r="F25">
        <v>98.260975178793288</v>
      </c>
      <c r="G25">
        <v>100</v>
      </c>
      <c r="H25">
        <v>0.15175854451981419</v>
      </c>
      <c r="I25">
        <v>8.6951241060335605</v>
      </c>
      <c r="J25">
        <v>0</v>
      </c>
      <c r="K25">
        <v>0</v>
      </c>
      <c r="L25">
        <v>0</v>
      </c>
      <c r="M25">
        <v>8.6951241060335605</v>
      </c>
      <c r="N25">
        <v>-91.620824391379244</v>
      </c>
      <c r="O25">
        <v>63.292002916626089</v>
      </c>
      <c r="P25">
        <v>0.90678138061888092</v>
      </c>
      <c r="Q25">
        <v>101.22143963933132</v>
      </c>
      <c r="R25">
        <v>0.37929436722705223</v>
      </c>
      <c r="S25">
        <v>0.92527605771998123</v>
      </c>
      <c r="T25" t="str">
        <v/>
      </c>
      <c r="U25">
        <v>0</v>
      </c>
      <c r="V25">
        <v>0</v>
      </c>
      <c r="W25">
        <v>-100</v>
      </c>
      <c r="X25">
        <v>0</v>
      </c>
      <c r="Y25">
        <v>100</v>
      </c>
      <c r="Z25">
        <v>0</v>
      </c>
      <c r="AA25">
        <v>-200</v>
      </c>
      <c r="AB25">
        <v>-183.24164878275849</v>
      </c>
      <c r="AC25">
        <v>226.58400583325218</v>
      </c>
      <c r="AD25">
        <v>-185.05521154399625</v>
      </c>
      <c r="AE25">
        <v>99.019988280196799</v>
      </c>
      <c r="AF25">
        <v>1.0042486335709673</v>
      </c>
      <c r="AG25" t="b">
        <v>0</v>
      </c>
      <c r="AH25">
        <v>25000</v>
      </c>
      <c r="AI25">
        <v>1</v>
      </c>
      <c r="AJ25">
        <v>0</v>
      </c>
      <c r="AK25">
        <v>100</v>
      </c>
      <c r="AL25">
        <v>-500</v>
      </c>
      <c r="AM25">
        <v>500</v>
      </c>
      <c r="AN25">
        <v>500</v>
      </c>
      <c r="AO25">
        <v>-400</v>
      </c>
      <c r="AP25">
        <v>-183.24164878275849</v>
      </c>
      <c r="AQ25">
        <v>26.584005833252178</v>
      </c>
      <c r="AR25">
        <v>-559.75760670151863</v>
      </c>
      <c r="AS25">
        <v>98.260975178793288</v>
      </c>
      <c r="AT25">
        <v>1.4045933004489415E-3</v>
      </c>
      <c r="AU25" t="b">
        <v>1</v>
      </c>
    </row>
    <row r="26" spans="1:47" x14ac:dyDescent="0.25">
      <c r="A26">
        <v>1.2</v>
      </c>
      <c r="B26">
        <v>0.1</v>
      </c>
      <c r="C26">
        <v>-100.98868573964647</v>
      </c>
      <c r="D26">
        <v>69.49839681303979</v>
      </c>
      <c r="E26">
        <v>1.5823066580628904</v>
      </c>
      <c r="F26">
        <v>88.591685027888246</v>
      </c>
      <c r="G26">
        <v>100</v>
      </c>
      <c r="H26">
        <v>0.99556329183957593</v>
      </c>
      <c r="I26">
        <v>57.041574860558768</v>
      </c>
      <c r="J26">
        <v>0</v>
      </c>
      <c r="K26">
        <v>0</v>
      </c>
      <c r="L26">
        <v>0</v>
      </c>
      <c r="M26">
        <v>57.041574860558768</v>
      </c>
      <c r="N26">
        <v>-91.794549579407885</v>
      </c>
      <c r="O26">
        <v>73.43131688176652</v>
      </c>
      <c r="P26">
        <v>0.14681202297788332</v>
      </c>
      <c r="Q26">
        <v>112.76051756903377</v>
      </c>
      <c r="R26">
        <v>0.39329200687267246</v>
      </c>
      <c r="S26">
        <v>0.91941361602385774</v>
      </c>
      <c r="T26" t="str">
        <v/>
      </c>
      <c r="U26">
        <v>0</v>
      </c>
      <c r="V26">
        <v>0</v>
      </c>
      <c r="W26">
        <v>-100</v>
      </c>
      <c r="X26">
        <v>0</v>
      </c>
      <c r="Y26">
        <v>100</v>
      </c>
      <c r="Z26">
        <v>0</v>
      </c>
      <c r="AA26">
        <v>-200</v>
      </c>
      <c r="AB26">
        <v>-183.58909915881577</v>
      </c>
      <c r="AC26">
        <v>246.86263376353304</v>
      </c>
      <c r="AD26">
        <v>-183.88272320477154</v>
      </c>
      <c r="AE26">
        <v>99.840319938252819</v>
      </c>
      <c r="AF26">
        <v>1.0634885833854584</v>
      </c>
      <c r="AG26" t="b">
        <v>0</v>
      </c>
      <c r="AH26">
        <v>25000</v>
      </c>
      <c r="AI26">
        <v>1</v>
      </c>
      <c r="AJ26">
        <v>0</v>
      </c>
      <c r="AK26">
        <v>100</v>
      </c>
      <c r="AL26">
        <v>-500</v>
      </c>
      <c r="AM26">
        <v>500</v>
      </c>
      <c r="AN26">
        <v>500</v>
      </c>
      <c r="AO26">
        <v>-400</v>
      </c>
      <c r="AP26">
        <v>-183.58909915881577</v>
      </c>
      <c r="AQ26">
        <v>46.86263376353304</v>
      </c>
      <c r="AR26">
        <v>-564.41144984587936</v>
      </c>
      <c r="AS26">
        <v>88.591685027888246</v>
      </c>
      <c r="AT26">
        <v>2.0684296196540965E-2</v>
      </c>
      <c r="AU26" t="b">
        <v>1</v>
      </c>
    </row>
    <row r="27" spans="1:47" x14ac:dyDescent="0.25">
      <c r="A27">
        <v>1.3</v>
      </c>
      <c r="B27">
        <v>0.1</v>
      </c>
      <c r="C27">
        <v>-102.09707025810521</v>
      </c>
      <c r="D27">
        <v>79.43678117666957</v>
      </c>
      <c r="E27">
        <v>1.681862987246848</v>
      </c>
      <c r="F27">
        <v>76.399986802319305</v>
      </c>
      <c r="G27">
        <v>100</v>
      </c>
      <c r="H27">
        <v>2.0594896690682178</v>
      </c>
      <c r="I27">
        <v>118.00006598840348</v>
      </c>
      <c r="J27">
        <v>0</v>
      </c>
      <c r="K27">
        <v>0</v>
      </c>
      <c r="L27">
        <v>0</v>
      </c>
      <c r="M27">
        <v>118.00006598840348</v>
      </c>
      <c r="N27">
        <v>-93.339360750221559</v>
      </c>
      <c r="O27">
        <v>84.264049987863359</v>
      </c>
      <c r="P27">
        <v>-5.7622656713850517</v>
      </c>
      <c r="Q27">
        <v>132.53673809980125</v>
      </c>
      <c r="R27">
        <v>0.482726881119379</v>
      </c>
      <c r="S27">
        <v>0.87577095078836509</v>
      </c>
      <c r="T27" t="str">
        <v/>
      </c>
      <c r="U27">
        <v>0</v>
      </c>
      <c r="V27">
        <v>0</v>
      </c>
      <c r="W27">
        <v>-100</v>
      </c>
      <c r="X27">
        <v>0</v>
      </c>
      <c r="Y27">
        <v>100</v>
      </c>
      <c r="Z27">
        <v>0</v>
      </c>
      <c r="AA27">
        <v>-200</v>
      </c>
      <c r="AB27">
        <v>-186.67872150044312</v>
      </c>
      <c r="AC27">
        <v>268.52809997572672</v>
      </c>
      <c r="AD27">
        <v>-175.15419015767301</v>
      </c>
      <c r="AE27">
        <v>106.57964924070374</v>
      </c>
      <c r="AF27">
        <v>1.1785645582831283</v>
      </c>
      <c r="AG27" t="b">
        <v>0</v>
      </c>
      <c r="AH27">
        <v>25000</v>
      </c>
      <c r="AI27">
        <v>1</v>
      </c>
      <c r="AJ27">
        <v>0</v>
      </c>
      <c r="AK27">
        <v>100</v>
      </c>
      <c r="AL27">
        <v>-500</v>
      </c>
      <c r="AM27">
        <v>500</v>
      </c>
      <c r="AN27">
        <v>500</v>
      </c>
      <c r="AO27">
        <v>-400</v>
      </c>
      <c r="AP27">
        <v>-186.67872150044312</v>
      </c>
      <c r="AQ27">
        <v>68.528099975726718</v>
      </c>
      <c r="AR27">
        <v>-591.67182087503556</v>
      </c>
      <c r="AS27">
        <v>76.399986802319305</v>
      </c>
      <c r="AT27">
        <v>5.2860943336271678E-2</v>
      </c>
      <c r="AU27" t="b">
        <v>1</v>
      </c>
    </row>
    <row r="28" spans="1:47" x14ac:dyDescent="0.25">
      <c r="A28">
        <v>1.4000000000000001</v>
      </c>
      <c r="B28">
        <v>0.1</v>
      </c>
      <c r="C28">
        <v>-105.21439317580621</v>
      </c>
      <c r="D28">
        <v>88.938480910231775</v>
      </c>
      <c r="E28">
        <v>1.8878119541536698</v>
      </c>
      <c r="F28">
        <v>65.674525869343967</v>
      </c>
      <c r="G28">
        <v>100</v>
      </c>
      <c r="H28">
        <v>2.9954627044404303</v>
      </c>
      <c r="I28">
        <v>171.62737065328017</v>
      </c>
      <c r="J28">
        <v>0</v>
      </c>
      <c r="K28">
        <v>0</v>
      </c>
      <c r="L28">
        <v>0</v>
      </c>
      <c r="M28">
        <v>171.62737065328017</v>
      </c>
      <c r="N28">
        <v>-97.628915101836313</v>
      </c>
      <c r="O28">
        <v>95.454654817466135</v>
      </c>
      <c r="P28">
        <v>-21.77413436213736</v>
      </c>
      <c r="Q28">
        <v>160.61639388980979</v>
      </c>
      <c r="R28">
        <v>0.6516173907234365</v>
      </c>
      <c r="S28">
        <v>0.75854780739698946</v>
      </c>
      <c r="T28" t="str">
        <v/>
      </c>
      <c r="U28">
        <v>0</v>
      </c>
      <c r="V28">
        <v>0</v>
      </c>
      <c r="W28">
        <v>-100</v>
      </c>
      <c r="X28">
        <v>0</v>
      </c>
      <c r="Y28">
        <v>100</v>
      </c>
      <c r="Z28">
        <v>0</v>
      </c>
      <c r="AA28">
        <v>-200</v>
      </c>
      <c r="AB28">
        <v>-195.25783020367263</v>
      </c>
      <c r="AC28">
        <v>290.90930963493224</v>
      </c>
      <c r="AD28">
        <v>-151.70956147939791</v>
      </c>
      <c r="AE28">
        <v>128.70502577399418</v>
      </c>
      <c r="AF28">
        <v>1.3966054394265441</v>
      </c>
      <c r="AG28" t="b">
        <v>0</v>
      </c>
      <c r="AH28">
        <v>25000</v>
      </c>
      <c r="AI28">
        <v>1</v>
      </c>
      <c r="AJ28">
        <v>0</v>
      </c>
      <c r="AK28">
        <v>100</v>
      </c>
      <c r="AL28">
        <v>-500</v>
      </c>
      <c r="AM28">
        <v>500</v>
      </c>
      <c r="AN28">
        <v>500</v>
      </c>
      <c r="AO28">
        <v>-400</v>
      </c>
      <c r="AP28">
        <v>-195.25783020367263</v>
      </c>
      <c r="AQ28">
        <v>90.909309634932271</v>
      </c>
      <c r="AR28">
        <v>-629.22781832051407</v>
      </c>
      <c r="AS28">
        <v>65.674525869343967</v>
      </c>
      <c r="AT28">
        <v>9.5623295003617173E-2</v>
      </c>
      <c r="AU28" t="b">
        <v>1</v>
      </c>
    </row>
    <row r="29" spans="1:47" x14ac:dyDescent="0.25">
      <c r="A29">
        <v>1.5000000000000002</v>
      </c>
      <c r="B29">
        <v>0.1</v>
      </c>
      <c r="C29">
        <v>-110.99672852247286</v>
      </c>
      <c r="D29">
        <v>97.097193917728077</v>
      </c>
      <c r="E29">
        <v>2.1873582245977126</v>
      </c>
      <c r="F29">
        <v>62.067112655350371</v>
      </c>
      <c r="G29">
        <v>100</v>
      </c>
      <c r="H29">
        <v>3.3102688947611254</v>
      </c>
      <c r="I29">
        <v>189.66443672324814</v>
      </c>
      <c r="J29">
        <v>0</v>
      </c>
      <c r="K29">
        <v>0</v>
      </c>
      <c r="L29">
        <v>0</v>
      </c>
      <c r="M29">
        <v>189.66443672324814</v>
      </c>
      <c r="N29">
        <v>-105.6718645007618</v>
      </c>
      <c r="O29">
        <v>105.56157949202034</v>
      </c>
      <c r="P29">
        <v>-52.423224283651201</v>
      </c>
      <c r="Q29">
        <v>190.20543523494308</v>
      </c>
      <c r="R29">
        <v>0.84643855742922725</v>
      </c>
      <c r="S29">
        <v>0.53248640217110599</v>
      </c>
      <c r="T29" t="str">
        <v/>
      </c>
      <c r="U29">
        <v>0</v>
      </c>
      <c r="V29">
        <v>0</v>
      </c>
      <c r="W29">
        <v>-100</v>
      </c>
      <c r="X29">
        <v>0</v>
      </c>
      <c r="Y29">
        <v>100</v>
      </c>
      <c r="Z29">
        <v>0</v>
      </c>
      <c r="AA29">
        <v>-200</v>
      </c>
      <c r="AB29">
        <v>-211.3437290015236</v>
      </c>
      <c r="AC29">
        <v>311.12315898404069</v>
      </c>
      <c r="AD29">
        <v>-106.4972804342212</v>
      </c>
      <c r="AE29">
        <v>198.44988354614517</v>
      </c>
      <c r="AF29">
        <v>1.8676860632140879</v>
      </c>
      <c r="AG29" t="b">
        <v>0</v>
      </c>
      <c r="AH29">
        <v>25000</v>
      </c>
      <c r="AI29">
        <v>1</v>
      </c>
      <c r="AJ29">
        <v>0</v>
      </c>
      <c r="AK29">
        <v>100</v>
      </c>
      <c r="AL29">
        <v>-500</v>
      </c>
      <c r="AM29">
        <v>500</v>
      </c>
      <c r="AN29">
        <v>500</v>
      </c>
      <c r="AO29">
        <v>-400</v>
      </c>
      <c r="AP29">
        <v>-211.3437290015236</v>
      </c>
      <c r="AQ29">
        <v>111.12315898404069</v>
      </c>
      <c r="AR29">
        <v>-636.21383958305603</v>
      </c>
      <c r="AS29">
        <v>62.067112655350371</v>
      </c>
      <c r="AT29">
        <v>0.14524394197953111</v>
      </c>
      <c r="AU29" t="b">
        <v>1</v>
      </c>
    </row>
    <row r="30" spans="1:47" x14ac:dyDescent="0.25">
      <c r="A30">
        <v>1.6000000000000003</v>
      </c>
      <c r="B30">
        <v>0.1</v>
      </c>
      <c r="C30">
        <v>-119.11683432154697</v>
      </c>
      <c r="D30">
        <v>102.93362106212412</v>
      </c>
      <c r="E30">
        <v>2.5183851140738254</v>
      </c>
      <c r="F30">
        <v>69.873370082686151</v>
      </c>
      <c r="G30">
        <v>100</v>
      </c>
      <c r="H30">
        <v>2.6290444229347685</v>
      </c>
      <c r="I30">
        <v>150.63314958656923</v>
      </c>
      <c r="J30">
        <v>0</v>
      </c>
      <c r="K30">
        <v>0</v>
      </c>
      <c r="L30">
        <v>0</v>
      </c>
      <c r="M30">
        <v>150.63314958656923</v>
      </c>
      <c r="N30">
        <v>-116.83210869820353</v>
      </c>
      <c r="O30">
        <v>112.66912458408116</v>
      </c>
      <c r="P30">
        <v>-93.984852464769062</v>
      </c>
      <c r="Q30">
        <v>210.02415980365154</v>
      </c>
      <c r="R30">
        <v>0.97355035219570385</v>
      </c>
      <c r="S30">
        <v>0.22847256233434465</v>
      </c>
      <c r="T30" t="str">
        <v/>
      </c>
      <c r="U30">
        <v>0</v>
      </c>
      <c r="V30">
        <v>0</v>
      </c>
      <c r="W30">
        <v>-100</v>
      </c>
      <c r="X30">
        <v>0</v>
      </c>
      <c r="Y30">
        <v>100</v>
      </c>
      <c r="Z30">
        <v>0</v>
      </c>
      <c r="AA30">
        <v>-200</v>
      </c>
      <c r="AB30">
        <v>-233.66421739640705</v>
      </c>
      <c r="AC30">
        <v>325.33824916816229</v>
      </c>
      <c r="AD30">
        <v>-45.694512466868929</v>
      </c>
      <c r="AE30">
        <v>511.36165981818198</v>
      </c>
      <c r="AF30">
        <v>3.5525272429972596</v>
      </c>
      <c r="AG30" t="b">
        <v>0</v>
      </c>
      <c r="AH30">
        <v>25000</v>
      </c>
      <c r="AI30">
        <v>1</v>
      </c>
      <c r="AJ30">
        <v>0</v>
      </c>
      <c r="AK30">
        <v>100</v>
      </c>
      <c r="AL30">
        <v>-500</v>
      </c>
      <c r="AM30">
        <v>500</v>
      </c>
      <c r="AN30">
        <v>500</v>
      </c>
      <c r="AO30">
        <v>-400</v>
      </c>
      <c r="AP30">
        <v>-233.66421739640705</v>
      </c>
      <c r="AQ30">
        <v>125.33824916816232</v>
      </c>
      <c r="AR30">
        <v>-578.16420103158976</v>
      </c>
      <c r="AS30">
        <v>69.873370082686151</v>
      </c>
      <c r="AT30">
        <v>0.20173592159295256</v>
      </c>
      <c r="AU30" t="b">
        <v>1</v>
      </c>
    </row>
    <row r="31" spans="1:47" x14ac:dyDescent="0.25">
      <c r="A31">
        <v>1.7000000000000004</v>
      </c>
      <c r="B31">
        <v>0.1</v>
      </c>
      <c r="C31">
        <v>-128.47473439503156</v>
      </c>
      <c r="D31">
        <v>106.45919991029602</v>
      </c>
      <c r="E31">
        <v>2.7812895563673021</v>
      </c>
      <c r="F31">
        <v>88.936158733718287</v>
      </c>
      <c r="G31">
        <v>100</v>
      </c>
      <c r="H31">
        <v>0.9655022900731729</v>
      </c>
      <c r="I31">
        <v>55.319206331408566</v>
      </c>
      <c r="J31">
        <v>0</v>
      </c>
      <c r="K31">
        <v>0</v>
      </c>
      <c r="L31">
        <v>0</v>
      </c>
      <c r="M31">
        <v>55.319206331408566</v>
      </c>
      <c r="N31">
        <v>-128.79863757680144</v>
      </c>
      <c r="O31">
        <v>116.45395287016649</v>
      </c>
      <c r="P31">
        <v>-132.03766939450017</v>
      </c>
      <c r="Q31">
        <v>216.40148246887111</v>
      </c>
      <c r="R31">
        <v>0.99947529598704621</v>
      </c>
      <c r="S31">
        <v>-3.2390318176987176E-2</v>
      </c>
      <c r="T31" t="str">
        <v/>
      </c>
      <c r="U31">
        <v>0</v>
      </c>
      <c r="V31">
        <v>0</v>
      </c>
      <c r="W31">
        <v>-100</v>
      </c>
      <c r="X31">
        <v>0</v>
      </c>
      <c r="Y31">
        <v>100</v>
      </c>
      <c r="Z31">
        <v>0</v>
      </c>
      <c r="AA31">
        <v>-200</v>
      </c>
      <c r="AB31">
        <v>-257.59727515360288</v>
      </c>
      <c r="AC31">
        <v>332.90790574033298</v>
      </c>
      <c r="AD31">
        <v>6.4780636353974348</v>
      </c>
      <c r="AE31">
        <v>-3976.4548428644616</v>
      </c>
      <c r="AF31">
        <v>-18.789572140904571</v>
      </c>
      <c r="AG31" t="b">
        <v>0</v>
      </c>
      <c r="AH31">
        <v>25000</v>
      </c>
      <c r="AI31">
        <v>1</v>
      </c>
      <c r="AJ31">
        <v>0</v>
      </c>
      <c r="AK31">
        <v>100</v>
      </c>
      <c r="AL31">
        <v>-500</v>
      </c>
      <c r="AM31">
        <v>500</v>
      </c>
      <c r="AN31">
        <v>500</v>
      </c>
      <c r="AO31">
        <v>-400</v>
      </c>
      <c r="AP31">
        <v>-257.59727515360288</v>
      </c>
      <c r="AQ31">
        <v>132.90790574033298</v>
      </c>
      <c r="AR31">
        <v>-486.78152072272826</v>
      </c>
      <c r="AS31">
        <v>88.936158733718287</v>
      </c>
      <c r="AT31">
        <v>0.26335861611125122</v>
      </c>
      <c r="AU31" t="b">
        <v>1</v>
      </c>
    </row>
    <row r="32" spans="1:47" x14ac:dyDescent="0.25">
      <c r="A32">
        <v>1.8000000000000005</v>
      </c>
      <c r="B32">
        <v>0.1</v>
      </c>
      <c r="C32">
        <v>-138.12891825150592</v>
      </c>
      <c r="D32">
        <v>109.06625458279329</v>
      </c>
      <c r="E32">
        <v>2.8778397853746194</v>
      </c>
      <c r="F32">
        <v>104.12448616071286</v>
      </c>
      <c r="G32">
        <v>100</v>
      </c>
      <c r="H32">
        <v>-0.35992931728689725</v>
      </c>
      <c r="I32">
        <v>-20.622430803564313</v>
      </c>
      <c r="J32">
        <v>0</v>
      </c>
      <c r="K32">
        <v>0</v>
      </c>
      <c r="L32">
        <v>0</v>
      </c>
      <c r="M32">
        <v>-20.622430803564313</v>
      </c>
      <c r="N32">
        <v>-139.41481001432703</v>
      </c>
      <c r="O32">
        <v>118.98323408132553</v>
      </c>
      <c r="P32">
        <v>-152.27372764253812</v>
      </c>
      <c r="Q32">
        <v>218.15302906664797</v>
      </c>
      <c r="R32">
        <v>0.99169794985322435</v>
      </c>
      <c r="S32">
        <v>-0.12858917628211086</v>
      </c>
      <c r="T32" t="str">
        <v/>
      </c>
      <c r="U32">
        <v>0</v>
      </c>
      <c r="V32">
        <v>0</v>
      </c>
      <c r="W32">
        <v>-100</v>
      </c>
      <c r="X32">
        <v>0</v>
      </c>
      <c r="Y32">
        <v>100</v>
      </c>
      <c r="Z32">
        <v>0</v>
      </c>
      <c r="AA32">
        <v>-200</v>
      </c>
      <c r="AB32">
        <v>-278.82962002865406</v>
      </c>
      <c r="AC32">
        <v>337.96646816265104</v>
      </c>
      <c r="AD32">
        <v>25.717835256422173</v>
      </c>
      <c r="AE32">
        <v>-1084.1877523848966</v>
      </c>
      <c r="AF32">
        <v>-4.2810176860737581</v>
      </c>
      <c r="AG32" t="b">
        <v>0</v>
      </c>
      <c r="AH32">
        <v>25000</v>
      </c>
      <c r="AI32">
        <v>1</v>
      </c>
      <c r="AJ32">
        <v>0</v>
      </c>
      <c r="AK32">
        <v>100</v>
      </c>
      <c r="AL32">
        <v>-500</v>
      </c>
      <c r="AM32">
        <v>500</v>
      </c>
      <c r="AN32">
        <v>500</v>
      </c>
      <c r="AO32">
        <v>-400</v>
      </c>
      <c r="AP32">
        <v>-278.82962002865406</v>
      </c>
      <c r="AQ32">
        <v>137.96646816265107</v>
      </c>
      <c r="AR32">
        <v>-444.41330441376783</v>
      </c>
      <c r="AS32">
        <v>104.12448616071286</v>
      </c>
      <c r="AT32">
        <v>0.30560818384106231</v>
      </c>
      <c r="AU32" t="b">
        <v>1</v>
      </c>
    </row>
    <row r="33" spans="1:47" x14ac:dyDescent="0.25">
      <c r="A33">
        <v>1.9000000000000006</v>
      </c>
      <c r="B33">
        <v>0.1</v>
      </c>
      <c r="C33">
        <v>-147.68303404662703</v>
      </c>
      <c r="D33">
        <v>112.01902808806206</v>
      </c>
      <c r="E33">
        <v>2.8418468536459298</v>
      </c>
      <c r="F33">
        <v>105.17717278021117</v>
      </c>
      <c r="G33">
        <v>100</v>
      </c>
      <c r="H33">
        <v>-0.45179355479656785</v>
      </c>
      <c r="I33">
        <v>-25.885863901055828</v>
      </c>
      <c r="J33">
        <v>0</v>
      </c>
      <c r="K33">
        <v>0</v>
      </c>
      <c r="L33">
        <v>0</v>
      </c>
      <c r="M33">
        <v>-25.885863901055828</v>
      </c>
      <c r="N33">
        <v>-148.61122886665808</v>
      </c>
      <c r="O33">
        <v>121.9758576224102</v>
      </c>
      <c r="P33">
        <v>-157.89317706696855</v>
      </c>
      <c r="Q33">
        <v>221.54415296589167</v>
      </c>
      <c r="R33">
        <v>0.99568295343481472</v>
      </c>
      <c r="S33">
        <v>-9.2819482003104747E-2</v>
      </c>
      <c r="T33" t="str">
        <v/>
      </c>
      <c r="U33">
        <v>0</v>
      </c>
      <c r="V33">
        <v>0</v>
      </c>
      <c r="W33">
        <v>-100</v>
      </c>
      <c r="X33">
        <v>0</v>
      </c>
      <c r="Y33">
        <v>100</v>
      </c>
      <c r="Z33">
        <v>0</v>
      </c>
      <c r="AA33">
        <v>-200</v>
      </c>
      <c r="AB33">
        <v>-297.22245773331616</v>
      </c>
      <c r="AC33">
        <v>343.95171524482043</v>
      </c>
      <c r="AD33">
        <v>18.563896400620948</v>
      </c>
      <c r="AE33">
        <v>-1601.0779812549174</v>
      </c>
      <c r="AF33">
        <v>-6.8609509771646842</v>
      </c>
      <c r="AG33" t="b">
        <v>0</v>
      </c>
      <c r="AH33">
        <v>25000</v>
      </c>
      <c r="AI33">
        <v>1</v>
      </c>
      <c r="AJ33">
        <v>0</v>
      </c>
      <c r="AK33">
        <v>100</v>
      </c>
      <c r="AL33">
        <v>-500</v>
      </c>
      <c r="AM33">
        <v>500</v>
      </c>
      <c r="AN33">
        <v>500</v>
      </c>
      <c r="AO33">
        <v>-400</v>
      </c>
      <c r="AP33">
        <v>-297.22245773331616</v>
      </c>
      <c r="AQ33">
        <v>143.95171524482041</v>
      </c>
      <c r="AR33">
        <v>-460.71368391616545</v>
      </c>
      <c r="AS33">
        <v>105.17717278021117</v>
      </c>
      <c r="AT33">
        <v>0.31674743912533665</v>
      </c>
      <c r="AU33" t="b">
        <v>1</v>
      </c>
    </row>
    <row r="34" spans="1:47" x14ac:dyDescent="0.25">
      <c r="A34">
        <v>2.0000000000000004</v>
      </c>
      <c r="B34">
        <v>0.1</v>
      </c>
      <c r="C34">
        <v>-157.09404166820451</v>
      </c>
      <c r="D34">
        <v>115.40029050713137</v>
      </c>
      <c r="E34">
        <v>2.7966674981662729</v>
      </c>
      <c r="F34">
        <v>104.79147797636035</v>
      </c>
      <c r="G34">
        <v>100</v>
      </c>
      <c r="H34">
        <v>-0.41813533362141608</v>
      </c>
      <c r="I34">
        <v>-23.957389881801774</v>
      </c>
      <c r="J34">
        <v>0</v>
      </c>
      <c r="K34">
        <v>0</v>
      </c>
      <c r="L34">
        <v>0</v>
      </c>
      <c r="M34">
        <v>-23.957389881801774</v>
      </c>
      <c r="N34">
        <v>-157.57159922381607</v>
      </c>
      <c r="O34">
        <v>125.38888093727107</v>
      </c>
      <c r="P34">
        <v>-162.34717477993161</v>
      </c>
      <c r="Q34">
        <v>225.27478523866802</v>
      </c>
      <c r="R34">
        <v>0.99885904301396966</v>
      </c>
      <c r="S34">
        <v>-4.7755755561155321E-2</v>
      </c>
      <c r="T34" t="str">
        <v/>
      </c>
      <c r="U34">
        <v>0</v>
      </c>
      <c r="V34">
        <v>0</v>
      </c>
      <c r="W34">
        <v>-100</v>
      </c>
      <c r="X34">
        <v>0</v>
      </c>
      <c r="Y34">
        <v>100</v>
      </c>
      <c r="Z34">
        <v>0</v>
      </c>
      <c r="AA34">
        <v>-200</v>
      </c>
      <c r="AB34">
        <v>-315.14319844763213</v>
      </c>
      <c r="AC34">
        <v>350.77776187454214</v>
      </c>
      <c r="AD34">
        <v>9.5511511122310644</v>
      </c>
      <c r="AE34">
        <v>-3299.5310695489297</v>
      </c>
      <c r="AF34">
        <v>-15.351887827936164</v>
      </c>
      <c r="AG34" t="b">
        <v>0</v>
      </c>
      <c r="AH34">
        <v>25000</v>
      </c>
      <c r="AI34">
        <v>1</v>
      </c>
      <c r="AJ34">
        <v>0</v>
      </c>
      <c r="AK34">
        <v>100</v>
      </c>
      <c r="AL34">
        <v>-500</v>
      </c>
      <c r="AM34">
        <v>500</v>
      </c>
      <c r="AN34">
        <v>500</v>
      </c>
      <c r="AO34">
        <v>-400</v>
      </c>
      <c r="AP34">
        <v>-315.14319844763213</v>
      </c>
      <c r="AQ34">
        <v>150.77776187454214</v>
      </c>
      <c r="AR34">
        <v>-480.32721928252272</v>
      </c>
      <c r="AS34">
        <v>104.79147797636035</v>
      </c>
      <c r="AT34">
        <v>0.32515199086189461</v>
      </c>
      <c r="AU34" t="b">
        <v>1</v>
      </c>
    </row>
    <row r="35" spans="1:47" x14ac:dyDescent="0.25">
      <c r="A35">
        <v>2.1000000000000005</v>
      </c>
      <c r="B35">
        <v>0.1</v>
      </c>
      <c r="C35">
        <v>-166.35548218489808</v>
      </c>
      <c r="D35">
        <v>119.17199033025445</v>
      </c>
      <c r="E35">
        <v>2.7548539648041315</v>
      </c>
      <c r="F35">
        <v>104.46020760112124</v>
      </c>
      <c r="G35">
        <v>100</v>
      </c>
      <c r="H35">
        <v>-0.38922653981021788</v>
      </c>
      <c r="I35">
        <v>-22.301038005606202</v>
      </c>
      <c r="J35">
        <v>0</v>
      </c>
      <c r="K35">
        <v>0</v>
      </c>
      <c r="L35">
        <v>0</v>
      </c>
      <c r="M35">
        <v>-22.301038005606202</v>
      </c>
      <c r="N35">
        <v>-166.41508576111164</v>
      </c>
      <c r="O35">
        <v>129.17181269936194</v>
      </c>
      <c r="P35">
        <v>-167.01112152324734</v>
      </c>
      <c r="Q35">
        <v>229.17003639043685</v>
      </c>
      <c r="R35">
        <v>0.99998223691074906</v>
      </c>
      <c r="S35">
        <v>-5.9603576213568795E-3</v>
      </c>
      <c r="T35" t="str">
        <v/>
      </c>
      <c r="U35">
        <v>0</v>
      </c>
      <c r="V35">
        <v>0</v>
      </c>
      <c r="W35">
        <v>-100</v>
      </c>
      <c r="X35">
        <v>0</v>
      </c>
      <c r="Y35">
        <v>100</v>
      </c>
      <c r="Z35">
        <v>0</v>
      </c>
      <c r="AA35">
        <v>-200</v>
      </c>
      <c r="AB35">
        <v>-332.83017152222328</v>
      </c>
      <c r="AC35">
        <v>358.34362539872387</v>
      </c>
      <c r="AD35">
        <v>1.192071524271376</v>
      </c>
      <c r="AE35">
        <v>-27920.318936035099</v>
      </c>
      <c r="AF35">
        <v>-138.45325586109286</v>
      </c>
      <c r="AG35" t="b">
        <v>0</v>
      </c>
      <c r="AH35">
        <v>25000</v>
      </c>
      <c r="AI35">
        <v>1</v>
      </c>
      <c r="AJ35">
        <v>0</v>
      </c>
      <c r="AK35">
        <v>100</v>
      </c>
      <c r="AL35">
        <v>-500</v>
      </c>
      <c r="AM35">
        <v>500</v>
      </c>
      <c r="AN35">
        <v>500</v>
      </c>
      <c r="AO35">
        <v>-400</v>
      </c>
      <c r="AP35">
        <v>-332.83017152222328</v>
      </c>
      <c r="AQ35">
        <v>158.34362539872387</v>
      </c>
      <c r="AR35">
        <v>-497.60697540683179</v>
      </c>
      <c r="AS35">
        <v>104.46020760112124</v>
      </c>
      <c r="AT35">
        <v>0.33407541191123102</v>
      </c>
      <c r="AU35" t="b">
        <v>1</v>
      </c>
    </row>
    <row r="36" spans="1:47" x14ac:dyDescent="0.25">
      <c r="A36">
        <v>2.2000000000000006</v>
      </c>
      <c r="B36">
        <v>0.1</v>
      </c>
      <c r="C36">
        <v>-175.46314066864724</v>
      </c>
      <c r="D36">
        <v>123.30122233431912</v>
      </c>
      <c r="E36">
        <v>2.7159313108231098</v>
      </c>
      <c r="F36">
        <v>104.12244020241506</v>
      </c>
      <c r="G36">
        <v>100</v>
      </c>
      <c r="H36">
        <v>-0.35975077374362174</v>
      </c>
      <c r="I36">
        <v>-20.612201012075317</v>
      </c>
      <c r="J36">
        <v>0</v>
      </c>
      <c r="K36">
        <v>0</v>
      </c>
      <c r="L36">
        <v>0</v>
      </c>
      <c r="M36">
        <v>-20.612201012075317</v>
      </c>
      <c r="N36">
        <v>-175.13357774447147</v>
      </c>
      <c r="O36">
        <v>133.29579027290501</v>
      </c>
      <c r="P36">
        <v>-171.83794850271383</v>
      </c>
      <c r="Q36">
        <v>233.24146965876378</v>
      </c>
      <c r="R36">
        <v>0.99945679385858754</v>
      </c>
      <c r="S36">
        <v>3.2956292417576298E-2</v>
      </c>
      <c r="T36" t="str">
        <v/>
      </c>
      <c r="U36">
        <v>0</v>
      </c>
      <c r="V36">
        <v>0</v>
      </c>
      <c r="W36">
        <v>-100</v>
      </c>
      <c r="X36">
        <v>0</v>
      </c>
      <c r="Y36">
        <v>100</v>
      </c>
      <c r="Z36">
        <v>0</v>
      </c>
      <c r="AA36">
        <v>-200</v>
      </c>
      <c r="AB36">
        <v>-350.26715548894293</v>
      </c>
      <c r="AC36">
        <v>366.59158054581002</v>
      </c>
      <c r="AD36">
        <v>-6.5912584835152597</v>
      </c>
      <c r="AE36">
        <v>5314.1165130295112</v>
      </c>
      <c r="AF36">
        <v>27.722628212881787</v>
      </c>
      <c r="AG36" t="b">
        <v>0</v>
      </c>
      <c r="AH36">
        <v>25000</v>
      </c>
      <c r="AI36">
        <v>1</v>
      </c>
      <c r="AJ36">
        <v>0</v>
      </c>
      <c r="AK36">
        <v>100</v>
      </c>
      <c r="AL36">
        <v>-500</v>
      </c>
      <c r="AM36">
        <v>500</v>
      </c>
      <c r="AN36">
        <v>500</v>
      </c>
      <c r="AO36">
        <v>-400</v>
      </c>
      <c r="AP36">
        <v>-350.26715548894293</v>
      </c>
      <c r="AQ36">
        <v>166.59158054581002</v>
      </c>
      <c r="AR36">
        <v>-512.91091389632425</v>
      </c>
      <c r="AS36">
        <v>104.12244020241506</v>
      </c>
      <c r="AT36">
        <v>0.34340417631585818</v>
      </c>
      <c r="AU36" t="b">
        <v>1</v>
      </c>
    </row>
    <row r="37" spans="1:47" x14ac:dyDescent="0.25">
      <c r="A37">
        <v>2.3000000000000007</v>
      </c>
      <c r="B37">
        <v>0.1</v>
      </c>
      <c r="C37">
        <v>-184.41638879334494</v>
      </c>
      <c r="D37">
        <v>127.75536063679661</v>
      </c>
      <c r="E37">
        <v>2.6799562334487477</v>
      </c>
      <c r="F37">
        <v>103.77812067116504</v>
      </c>
      <c r="G37">
        <v>100</v>
      </c>
      <c r="H37">
        <v>-0.32970322624743981</v>
      </c>
      <c r="I37">
        <v>-18.890603355825206</v>
      </c>
      <c r="J37">
        <v>0</v>
      </c>
      <c r="K37">
        <v>0</v>
      </c>
      <c r="L37">
        <v>0</v>
      </c>
      <c r="M37">
        <v>-18.890603355825206</v>
      </c>
      <c r="N37">
        <v>-183.72756130388703</v>
      </c>
      <c r="O37">
        <v>137.73160826252078</v>
      </c>
      <c r="P37">
        <v>-176.83928640930807</v>
      </c>
      <c r="Q37">
        <v>237.49408451976248</v>
      </c>
      <c r="R37">
        <v>0.99762476257241695</v>
      </c>
      <c r="S37">
        <v>6.8882748945789621E-2</v>
      </c>
      <c r="T37" t="str">
        <v/>
      </c>
      <c r="U37">
        <v>0</v>
      </c>
      <c r="V37">
        <v>0</v>
      </c>
      <c r="W37">
        <v>-100</v>
      </c>
      <c r="X37">
        <v>0</v>
      </c>
      <c r="Y37">
        <v>100</v>
      </c>
      <c r="Z37">
        <v>0</v>
      </c>
      <c r="AA37">
        <v>-200</v>
      </c>
      <c r="AB37">
        <v>-367.45512260777406</v>
      </c>
      <c r="AC37">
        <v>375.46321652504156</v>
      </c>
      <c r="AD37">
        <v>-13.776549789157924</v>
      </c>
      <c r="AE37">
        <v>2667.2507139411596</v>
      </c>
      <c r="AF37">
        <v>14.493234842395898</v>
      </c>
      <c r="AG37" t="b">
        <v>0</v>
      </c>
      <c r="AH37">
        <v>25000</v>
      </c>
      <c r="AI37">
        <v>1</v>
      </c>
      <c r="AJ37">
        <v>0</v>
      </c>
      <c r="AK37">
        <v>100</v>
      </c>
      <c r="AL37">
        <v>-500</v>
      </c>
      <c r="AM37">
        <v>500</v>
      </c>
      <c r="AN37">
        <v>500</v>
      </c>
      <c r="AO37">
        <v>-400</v>
      </c>
      <c r="AP37">
        <v>-367.45512260777406</v>
      </c>
      <c r="AQ37">
        <v>175.46321652504156</v>
      </c>
      <c r="AR37">
        <v>-526.36548086452433</v>
      </c>
      <c r="AS37">
        <v>103.77812067116504</v>
      </c>
      <c r="AT37">
        <v>0.35315807814325861</v>
      </c>
      <c r="AU37" t="b">
        <v>1</v>
      </c>
    </row>
    <row r="38" spans="1:47" x14ac:dyDescent="0.25">
      <c r="A38">
        <v>2.4000000000000008</v>
      </c>
      <c r="B38">
        <v>0.1</v>
      </c>
      <c r="C38">
        <v>-193.21794330755094</v>
      </c>
      <c r="D38">
        <v>132.50221624166389</v>
      </c>
      <c r="E38">
        <v>2.6469859108240037</v>
      </c>
      <c r="F38">
        <v>103.42917570558477</v>
      </c>
      <c r="G38">
        <v>100</v>
      </c>
      <c r="H38">
        <v>-0.29925203345926954</v>
      </c>
      <c r="I38">
        <v>-17.145878527923841</v>
      </c>
      <c r="J38">
        <v>0</v>
      </c>
      <c r="K38">
        <v>0</v>
      </c>
      <c r="L38">
        <v>0</v>
      </c>
      <c r="M38">
        <v>-17.145878527923841</v>
      </c>
      <c r="N38">
        <v>-192.20062966207237</v>
      </c>
      <c r="O38">
        <v>142.45033530743322</v>
      </c>
      <c r="P38">
        <v>-182.02749320728665</v>
      </c>
      <c r="Q38">
        <v>241.93152596512647</v>
      </c>
      <c r="R38">
        <v>0.9948119065769323</v>
      </c>
      <c r="S38">
        <v>0.10173136454785719</v>
      </c>
      <c r="T38" t="str">
        <v/>
      </c>
      <c r="U38">
        <v>0</v>
      </c>
      <c r="V38">
        <v>0</v>
      </c>
      <c r="W38">
        <v>-100</v>
      </c>
      <c r="X38">
        <v>0</v>
      </c>
      <c r="Y38">
        <v>100</v>
      </c>
      <c r="Z38">
        <v>0</v>
      </c>
      <c r="AA38">
        <v>-200</v>
      </c>
      <c r="AB38">
        <v>-384.40125932414475</v>
      </c>
      <c r="AC38">
        <v>384.90067061486644</v>
      </c>
      <c r="AD38">
        <v>-20.346272909571439</v>
      </c>
      <c r="AE38">
        <v>1889.2957006553863</v>
      </c>
      <c r="AF38">
        <v>10.609720966820095</v>
      </c>
      <c r="AG38" t="b">
        <v>0</v>
      </c>
      <c r="AH38">
        <v>25000</v>
      </c>
      <c r="AI38">
        <v>1</v>
      </c>
      <c r="AJ38">
        <v>0</v>
      </c>
      <c r="AK38">
        <v>100</v>
      </c>
      <c r="AL38">
        <v>-500</v>
      </c>
      <c r="AM38">
        <v>500</v>
      </c>
      <c r="AN38">
        <v>500</v>
      </c>
      <c r="AO38">
        <v>-400</v>
      </c>
      <c r="AP38">
        <v>-384.40125932414475</v>
      </c>
      <c r="AQ38">
        <v>184.90067061486644</v>
      </c>
      <c r="AR38">
        <v>-538.09849910760909</v>
      </c>
      <c r="AS38">
        <v>103.42917570558477</v>
      </c>
      <c r="AT38">
        <v>0.36335727696696629</v>
      </c>
      <c r="AU38" t="b">
        <v>1</v>
      </c>
    </row>
    <row r="39" spans="1:47" x14ac:dyDescent="0.25">
      <c r="A39">
        <v>2.5000000000000009</v>
      </c>
      <c r="B39">
        <v>0.1</v>
      </c>
      <c r="C39">
        <v>-201.87352772279988</v>
      </c>
      <c r="D39">
        <v>137.51029555717994</v>
      </c>
      <c r="E39">
        <v>2.617060707478077</v>
      </c>
      <c r="F39">
        <v>103.07831423656935</v>
      </c>
      <c r="G39">
        <v>100</v>
      </c>
      <c r="H39">
        <v>-0.26863359419575439</v>
      </c>
      <c r="I39">
        <v>-15.391571182846775</v>
      </c>
      <c r="J39">
        <v>0</v>
      </c>
      <c r="K39">
        <v>0</v>
      </c>
      <c r="L39">
        <v>0</v>
      </c>
      <c r="M39">
        <v>-15.391571182846775</v>
      </c>
      <c r="N39">
        <v>-200.5590144991547</v>
      </c>
      <c r="O39">
        <v>147.42352182237039</v>
      </c>
      <c r="P39">
        <v>-187.41388226270291</v>
      </c>
      <c r="Q39">
        <v>246.55578447427496</v>
      </c>
      <c r="R39">
        <v>0.99132262651904579</v>
      </c>
      <c r="S39">
        <v>0.13145132236451787</v>
      </c>
      <c r="T39" t="str">
        <v/>
      </c>
      <c r="U39">
        <v>0</v>
      </c>
      <c r="V39">
        <v>0</v>
      </c>
      <c r="W39">
        <v>-100</v>
      </c>
      <c r="X39">
        <v>0</v>
      </c>
      <c r="Y39">
        <v>100</v>
      </c>
      <c r="Z39">
        <v>0</v>
      </c>
      <c r="AA39">
        <v>-200</v>
      </c>
      <c r="AB39">
        <v>-401.1180289983094</v>
      </c>
      <c r="AC39">
        <v>394.84704364474078</v>
      </c>
      <c r="AD39">
        <v>-26.290264472903573</v>
      </c>
      <c r="AE39">
        <v>1525.7283904911922</v>
      </c>
      <c r="AF39">
        <v>8.7995629861938784</v>
      </c>
      <c r="AG39" t="b">
        <v>0</v>
      </c>
      <c r="AH39">
        <v>25000</v>
      </c>
      <c r="AI39">
        <v>1</v>
      </c>
      <c r="AJ39">
        <v>0</v>
      </c>
      <c r="AK39">
        <v>100</v>
      </c>
      <c r="AL39">
        <v>-500</v>
      </c>
      <c r="AM39">
        <v>500</v>
      </c>
      <c r="AN39">
        <v>500</v>
      </c>
      <c r="AO39">
        <v>-400</v>
      </c>
      <c r="AP39">
        <v>-401.1180289983094</v>
      </c>
      <c r="AQ39">
        <v>194.84704364474078</v>
      </c>
      <c r="AR39">
        <v>-548.24184220533004</v>
      </c>
      <c r="AS39">
        <v>103.07831423656935</v>
      </c>
      <c r="AT39">
        <v>0.37401846757130469</v>
      </c>
      <c r="AU39" t="b">
        <v>1</v>
      </c>
    </row>
    <row r="40" spans="1:47" x14ac:dyDescent="0.25">
      <c r="A40">
        <v>2.600000000000001</v>
      </c>
      <c r="B40">
        <v>0.1</v>
      </c>
      <c r="C40">
        <v>-210.39147156314195</v>
      </c>
      <c r="D40">
        <v>142.74905807639939</v>
      </c>
      <c r="E40">
        <v>2.5901973480585014</v>
      </c>
      <c r="F40">
        <v>102.72892566277392</v>
      </c>
      <c r="G40">
        <v>100</v>
      </c>
      <c r="H40">
        <v>-0.23814368928786658</v>
      </c>
      <c r="I40">
        <v>-13.644628313869589</v>
      </c>
      <c r="J40">
        <v>0</v>
      </c>
      <c r="K40">
        <v>0</v>
      </c>
      <c r="L40">
        <v>0</v>
      </c>
      <c r="M40">
        <v>-13.644628313869589</v>
      </c>
      <c r="N40">
        <v>-208.81116208146301</v>
      </c>
      <c r="O40">
        <v>152.62339967177252</v>
      </c>
      <c r="P40">
        <v>-193.00806726467366</v>
      </c>
      <c r="Q40">
        <v>251.36681562550365</v>
      </c>
      <c r="R40">
        <v>0.9874341595373114</v>
      </c>
      <c r="S40">
        <v>0.15803094816789356</v>
      </c>
      <c r="T40" t="str">
        <v/>
      </c>
      <c r="U40">
        <v>0</v>
      </c>
      <c r="V40">
        <v>0</v>
      </c>
      <c r="W40">
        <v>-100</v>
      </c>
      <c r="X40">
        <v>0</v>
      </c>
      <c r="Y40">
        <v>100</v>
      </c>
      <c r="Z40">
        <v>0</v>
      </c>
      <c r="AA40">
        <v>-200</v>
      </c>
      <c r="AB40">
        <v>-417.62232416292602</v>
      </c>
      <c r="AC40">
        <v>405.24679934354504</v>
      </c>
      <c r="AD40">
        <v>-31.606189633578712</v>
      </c>
      <c r="AE40">
        <v>1321.3308184395632</v>
      </c>
      <c r="AF40">
        <v>7.7867529292419526</v>
      </c>
      <c r="AG40" t="b">
        <v>0</v>
      </c>
      <c r="AH40">
        <v>25000</v>
      </c>
      <c r="AI40">
        <v>1</v>
      </c>
      <c r="AJ40">
        <v>0</v>
      </c>
      <c r="AK40">
        <v>100</v>
      </c>
      <c r="AL40">
        <v>-500</v>
      </c>
      <c r="AM40">
        <v>500</v>
      </c>
      <c r="AN40">
        <v>500</v>
      </c>
      <c r="AO40">
        <v>-400</v>
      </c>
      <c r="AP40">
        <v>-417.62232416292602</v>
      </c>
      <c r="AQ40">
        <v>205.24679934354504</v>
      </c>
      <c r="AR40">
        <v>-556.92945903581312</v>
      </c>
      <c r="AS40">
        <v>102.72892566277392</v>
      </c>
      <c r="AT40">
        <v>0.38515362510941159</v>
      </c>
      <c r="AU40" t="b">
        <v>1</v>
      </c>
    </row>
    <row r="41" spans="1:47" x14ac:dyDescent="0.25">
      <c r="A41">
        <v>2.7000000000000011</v>
      </c>
      <c r="B41">
        <v>0.1</v>
      </c>
      <c r="C41">
        <v>-218.78225412022712</v>
      </c>
      <c r="D41">
        <v>148.18916543560798</v>
      </c>
      <c r="E41">
        <v>2.5663829791297146</v>
      </c>
      <c r="F41">
        <v>102.38500985432422</v>
      </c>
      <c r="G41">
        <v>100</v>
      </c>
      <c r="H41">
        <v>-0.20813137325234013</v>
      </c>
      <c r="I41">
        <v>-11.92504927162112</v>
      </c>
      <c r="J41">
        <v>0</v>
      </c>
      <c r="K41">
        <v>0</v>
      </c>
      <c r="L41">
        <v>0</v>
      </c>
      <c r="M41">
        <v>-11.92504927162112</v>
      </c>
      <c r="N41">
        <v>-216.96726374556476</v>
      </c>
      <c r="O41">
        <v>158.02307665850819</v>
      </c>
      <c r="P41">
        <v>-198.81735999894119</v>
      </c>
      <c r="Q41">
        <v>256.36218888751046</v>
      </c>
      <c r="R41">
        <v>0.98339112229002246</v>
      </c>
      <c r="S41">
        <v>0.18149903746623577</v>
      </c>
      <c r="T41" t="str">
        <v/>
      </c>
      <c r="U41">
        <v>0</v>
      </c>
      <c r="V41">
        <v>0</v>
      </c>
      <c r="W41">
        <v>-100</v>
      </c>
      <c r="X41">
        <v>0</v>
      </c>
      <c r="Y41">
        <v>100</v>
      </c>
      <c r="Z41">
        <v>0</v>
      </c>
      <c r="AA41">
        <v>-200</v>
      </c>
      <c r="AB41">
        <v>-433.93452749112953</v>
      </c>
      <c r="AC41">
        <v>416.04615331701638</v>
      </c>
      <c r="AD41">
        <v>-36.299807493247158</v>
      </c>
      <c r="AE41">
        <v>1195.418261024812</v>
      </c>
      <c r="AF41">
        <v>7.1679339098684247</v>
      </c>
      <c r="AG41" t="b">
        <v>0</v>
      </c>
      <c r="AH41">
        <v>25000</v>
      </c>
      <c r="AI41">
        <v>1</v>
      </c>
      <c r="AJ41">
        <v>0</v>
      </c>
      <c r="AK41">
        <v>100</v>
      </c>
      <c r="AL41">
        <v>-500</v>
      </c>
      <c r="AM41">
        <v>500</v>
      </c>
      <c r="AN41">
        <v>500</v>
      </c>
      <c r="AO41">
        <v>-400</v>
      </c>
      <c r="AP41">
        <v>-433.93452749112953</v>
      </c>
      <c r="AQ41">
        <v>216.04615331701638</v>
      </c>
      <c r="AR41">
        <v>-564.29517613150551</v>
      </c>
      <c r="AS41">
        <v>102.38500985432422</v>
      </c>
      <c r="AT41">
        <v>0.39676896601206774</v>
      </c>
      <c r="AU41" t="b">
        <v>1</v>
      </c>
    </row>
    <row r="42" spans="1:47" x14ac:dyDescent="0.25">
      <c r="A42">
        <v>2.8000000000000012</v>
      </c>
      <c r="B42">
        <v>0.1</v>
      </c>
      <c r="C42">
        <v>-227.05800182821156</v>
      </c>
      <c r="D42">
        <v>153.80272044770061</v>
      </c>
      <c r="E42">
        <v>2.5455698418044808</v>
      </c>
      <c r="F42">
        <v>102.05104870034995</v>
      </c>
      <c r="G42">
        <v>100</v>
      </c>
      <c r="H42">
        <v>-0.17898776469928618</v>
      </c>
      <c r="I42">
        <v>-10.25524350174976</v>
      </c>
      <c r="J42">
        <v>0</v>
      </c>
      <c r="K42">
        <v>0</v>
      </c>
      <c r="L42">
        <v>0</v>
      </c>
      <c r="M42">
        <v>-10.25524350174976</v>
      </c>
      <c r="N42">
        <v>-225.03874478619204</v>
      </c>
      <c r="O42">
        <v>163.59672887113248</v>
      </c>
      <c r="P42">
        <v>-204.8461743659968</v>
      </c>
      <c r="Q42">
        <v>261.53681310545124</v>
      </c>
      <c r="R42">
        <v>0.97940084234318769</v>
      </c>
      <c r="S42">
        <v>0.20192570420195241</v>
      </c>
      <c r="T42" t="str">
        <v/>
      </c>
      <c r="U42">
        <v>0</v>
      </c>
      <c r="V42">
        <v>0</v>
      </c>
      <c r="W42">
        <v>-100</v>
      </c>
      <c r="X42">
        <v>0</v>
      </c>
      <c r="Y42">
        <v>100</v>
      </c>
      <c r="Z42">
        <v>0</v>
      </c>
      <c r="AA42">
        <v>-200</v>
      </c>
      <c r="AB42">
        <v>-450.07748957238408</v>
      </c>
      <c r="AC42">
        <v>427.19345774226497</v>
      </c>
      <c r="AD42">
        <v>-40.385140840390484</v>
      </c>
      <c r="AE42">
        <v>1114.4630926289776</v>
      </c>
      <c r="AF42">
        <v>6.7755141027617354</v>
      </c>
      <c r="AG42" t="b">
        <v>0</v>
      </c>
      <c r="AH42">
        <v>25000</v>
      </c>
      <c r="AI42">
        <v>1</v>
      </c>
      <c r="AJ42">
        <v>0</v>
      </c>
      <c r="AK42">
        <v>100</v>
      </c>
      <c r="AL42">
        <v>-500</v>
      </c>
      <c r="AM42">
        <v>500</v>
      </c>
      <c r="AN42">
        <v>500</v>
      </c>
      <c r="AO42">
        <v>-400</v>
      </c>
      <c r="AP42">
        <v>-450.07748957238408</v>
      </c>
      <c r="AQ42">
        <v>227.19345774226497</v>
      </c>
      <c r="AR42">
        <v>-570.47070285237487</v>
      </c>
      <c r="AS42">
        <v>102.05104870034995</v>
      </c>
      <c r="AT42">
        <v>0.40886402982565223</v>
      </c>
      <c r="AU42" t="b">
        <v>1</v>
      </c>
    </row>
    <row r="43" spans="1:47" x14ac:dyDescent="0.25">
      <c r="A43">
        <v>2.9000000000000012</v>
      </c>
      <c r="B43">
        <v>0.1</v>
      </c>
      <c r="C43">
        <v>-235.23195353505815</v>
      </c>
      <c r="D43">
        <v>159.56349413655002</v>
      </c>
      <c r="E43">
        <v>2.5276710653345522</v>
      </c>
      <c r="F43">
        <v>101.73180292643521</v>
      </c>
      <c r="G43">
        <v>100</v>
      </c>
      <c r="H43">
        <v>-0.15112831530983761</v>
      </c>
      <c r="I43">
        <v>-8.6590146321760386</v>
      </c>
      <c r="J43">
        <v>0</v>
      </c>
      <c r="K43">
        <v>0</v>
      </c>
      <c r="L43">
        <v>0</v>
      </c>
      <c r="M43">
        <v>-8.6590146321760386</v>
      </c>
      <c r="N43">
        <v>-233.03772852766318</v>
      </c>
      <c r="O43">
        <v>169.31979346656868</v>
      </c>
      <c r="P43">
        <v>-211.09547845371355</v>
      </c>
      <c r="Q43">
        <v>266.88278676675532</v>
      </c>
      <c r="R43">
        <v>0.97562993300186607</v>
      </c>
      <c r="S43">
        <v>0.21942250073949629</v>
      </c>
      <c r="T43" t="str">
        <v/>
      </c>
      <c r="U43">
        <v>0</v>
      </c>
      <c r="V43">
        <v>0</v>
      </c>
      <c r="W43">
        <v>-100</v>
      </c>
      <c r="X43">
        <v>0</v>
      </c>
      <c r="Y43">
        <v>100</v>
      </c>
      <c r="Z43">
        <v>0</v>
      </c>
      <c r="AA43">
        <v>-200</v>
      </c>
      <c r="AB43">
        <v>-466.07545705532635</v>
      </c>
      <c r="AC43">
        <v>438.63958693313737</v>
      </c>
      <c r="AD43">
        <v>-43.88450014789926</v>
      </c>
      <c r="AE43">
        <v>1062.0502808156907</v>
      </c>
      <c r="AF43">
        <v>6.5274391889169712</v>
      </c>
      <c r="AG43" t="b">
        <v>0</v>
      </c>
      <c r="AH43">
        <v>25000</v>
      </c>
      <c r="AI43">
        <v>1</v>
      </c>
      <c r="AJ43">
        <v>0</v>
      </c>
      <c r="AK43">
        <v>100</v>
      </c>
      <c r="AL43">
        <v>-500</v>
      </c>
      <c r="AM43">
        <v>500</v>
      </c>
      <c r="AN43">
        <v>500</v>
      </c>
      <c r="AO43">
        <v>-400</v>
      </c>
      <c r="AP43">
        <v>-466.07545705532635</v>
      </c>
      <c r="AQ43">
        <v>238.63958693313737</v>
      </c>
      <c r="AR43">
        <v>-575.5839667967316</v>
      </c>
      <c r="AS43">
        <v>101.73180292643521</v>
      </c>
      <c r="AT43">
        <v>0.42143096384961426</v>
      </c>
      <c r="AU43" t="b">
        <v>1</v>
      </c>
    </row>
    <row r="44" spans="1:47" x14ac:dyDescent="0.25">
      <c r="A44">
        <v>3.0000000000000013</v>
      </c>
      <c r="B44">
        <v>0.1</v>
      </c>
      <c r="C44">
        <v>-243.31791351570655</v>
      </c>
      <c r="D44">
        <v>165.44713681701191</v>
      </c>
      <c r="E44">
        <v>2.5125582338035684</v>
      </c>
      <c r="F44">
        <v>101.4320368004783</v>
      </c>
      <c r="G44">
        <v>100</v>
      </c>
      <c r="H44">
        <v>-0.12496878589035727</v>
      </c>
      <c r="I44">
        <v>-7.1601840023915031</v>
      </c>
      <c r="J44">
        <v>0</v>
      </c>
      <c r="K44">
        <v>0</v>
      </c>
      <c r="L44">
        <v>0</v>
      </c>
      <c r="M44">
        <v>-7.1601840023915031</v>
      </c>
      <c r="N44">
        <v>-240.97649938597925</v>
      </c>
      <c r="O44">
        <v>175.16916231960721</v>
      </c>
      <c r="P44">
        <v>-217.56235808870628</v>
      </c>
      <c r="Q44">
        <v>272.38941734556022</v>
      </c>
      <c r="R44">
        <v>0.97220255025952984</v>
      </c>
      <c r="S44">
        <v>0.23414141297272978</v>
      </c>
      <c r="T44" t="str">
        <v/>
      </c>
      <c r="U44">
        <v>0</v>
      </c>
      <c r="V44">
        <v>0</v>
      </c>
      <c r="W44">
        <v>-100</v>
      </c>
      <c r="X44">
        <v>0</v>
      </c>
      <c r="Y44">
        <v>100</v>
      </c>
      <c r="Z44">
        <v>0</v>
      </c>
      <c r="AA44">
        <v>-200</v>
      </c>
      <c r="AB44">
        <v>-481.95299877195851</v>
      </c>
      <c r="AC44">
        <v>450.33832463921442</v>
      </c>
      <c r="AD44">
        <v>-46.828282594545954</v>
      </c>
      <c r="AE44">
        <v>1029.1921293481114</v>
      </c>
      <c r="AF44">
        <v>6.3787618758943845</v>
      </c>
      <c r="AG44" t="b">
        <v>0</v>
      </c>
      <c r="AH44">
        <v>25000</v>
      </c>
      <c r="AI44">
        <v>1</v>
      </c>
      <c r="AJ44">
        <v>0</v>
      </c>
      <c r="AK44">
        <v>100</v>
      </c>
      <c r="AL44">
        <v>-500</v>
      </c>
      <c r="AM44">
        <v>500</v>
      </c>
      <c r="AN44">
        <v>500</v>
      </c>
      <c r="AO44">
        <v>-400</v>
      </c>
      <c r="AP44">
        <v>-481.95299877195851</v>
      </c>
      <c r="AQ44">
        <v>250.33832463921442</v>
      </c>
      <c r="AR44">
        <v>-579.75784031885678</v>
      </c>
      <c r="AS44">
        <v>101.4320368004783</v>
      </c>
      <c r="AT44">
        <v>0.43445411793762667</v>
      </c>
      <c r="AU44" t="b">
        <v>1</v>
      </c>
    </row>
    <row r="45" spans="1:47" x14ac:dyDescent="0.25">
      <c r="A45">
        <v>3.1000000000000014</v>
      </c>
      <c r="B45">
        <v>0.1</v>
      </c>
      <c r="C45">
        <v>-251.3297168499642</v>
      </c>
      <c r="D45">
        <v>171.43136670340311</v>
      </c>
      <c r="E45">
        <v>2.5000613552145325</v>
      </c>
      <c r="F45">
        <v>101.15618908833424</v>
      </c>
      <c r="G45">
        <v>100</v>
      </c>
      <c r="H45">
        <v>-0.10089653183532062</v>
      </c>
      <c r="I45">
        <v>-5.7809454416712214</v>
      </c>
      <c r="J45">
        <v>0</v>
      </c>
      <c r="K45">
        <v>0</v>
      </c>
      <c r="L45">
        <v>0</v>
      </c>
      <c r="M45">
        <v>-5.7809454416712214</v>
      </c>
      <c r="N45">
        <v>-248.8669937394728</v>
      </c>
      <c r="O45">
        <v>181.12337345541539</v>
      </c>
      <c r="P45">
        <v>-224.23976263455893</v>
      </c>
      <c r="Q45">
        <v>278.0434409755382</v>
      </c>
      <c r="R45">
        <v>0.96920067520122799</v>
      </c>
      <c r="S45">
        <v>0.24627231104913891</v>
      </c>
      <c r="T45" t="str">
        <v/>
      </c>
      <c r="U45">
        <v>0</v>
      </c>
      <c r="V45">
        <v>0</v>
      </c>
      <c r="W45">
        <v>-100</v>
      </c>
      <c r="X45">
        <v>0</v>
      </c>
      <c r="Y45">
        <v>100</v>
      </c>
      <c r="Z45">
        <v>0</v>
      </c>
      <c r="AA45">
        <v>-200</v>
      </c>
      <c r="AB45">
        <v>-497.73398747894561</v>
      </c>
      <c r="AC45">
        <v>462.24674691083078</v>
      </c>
      <c r="AD45">
        <v>-49.254462209827778</v>
      </c>
      <c r="AE45">
        <v>1010.5358279186173</v>
      </c>
      <c r="AF45">
        <v>6.3026769009458565</v>
      </c>
      <c r="AG45" t="b">
        <v>0</v>
      </c>
      <c r="AH45">
        <v>25000</v>
      </c>
      <c r="AI45">
        <v>1</v>
      </c>
      <c r="AJ45">
        <v>0</v>
      </c>
      <c r="AK45">
        <v>100</v>
      </c>
      <c r="AL45">
        <v>-500</v>
      </c>
      <c r="AM45">
        <v>500</v>
      </c>
      <c r="AN45">
        <v>500</v>
      </c>
      <c r="AO45">
        <v>-400</v>
      </c>
      <c r="AP45">
        <v>-497.73398747894561</v>
      </c>
      <c r="AQ45">
        <v>262.24674691083078</v>
      </c>
      <c r="AR45">
        <v>-583.10926202026963</v>
      </c>
      <c r="AS45">
        <v>101.15618908833424</v>
      </c>
      <c r="AT45">
        <v>0.44791005055152999</v>
      </c>
      <c r="AU45" t="b">
        <v>1</v>
      </c>
    </row>
    <row r="46" spans="1:47" x14ac:dyDescent="0.25">
      <c r="A46">
        <v>3.2000000000000015</v>
      </c>
      <c r="B46">
        <v>0.1</v>
      </c>
      <c r="C46">
        <v>-259.28073460278847</v>
      </c>
      <c r="D46">
        <v>177.49612693726837</v>
      </c>
      <c r="E46">
        <v>2.4899717020310006</v>
      </c>
      <c r="F46">
        <v>100.90802412794669</v>
      </c>
      <c r="G46">
        <v>100</v>
      </c>
      <c r="H46">
        <v>-7.9240053601099897E-2</v>
      </c>
      <c r="I46">
        <v>-4.5401206397334448</v>
      </c>
      <c r="J46">
        <v>0</v>
      </c>
      <c r="K46">
        <v>0</v>
      </c>
      <c r="L46">
        <v>0</v>
      </c>
      <c r="M46">
        <v>-4.5401206397334448</v>
      </c>
      <c r="N46">
        <v>-256.72034951757854</v>
      </c>
      <c r="O46">
        <v>187.16279276450345</v>
      </c>
      <c r="P46">
        <v>-231.11649866547933</v>
      </c>
      <c r="Q46">
        <v>283.82945103685432</v>
      </c>
      <c r="R46">
        <v>0.96666658272350858</v>
      </c>
      <c r="S46">
        <v>0.25603850852099214</v>
      </c>
      <c r="T46" t="str">
        <v/>
      </c>
      <c r="U46">
        <v>0</v>
      </c>
      <c r="V46">
        <v>0</v>
      </c>
      <c r="W46">
        <v>-100</v>
      </c>
      <c r="X46">
        <v>0</v>
      </c>
      <c r="Y46">
        <v>100</v>
      </c>
      <c r="Z46">
        <v>0</v>
      </c>
      <c r="AA46">
        <v>-200</v>
      </c>
      <c r="AB46">
        <v>-513.44069903515708</v>
      </c>
      <c r="AC46">
        <v>474.3255855290069</v>
      </c>
      <c r="AD46">
        <v>-51.207701704198428</v>
      </c>
      <c r="AE46">
        <v>1002.6630408079045</v>
      </c>
      <c r="AF46">
        <v>6.2820182402272122</v>
      </c>
      <c r="AG46" t="b">
        <v>0</v>
      </c>
      <c r="AH46">
        <v>25000</v>
      </c>
      <c r="AI46">
        <v>1</v>
      </c>
      <c r="AJ46">
        <v>0</v>
      </c>
      <c r="AK46">
        <v>100</v>
      </c>
      <c r="AL46">
        <v>-500</v>
      </c>
      <c r="AM46">
        <v>500</v>
      </c>
      <c r="AN46">
        <v>500</v>
      </c>
      <c r="AO46">
        <v>-400</v>
      </c>
      <c r="AP46">
        <v>-513.44069903515708</v>
      </c>
      <c r="AQ46">
        <v>274.3255855290069</v>
      </c>
      <c r="AR46">
        <v>-585.74869477015113</v>
      </c>
      <c r="AS46">
        <v>100.90802412794669</v>
      </c>
      <c r="AT46">
        <v>0.46176801904411757</v>
      </c>
      <c r="AU46" t="b">
        <v>1</v>
      </c>
    </row>
    <row r="47" spans="1:47" x14ac:dyDescent="0.25">
      <c r="A47">
        <v>3.3000000000000016</v>
      </c>
      <c r="B47">
        <v>0.1</v>
      </c>
      <c r="C47">
        <v>-267.18344604558422</v>
      </c>
      <c r="D47">
        <v>183.62370001736338</v>
      </c>
      <c r="E47">
        <v>2.4820476966708904</v>
      </c>
      <c r="F47">
        <v>100.69030889495582</v>
      </c>
      <c r="G47">
        <v>100</v>
      </c>
      <c r="H47">
        <v>-6.0240815363913638E-2</v>
      </c>
      <c r="I47">
        <v>-3.451544474779098</v>
      </c>
      <c r="J47">
        <v>0</v>
      </c>
      <c r="K47">
        <v>0</v>
      </c>
      <c r="L47">
        <v>0</v>
      </c>
      <c r="M47">
        <v>-3.451544474779098</v>
      </c>
      <c r="N47">
        <v>-264.54654343283727</v>
      </c>
      <c r="O47">
        <v>193.2697740690638</v>
      </c>
      <c r="P47">
        <v>-238.17751730536762</v>
      </c>
      <c r="Q47">
        <v>289.73051458606801</v>
      </c>
      <c r="R47">
        <v>0.9646074051700424</v>
      </c>
      <c r="S47">
        <v>0.26369026127469658</v>
      </c>
      <c r="T47" t="str">
        <v/>
      </c>
      <c r="U47">
        <v>0</v>
      </c>
      <c r="V47">
        <v>0</v>
      </c>
      <c r="W47">
        <v>-100</v>
      </c>
      <c r="X47">
        <v>0</v>
      </c>
      <c r="Y47">
        <v>100</v>
      </c>
      <c r="Z47">
        <v>0</v>
      </c>
      <c r="AA47">
        <v>-200</v>
      </c>
      <c r="AB47">
        <v>-529.09308686567454</v>
      </c>
      <c r="AC47">
        <v>486.5395481381276</v>
      </c>
      <c r="AD47">
        <v>-52.738052254939319</v>
      </c>
      <c r="AE47">
        <v>1003.2473029303447</v>
      </c>
      <c r="AF47">
        <v>6.3050477584627345</v>
      </c>
      <c r="AG47" t="b">
        <v>0</v>
      </c>
      <c r="AH47">
        <v>25000</v>
      </c>
      <c r="AI47">
        <v>1</v>
      </c>
      <c r="AJ47">
        <v>0</v>
      </c>
      <c r="AK47">
        <v>100</v>
      </c>
      <c r="AL47">
        <v>-500</v>
      </c>
      <c r="AM47">
        <v>500</v>
      </c>
      <c r="AN47">
        <v>500</v>
      </c>
      <c r="AO47">
        <v>-400</v>
      </c>
      <c r="AP47">
        <v>-529.09308686567454</v>
      </c>
      <c r="AQ47">
        <v>286.5395481381276</v>
      </c>
      <c r="AR47">
        <v>-587.77980709489987</v>
      </c>
      <c r="AS47">
        <v>100.69030889495582</v>
      </c>
      <c r="AT47">
        <v>0.47599097914499289</v>
      </c>
      <c r="AU47" t="b">
        <v>1</v>
      </c>
    </row>
    <row r="48" spans="1:47" x14ac:dyDescent="0.25">
      <c r="A48">
        <v>3.4000000000000017</v>
      </c>
      <c r="B48">
        <v>0.1</v>
      </c>
      <c r="C48">
        <v>-275.04910131926391</v>
      </c>
      <c r="D48">
        <v>189.79876820448771</v>
      </c>
      <c r="E48">
        <v>2.476023615134499</v>
      </c>
      <c r="F48">
        <v>100.50456610972461</v>
      </c>
      <c r="G48">
        <v>100</v>
      </c>
      <c r="H48">
        <v>-4.4031699543366838E-2</v>
      </c>
      <c r="I48">
        <v>-2.522830548623034</v>
      </c>
      <c r="J48">
        <v>0</v>
      </c>
      <c r="K48">
        <v>0</v>
      </c>
      <c r="L48">
        <v>0</v>
      </c>
      <c r="M48">
        <v>-2.522830548623034</v>
      </c>
      <c r="N48">
        <v>-272.35413816725048</v>
      </c>
      <c r="O48">
        <v>199.42878241056704</v>
      </c>
      <c r="P48">
        <v>-245.40450664711594</v>
      </c>
      <c r="Q48">
        <v>295.72892447136036</v>
      </c>
      <c r="R48">
        <v>0.96300142060793303</v>
      </c>
      <c r="S48">
        <v>0.26949631520134543</v>
      </c>
      <c r="T48" t="str">
        <v/>
      </c>
      <c r="U48">
        <v>0</v>
      </c>
      <c r="V48">
        <v>0</v>
      </c>
      <c r="W48">
        <v>-100</v>
      </c>
      <c r="X48">
        <v>0</v>
      </c>
      <c r="Y48">
        <v>100</v>
      </c>
      <c r="Z48">
        <v>0</v>
      </c>
      <c r="AA48">
        <v>-200</v>
      </c>
      <c r="AB48">
        <v>-544.70827633450097</v>
      </c>
      <c r="AC48">
        <v>498.85756482113408</v>
      </c>
      <c r="AD48">
        <v>-53.899263040269084</v>
      </c>
      <c r="AE48">
        <v>1010.6043118391802</v>
      </c>
      <c r="AF48">
        <v>6.3632108519210009</v>
      </c>
      <c r="AG48" t="b">
        <v>0</v>
      </c>
      <c r="AH48">
        <v>25000</v>
      </c>
      <c r="AI48">
        <v>1</v>
      </c>
      <c r="AJ48">
        <v>0</v>
      </c>
      <c r="AK48">
        <v>100</v>
      </c>
      <c r="AL48">
        <v>-500</v>
      </c>
      <c r="AM48">
        <v>500</v>
      </c>
      <c r="AN48">
        <v>500</v>
      </c>
      <c r="AO48">
        <v>-400</v>
      </c>
      <c r="AP48">
        <v>-544.70827633450097</v>
      </c>
      <c r="AQ48">
        <v>298.85756482113408</v>
      </c>
      <c r="AR48">
        <v>-589.29923638450464</v>
      </c>
      <c r="AS48">
        <v>100.50456610972461</v>
      </c>
      <c r="AT48">
        <v>0.49053705587953939</v>
      </c>
      <c r="AU48" t="b">
        <v>1</v>
      </c>
    </row>
    <row r="49" spans="1:47" x14ac:dyDescent="0.25">
      <c r="A49">
        <v>3.5000000000000018</v>
      </c>
      <c r="B49">
        <v>0.1</v>
      </c>
      <c r="C49">
        <v>-282.88749055692716</v>
      </c>
      <c r="D49">
        <v>196.00841023594856</v>
      </c>
      <c r="E49">
        <v>2.4716204451801622</v>
      </c>
      <c r="F49">
        <v>100.35094661644882</v>
      </c>
      <c r="G49">
        <v>100</v>
      </c>
      <c r="H49">
        <v>-3.0625869778828262E-2</v>
      </c>
      <c r="I49">
        <v>-1.7547330822441154</v>
      </c>
      <c r="J49">
        <v>0</v>
      </c>
      <c r="K49">
        <v>0</v>
      </c>
      <c r="L49">
        <v>0</v>
      </c>
      <c r="M49">
        <v>-1.7547330822441154</v>
      </c>
      <c r="N49">
        <v>-280.15015107752123</v>
      </c>
      <c r="O49">
        <v>205.62646474684033</v>
      </c>
      <c r="P49">
        <v>-252.77675628346171</v>
      </c>
      <c r="Q49">
        <v>301.80700985575805</v>
      </c>
      <c r="R49">
        <v>0.96180545108917714</v>
      </c>
      <c r="S49">
        <v>0.27373394794059513</v>
      </c>
      <c r="T49" t="str">
        <v/>
      </c>
      <c r="U49">
        <v>0</v>
      </c>
      <c r="V49">
        <v>0</v>
      </c>
      <c r="W49">
        <v>-100</v>
      </c>
      <c r="X49">
        <v>0</v>
      </c>
      <c r="Y49">
        <v>100</v>
      </c>
      <c r="Z49">
        <v>0</v>
      </c>
      <c r="AA49">
        <v>-200</v>
      </c>
      <c r="AB49">
        <v>-560.30030215504246</v>
      </c>
      <c r="AC49">
        <v>511.25292949368065</v>
      </c>
      <c r="AD49">
        <v>-54.746789588119029</v>
      </c>
      <c r="AE49">
        <v>1023.4395594159863</v>
      </c>
      <c r="AF49">
        <v>6.4498810592672076</v>
      </c>
      <c r="AG49" t="b">
        <v>0</v>
      </c>
      <c r="AH49">
        <v>25000</v>
      </c>
      <c r="AI49">
        <v>1</v>
      </c>
      <c r="AJ49">
        <v>0</v>
      </c>
      <c r="AK49">
        <v>100</v>
      </c>
      <c r="AL49">
        <v>-500</v>
      </c>
      <c r="AM49">
        <v>500</v>
      </c>
      <c r="AN49">
        <v>500</v>
      </c>
      <c r="AO49">
        <v>-400</v>
      </c>
      <c r="AP49">
        <v>-560.30030215504246</v>
      </c>
      <c r="AQ49">
        <v>311.25292949368065</v>
      </c>
      <c r="AR49">
        <v>-590.39630472082661</v>
      </c>
      <c r="AS49">
        <v>100.35094661644882</v>
      </c>
      <c r="AT49">
        <v>0.50536138056124957</v>
      </c>
      <c r="AU49" t="b">
        <v>1</v>
      </c>
    </row>
    <row r="50" spans="1:47" x14ac:dyDescent="0.25">
      <c r="A50">
        <v>3.6000000000000019</v>
      </c>
      <c r="B50">
        <v>0.1</v>
      </c>
      <c r="C50">
        <v>-290.7068254956784</v>
      </c>
      <c r="D50">
        <v>202.24202885723298</v>
      </c>
      <c r="E50">
        <v>2.4685578582022796</v>
      </c>
      <c r="F50">
        <v>100.22824622763036</v>
      </c>
      <c r="G50">
        <v>100</v>
      </c>
      <c r="H50">
        <v>-1.9918240887031598E-2</v>
      </c>
      <c r="I50">
        <v>-1.1412311381518236</v>
      </c>
      <c r="J50">
        <v>0</v>
      </c>
      <c r="K50">
        <v>0</v>
      </c>
      <c r="L50">
        <v>0</v>
      </c>
      <c r="M50">
        <v>-1.1412311381518236</v>
      </c>
      <c r="N50">
        <v>-287.94004277116608</v>
      </c>
      <c r="O50">
        <v>211.85165493504371</v>
      </c>
      <c r="P50">
        <v>-260.27221552604306</v>
      </c>
      <c r="Q50">
        <v>307.94791571315113</v>
      </c>
      <c r="R50">
        <v>0.96096260778107423</v>
      </c>
      <c r="S50">
        <v>0.2766782724512305</v>
      </c>
      <c r="T50" t="str">
        <v/>
      </c>
      <c r="U50">
        <v>0</v>
      </c>
      <c r="V50">
        <v>0</v>
      </c>
      <c r="W50">
        <v>-100</v>
      </c>
      <c r="X50">
        <v>0</v>
      </c>
      <c r="Y50">
        <v>100</v>
      </c>
      <c r="Z50">
        <v>0</v>
      </c>
      <c r="AA50">
        <v>-200</v>
      </c>
      <c r="AB50">
        <v>-575.88008554233215</v>
      </c>
      <c r="AC50">
        <v>523.70330987008742</v>
      </c>
      <c r="AD50">
        <v>-55.3356544902461</v>
      </c>
      <c r="AE50">
        <v>1040.7034864724358</v>
      </c>
      <c r="AF50">
        <v>6.5596439561122573</v>
      </c>
      <c r="AG50" t="b">
        <v>0</v>
      </c>
      <c r="AH50">
        <v>25000</v>
      </c>
      <c r="AI50">
        <v>1</v>
      </c>
      <c r="AJ50">
        <v>0</v>
      </c>
      <c r="AK50">
        <v>100</v>
      </c>
      <c r="AL50">
        <v>-500</v>
      </c>
      <c r="AM50">
        <v>500</v>
      </c>
      <c r="AN50">
        <v>500</v>
      </c>
      <c r="AO50">
        <v>-400</v>
      </c>
      <c r="AP50">
        <v>-575.88008554233215</v>
      </c>
      <c r="AQ50">
        <v>323.70330987008742</v>
      </c>
      <c r="AR50">
        <v>-591.15261287102931</v>
      </c>
      <c r="AS50">
        <v>100.22824622763036</v>
      </c>
      <c r="AT50">
        <v>0.52041812950817745</v>
      </c>
      <c r="AU50" t="b">
        <v>1</v>
      </c>
    </row>
    <row r="51" spans="1:47" x14ac:dyDescent="0.25">
      <c r="A51">
        <v>3.700000000000002</v>
      </c>
      <c r="B51">
        <v>0.1</v>
      </c>
      <c r="C51">
        <v>-298.51372865984428</v>
      </c>
      <c r="D51">
        <v>208.49120984239713</v>
      </c>
      <c r="E51">
        <v>2.4665660341135762</v>
      </c>
      <c r="F51">
        <v>100.13406654910698</v>
      </c>
      <c r="G51">
        <v>100</v>
      </c>
      <c r="H51">
        <v>-1.1699513493516946E-2</v>
      </c>
      <c r="I51">
        <v>-0.67033274553487843</v>
      </c>
      <c r="J51">
        <v>0</v>
      </c>
      <c r="K51">
        <v>0</v>
      </c>
      <c r="L51">
        <v>0</v>
      </c>
      <c r="M51">
        <v>-0.67033274553487843</v>
      </c>
      <c r="N51">
        <v>-295.72781075169723</v>
      </c>
      <c r="O51">
        <v>218.09530591694082</v>
      </c>
      <c r="P51">
        <v>-267.8686316702271</v>
      </c>
      <c r="Q51">
        <v>314.13626666237786</v>
      </c>
      <c r="R51">
        <v>0.96040960745437032</v>
      </c>
      <c r="S51">
        <v>0.27859179081470137</v>
      </c>
      <c r="T51" t="str">
        <v/>
      </c>
      <c r="U51">
        <v>0</v>
      </c>
      <c r="V51">
        <v>0</v>
      </c>
      <c r="W51">
        <v>-100</v>
      </c>
      <c r="X51">
        <v>0</v>
      </c>
      <c r="Y51">
        <v>100</v>
      </c>
      <c r="Z51">
        <v>0</v>
      </c>
      <c r="AA51">
        <v>-200</v>
      </c>
      <c r="AB51">
        <v>-591.45562150339447</v>
      </c>
      <c r="AC51">
        <v>536.19061183388158</v>
      </c>
      <c r="AD51">
        <v>-55.718358162940277</v>
      </c>
      <c r="AE51">
        <v>1061.5094216770856</v>
      </c>
      <c r="AF51">
        <v>6.6878957644947308</v>
      </c>
      <c r="AG51" t="b">
        <v>0</v>
      </c>
      <c r="AH51">
        <v>25000</v>
      </c>
      <c r="AI51">
        <v>1</v>
      </c>
      <c r="AJ51">
        <v>0</v>
      </c>
      <c r="AK51">
        <v>100</v>
      </c>
      <c r="AL51">
        <v>-500</v>
      </c>
      <c r="AM51">
        <v>500</v>
      </c>
      <c r="AN51">
        <v>500</v>
      </c>
      <c r="AO51">
        <v>-400</v>
      </c>
      <c r="AP51">
        <v>-591.45562150339447</v>
      </c>
      <c r="AQ51">
        <v>336.19061183388163</v>
      </c>
      <c r="AR51">
        <v>-591.64152005306573</v>
      </c>
      <c r="AS51">
        <v>100.13406654910698</v>
      </c>
      <c r="AT51">
        <v>0.53566256366044607</v>
      </c>
      <c r="AU51" t="b">
        <v>1</v>
      </c>
    </row>
    <row r="52" spans="1:47" x14ac:dyDescent="0.25">
      <c r="A52">
        <v>3.800000000000002</v>
      </c>
      <c r="B52">
        <v>0.1</v>
      </c>
      <c r="C52">
        <v>-306.31331524496221</v>
      </c>
      <c r="D52">
        <v>214.74952024547304</v>
      </c>
      <c r="E52">
        <v>2.4653960827642245</v>
      </c>
      <c r="F52">
        <v>100.06509262779404</v>
      </c>
      <c r="G52">
        <v>100</v>
      </c>
      <c r="H52">
        <v>-5.6804033689062264E-3</v>
      </c>
      <c r="I52">
        <v>-0.32546313897022117</v>
      </c>
      <c r="J52">
        <v>0</v>
      </c>
      <c r="K52">
        <v>0</v>
      </c>
      <c r="L52">
        <v>0</v>
      </c>
      <c r="M52">
        <v>-0.32546313897022117</v>
      </c>
      <c r="N52">
        <v>-303.51616292087954</v>
      </c>
      <c r="O52">
        <v>224.35035035936835</v>
      </c>
      <c r="P52">
        <v>-275.54463968005297</v>
      </c>
      <c r="Q52">
        <v>320.35865149832142</v>
      </c>
      <c r="R52">
        <v>0.96008301138953078</v>
      </c>
      <c r="S52">
        <v>0.27971523240826557</v>
      </c>
      <c r="T52" t="str">
        <v/>
      </c>
      <c r="U52">
        <v>0</v>
      </c>
      <c r="V52">
        <v>0</v>
      </c>
      <c r="W52">
        <v>-100</v>
      </c>
      <c r="X52">
        <v>0</v>
      </c>
      <c r="Y52">
        <v>100</v>
      </c>
      <c r="Z52">
        <v>0</v>
      </c>
      <c r="AA52">
        <v>-200</v>
      </c>
      <c r="AB52">
        <v>-607.03232584175908</v>
      </c>
      <c r="AC52">
        <v>548.7007007187367</v>
      </c>
      <c r="AD52">
        <v>-55.943046481653113</v>
      </c>
      <c r="AE52">
        <v>1085.0898619560151</v>
      </c>
      <c r="AF52">
        <v>6.8306334632717469</v>
      </c>
      <c r="AG52" t="b">
        <v>0</v>
      </c>
      <c r="AH52">
        <v>25000</v>
      </c>
      <c r="AI52">
        <v>1</v>
      </c>
      <c r="AJ52">
        <v>0</v>
      </c>
      <c r="AK52">
        <v>100</v>
      </c>
      <c r="AL52">
        <v>-500</v>
      </c>
      <c r="AM52">
        <v>500</v>
      </c>
      <c r="AN52">
        <v>500</v>
      </c>
      <c r="AO52">
        <v>-400</v>
      </c>
      <c r="AP52">
        <v>-607.03232584175908</v>
      </c>
      <c r="AQ52">
        <v>348.7007007187367</v>
      </c>
      <c r="AR52">
        <v>-591.9275986580717</v>
      </c>
      <c r="AS52">
        <v>100.06509262779404</v>
      </c>
      <c r="AT52">
        <v>0.55105286456108293</v>
      </c>
      <c r="AU52" t="b">
        <v>1</v>
      </c>
    </row>
    <row r="53" spans="1:47" x14ac:dyDescent="0.25">
      <c r="A53">
        <v>3.9000000000000021</v>
      </c>
      <c r="B53">
        <v>0.1</v>
      </c>
      <c r="C53">
        <v>-314.10934559917604</v>
      </c>
      <c r="D53">
        <v>221.01226011841817</v>
      </c>
      <c r="E53">
        <v>2.4648280424273339</v>
      </c>
      <c r="F53">
        <v>100.01744004213415</v>
      </c>
      <c r="G53">
        <v>100</v>
      </c>
      <c r="H53">
        <v>-1.521930784637674E-3</v>
      </c>
      <c r="I53">
        <v>-8.7200210670772549E-2</v>
      </c>
      <c r="J53">
        <v>0</v>
      </c>
      <c r="K53">
        <v>0</v>
      </c>
      <c r="L53">
        <v>0</v>
      </c>
      <c r="M53">
        <v>-8.7200210670772549E-2</v>
      </c>
      <c r="N53">
        <v>-311.30674006789263</v>
      </c>
      <c r="O53">
        <v>230.61149978810138</v>
      </c>
      <c r="P53">
        <v>-283.28068475505881</v>
      </c>
      <c r="Q53">
        <v>326.60389648493344</v>
      </c>
      <c r="R53">
        <v>0.95992396696832083</v>
      </c>
      <c r="S53">
        <v>0.28026055312833814</v>
      </c>
      <c r="T53" t="str">
        <v/>
      </c>
      <c r="U53">
        <v>0</v>
      </c>
      <c r="V53">
        <v>0</v>
      </c>
      <c r="W53">
        <v>-100</v>
      </c>
      <c r="X53">
        <v>0</v>
      </c>
      <c r="Y53">
        <v>100</v>
      </c>
      <c r="Z53">
        <v>0</v>
      </c>
      <c r="AA53">
        <v>-200</v>
      </c>
      <c r="AB53">
        <v>-622.61348013578527</v>
      </c>
      <c r="AC53">
        <v>561.22299957620271</v>
      </c>
      <c r="AD53">
        <v>-56.05211062566763</v>
      </c>
      <c r="AE53">
        <v>1110.7761566621105</v>
      </c>
      <c r="AF53">
        <v>6.984360772525096</v>
      </c>
      <c r="AG53" t="b">
        <v>0</v>
      </c>
      <c r="AH53">
        <v>25000</v>
      </c>
      <c r="AI53">
        <v>1</v>
      </c>
      <c r="AJ53">
        <v>0</v>
      </c>
      <c r="AK53">
        <v>100</v>
      </c>
      <c r="AL53">
        <v>-500</v>
      </c>
      <c r="AM53">
        <v>500</v>
      </c>
      <c r="AN53">
        <v>500</v>
      </c>
      <c r="AO53">
        <v>-400</v>
      </c>
      <c r="AP53">
        <v>-622.61348013578527</v>
      </c>
      <c r="AQ53">
        <v>361.22299957620277</v>
      </c>
      <c r="AR53">
        <v>-592.06620473549572</v>
      </c>
      <c r="AS53">
        <v>100.01744004213415</v>
      </c>
      <c r="AT53">
        <v>0.56655159399840738</v>
      </c>
      <c r="AU53" t="b">
        <v>1</v>
      </c>
    </row>
    <row r="54" spans="1:47" x14ac:dyDescent="0.25">
      <c r="A54">
        <v>4.0000000000000018</v>
      </c>
      <c r="B54">
        <v>0.1</v>
      </c>
      <c r="C54">
        <v>-321.90442271744394</v>
      </c>
      <c r="D54">
        <v>227.27618642068705</v>
      </c>
      <c r="E54">
        <v>2.4646758493488701</v>
      </c>
      <c r="F54">
        <v>99.987015674526617</v>
      </c>
      <c r="G54">
        <v>100</v>
      </c>
      <c r="H54">
        <v>1.1330961533055058E-3</v>
      </c>
      <c r="I54">
        <v>6.4921627366913981E-2</v>
      </c>
      <c r="J54">
        <v>0</v>
      </c>
      <c r="K54">
        <v>0</v>
      </c>
      <c r="L54">
        <v>0</v>
      </c>
      <c r="M54">
        <v>6.4921627366913981E-2</v>
      </c>
      <c r="N54">
        <v>-319.10035628078793</v>
      </c>
      <c r="O54">
        <v>236.87499944203608</v>
      </c>
      <c r="P54">
        <v>-291.05969191422815</v>
      </c>
      <c r="Q54">
        <v>332.86312965552622</v>
      </c>
      <c r="R54">
        <v>0.95988130213490164</v>
      </c>
      <c r="S54">
        <v>0.28040664366559803</v>
      </c>
      <c r="T54" t="str">
        <v/>
      </c>
      <c r="U54">
        <v>1</v>
      </c>
      <c r="V54">
        <v>0</v>
      </c>
      <c r="W54">
        <v>100</v>
      </c>
      <c r="X54">
        <v>-500</v>
      </c>
      <c r="Y54">
        <v>500</v>
      </c>
      <c r="Z54">
        <v>500</v>
      </c>
      <c r="AA54">
        <v>-400</v>
      </c>
      <c r="AB54">
        <v>-638.20071256157587</v>
      </c>
      <c r="AC54">
        <v>373.74999888407217</v>
      </c>
      <c r="AD54">
        <v>-592.10330853368998</v>
      </c>
      <c r="AE54">
        <v>99.987015674526617</v>
      </c>
      <c r="AF54">
        <v>0.5821266656107088</v>
      </c>
      <c r="AG54" t="b">
        <v>1</v>
      </c>
      <c r="AH54">
        <v>99.987015674526617</v>
      </c>
      <c r="AI54">
        <v>2</v>
      </c>
      <c r="AJ54">
        <v>-500</v>
      </c>
      <c r="AK54">
        <v>500</v>
      </c>
      <c r="AL54">
        <v>-500</v>
      </c>
      <c r="AM54">
        <v>1000</v>
      </c>
      <c r="AN54">
        <v>0</v>
      </c>
      <c r="AO54">
        <v>-500</v>
      </c>
      <c r="AP54">
        <v>-138.20071256157587</v>
      </c>
      <c r="AQ54">
        <v>-26.25000111592783</v>
      </c>
      <c r="AR54">
        <v>-140.20332183279902</v>
      </c>
      <c r="AS54">
        <v>-645.13322992070721</v>
      </c>
      <c r="AT54">
        <v>-1.7647526506894944</v>
      </c>
      <c r="AU54" t="b">
        <v>0</v>
      </c>
    </row>
    <row r="55" spans="1:47" x14ac:dyDescent="0.25">
      <c r="A55">
        <v>4.1000000000000014</v>
      </c>
      <c r="B55">
        <v>0.1</v>
      </c>
      <c r="C55">
        <v>-329.70020954874934</v>
      </c>
      <c r="D55">
        <v>233.53922942555658</v>
      </c>
      <c r="E55">
        <v>2.4647891589642006</v>
      </c>
      <c r="F55">
        <v>99.969841170251613</v>
      </c>
      <c r="G55">
        <v>100</v>
      </c>
      <c r="H55">
        <v>2.631854388288871E-3</v>
      </c>
      <c r="I55">
        <v>0.15079414874193731</v>
      </c>
      <c r="J55">
        <v>0</v>
      </c>
      <c r="K55">
        <v>0</v>
      </c>
      <c r="L55">
        <v>0</v>
      </c>
      <c r="M55">
        <v>0.15079414874193731</v>
      </c>
      <c r="N55">
        <v>-326.8972307679029</v>
      </c>
      <c r="O55">
        <v>243.13836011297431</v>
      </c>
      <c r="P55">
        <v>-298.86744295943862</v>
      </c>
      <c r="Q55">
        <v>339.12966698715155</v>
      </c>
      <c r="R55">
        <v>0.9599130687417724</v>
      </c>
      <c r="S55">
        <v>0.28029787808464279</v>
      </c>
      <c r="T55" t="str">
        <v/>
      </c>
      <c r="U55">
        <v>1</v>
      </c>
      <c r="V55">
        <v>0</v>
      </c>
      <c r="W55">
        <v>100</v>
      </c>
      <c r="X55">
        <v>-500</v>
      </c>
      <c r="Y55">
        <v>500</v>
      </c>
      <c r="Z55">
        <v>500</v>
      </c>
      <c r="AA55">
        <v>-400</v>
      </c>
      <c r="AB55">
        <v>-653.79446153580579</v>
      </c>
      <c r="AC55">
        <v>386.27672022594862</v>
      </c>
      <c r="AD55">
        <v>-592.07568560474328</v>
      </c>
      <c r="AE55">
        <v>99.969841170251613</v>
      </c>
      <c r="AF55">
        <v>0.59775179283084523</v>
      </c>
      <c r="AG55" t="b">
        <v>1</v>
      </c>
      <c r="AH55">
        <v>99.969841170251613</v>
      </c>
      <c r="AI55">
        <v>2</v>
      </c>
      <c r="AJ55">
        <v>-500</v>
      </c>
      <c r="AK55">
        <v>500</v>
      </c>
      <c r="AL55">
        <v>-500</v>
      </c>
      <c r="AM55">
        <v>1000</v>
      </c>
      <c r="AN55">
        <v>0</v>
      </c>
      <c r="AO55">
        <v>-500</v>
      </c>
      <c r="AP55">
        <v>-153.79446153580579</v>
      </c>
      <c r="AQ55">
        <v>-13.723279774051377</v>
      </c>
      <c r="AR55">
        <v>-140.14893904232139</v>
      </c>
      <c r="AS55">
        <v>-617.5671768011905</v>
      </c>
      <c r="AT55">
        <v>-1.6993448874488983</v>
      </c>
      <c r="AU55" t="b">
        <v>0</v>
      </c>
    </row>
    <row r="56" spans="1:47" x14ac:dyDescent="0.25">
      <c r="A56">
        <v>4.2000000000000011</v>
      </c>
      <c r="B56">
        <v>0.1</v>
      </c>
      <c r="C56">
        <v>-337.49764445176362</v>
      </c>
      <c r="D56">
        <v>239.80022047596182</v>
      </c>
      <c r="E56">
        <v>2.4650523444030297</v>
      </c>
      <c r="F56">
        <v>99.962303029995056</v>
      </c>
      <c r="G56">
        <v>100</v>
      </c>
      <c r="H56">
        <v>3.2896812230591072E-3</v>
      </c>
      <c r="I56">
        <v>0.1884848500247216</v>
      </c>
      <c r="J56">
        <v>0</v>
      </c>
      <c r="K56">
        <v>0</v>
      </c>
      <c r="L56">
        <v>0</v>
      </c>
      <c r="M56">
        <v>0.1884848500247216</v>
      </c>
      <c r="N56">
        <v>-334.69719211938673</v>
      </c>
      <c r="O56">
        <v>249.40008853412203</v>
      </c>
      <c r="P56">
        <v>-306.69266879561792</v>
      </c>
      <c r="Q56">
        <v>345.39876911572424</v>
      </c>
      <c r="R56">
        <v>0.95998680581602214</v>
      </c>
      <c r="S56">
        <v>0.28004523323768782</v>
      </c>
      <c r="T56" t="str">
        <v/>
      </c>
      <c r="U56">
        <v>1</v>
      </c>
      <c r="V56">
        <v>0</v>
      </c>
      <c r="W56">
        <v>100</v>
      </c>
      <c r="X56">
        <v>-500</v>
      </c>
      <c r="Y56">
        <v>500</v>
      </c>
      <c r="Z56">
        <v>500</v>
      </c>
      <c r="AA56">
        <v>-400</v>
      </c>
      <c r="AB56">
        <v>-669.39438423877345</v>
      </c>
      <c r="AC56">
        <v>398.80017706824407</v>
      </c>
      <c r="AD56">
        <v>-592.01149620308627</v>
      </c>
      <c r="AE56">
        <v>99.962303029995056</v>
      </c>
      <c r="AF56">
        <v>0.61340645130475069</v>
      </c>
      <c r="AG56" t="b">
        <v>1</v>
      </c>
      <c r="AH56">
        <v>99.962303029995056</v>
      </c>
      <c r="AI56">
        <v>2</v>
      </c>
      <c r="AJ56">
        <v>-500</v>
      </c>
      <c r="AK56">
        <v>500</v>
      </c>
      <c r="AL56">
        <v>-500</v>
      </c>
      <c r="AM56">
        <v>1000</v>
      </c>
      <c r="AN56">
        <v>0</v>
      </c>
      <c r="AO56">
        <v>-500</v>
      </c>
      <c r="AP56">
        <v>-169.39438423877345</v>
      </c>
      <c r="AQ56">
        <v>-1.1998229317559321</v>
      </c>
      <c r="AR56">
        <v>-140.0226166188439</v>
      </c>
      <c r="AS56">
        <v>-590.27181419764736</v>
      </c>
      <c r="AT56">
        <v>-1.6345061298814119</v>
      </c>
      <c r="AU56" t="b">
        <v>0</v>
      </c>
    </row>
    <row r="57" spans="1:47" x14ac:dyDescent="0.25">
      <c r="A57">
        <v>4.3000000000000007</v>
      </c>
      <c r="B57">
        <v>0.1</v>
      </c>
      <c r="C57">
        <v>-345.29713859929109</v>
      </c>
      <c r="D57">
        <v>246.05864608011217</v>
      </c>
      <c r="E57">
        <v>2.4653813125253357</v>
      </c>
      <c r="F57">
        <v>99.961312794592331</v>
      </c>
      <c r="G57">
        <v>100</v>
      </c>
      <c r="H57">
        <v>3.3760955637958971E-3</v>
      </c>
      <c r="I57">
        <v>0.19343602703834506</v>
      </c>
      <c r="J57">
        <v>0</v>
      </c>
      <c r="K57">
        <v>0</v>
      </c>
      <c r="L57">
        <v>0</v>
      </c>
      <c r="M57">
        <v>0.19343602703834506</v>
      </c>
      <c r="N57">
        <v>-342.49984446895922</v>
      </c>
      <c r="O57">
        <v>255.65943487835219</v>
      </c>
      <c r="P57">
        <v>-314.5269031656407</v>
      </c>
      <c r="Q57">
        <v>351.66732286075234</v>
      </c>
      <c r="R57">
        <v>0.96007887982400164</v>
      </c>
      <c r="S57">
        <v>0.27972941303318505</v>
      </c>
      <c r="T57" t="str">
        <v/>
      </c>
      <c r="U57">
        <v>1</v>
      </c>
      <c r="V57">
        <v>0</v>
      </c>
      <c r="W57">
        <v>100</v>
      </c>
      <c r="X57">
        <v>-500</v>
      </c>
      <c r="Y57">
        <v>500</v>
      </c>
      <c r="Z57">
        <v>500</v>
      </c>
      <c r="AA57">
        <v>-400</v>
      </c>
      <c r="AB57">
        <v>-684.99968893791845</v>
      </c>
      <c r="AC57">
        <v>411.31886975670437</v>
      </c>
      <c r="AD57">
        <v>-591.9312051252748</v>
      </c>
      <c r="AE57">
        <v>99.961312794592331</v>
      </c>
      <c r="AF57">
        <v>0.6290754502298026</v>
      </c>
      <c r="AG57" t="b">
        <v>1</v>
      </c>
      <c r="AH57">
        <v>99.961312794592331</v>
      </c>
      <c r="AI57">
        <v>2</v>
      </c>
      <c r="AJ57">
        <v>-500</v>
      </c>
      <c r="AK57">
        <v>500</v>
      </c>
      <c r="AL57">
        <v>-500</v>
      </c>
      <c r="AM57">
        <v>1000</v>
      </c>
      <c r="AN57">
        <v>0</v>
      </c>
      <c r="AO57">
        <v>-500</v>
      </c>
      <c r="AP57">
        <v>-184.99968893791845</v>
      </c>
      <c r="AQ57">
        <v>11.318869756704373</v>
      </c>
      <c r="AR57">
        <v>-139.86470651659252</v>
      </c>
      <c r="AS57">
        <v>-563.04467171765066</v>
      </c>
      <c r="AT57">
        <v>-1.5698157256704051</v>
      </c>
      <c r="AU57" t="b">
        <v>0</v>
      </c>
    </row>
    <row r="58" spans="1:47" x14ac:dyDescent="0.25">
      <c r="A58">
        <v>4.4000000000000004</v>
      </c>
      <c r="B58">
        <v>0.1</v>
      </c>
      <c r="C58">
        <v>-353.09874520657627</v>
      </c>
      <c r="D58">
        <v>252.31443814388507</v>
      </c>
      <c r="E58">
        <v>2.4657189220817153</v>
      </c>
      <c r="F58">
        <v>99.964379064286561</v>
      </c>
      <c r="G58">
        <v>100</v>
      </c>
      <c r="H58">
        <v>3.1085130542037242E-3</v>
      </c>
      <c r="I58">
        <v>0.1781046785671947</v>
      </c>
      <c r="J58">
        <v>0</v>
      </c>
      <c r="K58">
        <v>0</v>
      </c>
      <c r="L58">
        <v>0</v>
      </c>
      <c r="M58">
        <v>0.1781046785671947</v>
      </c>
      <c r="N58">
        <v>-350.30469255364801</v>
      </c>
      <c r="O58">
        <v>261.91617078818757</v>
      </c>
      <c r="P58">
        <v>-322.36416602436532</v>
      </c>
      <c r="Q58">
        <v>357.9334972312127</v>
      </c>
      <c r="R58">
        <v>0.96017326443025119</v>
      </c>
      <c r="S58">
        <v>0.27940526529282683</v>
      </c>
      <c r="T58" t="str">
        <v/>
      </c>
      <c r="U58">
        <v>1</v>
      </c>
      <c r="V58">
        <v>0</v>
      </c>
      <c r="W58">
        <v>100</v>
      </c>
      <c r="X58">
        <v>-500</v>
      </c>
      <c r="Y58">
        <v>500</v>
      </c>
      <c r="Z58">
        <v>500</v>
      </c>
      <c r="AA58">
        <v>-400</v>
      </c>
      <c r="AB58">
        <v>-700.60938510729602</v>
      </c>
      <c r="AC58">
        <v>423.83234157637514</v>
      </c>
      <c r="AD58">
        <v>-591.84873833225629</v>
      </c>
      <c r="AE58">
        <v>99.964379064286561</v>
      </c>
      <c r="AF58">
        <v>0.64474823740271658</v>
      </c>
      <c r="AG58" t="b">
        <v>1</v>
      </c>
      <c r="AH58">
        <v>99.964379064286561</v>
      </c>
      <c r="AI58">
        <v>2</v>
      </c>
      <c r="AJ58">
        <v>-500</v>
      </c>
      <c r="AK58">
        <v>500</v>
      </c>
      <c r="AL58">
        <v>-500</v>
      </c>
      <c r="AM58">
        <v>1000</v>
      </c>
      <c r="AN58">
        <v>0</v>
      </c>
      <c r="AO58">
        <v>-500</v>
      </c>
      <c r="AP58">
        <v>-200.60938510729602</v>
      </c>
      <c r="AQ58">
        <v>23.832341576375143</v>
      </c>
      <c r="AR58">
        <v>-139.70263264641341</v>
      </c>
      <c r="AS58">
        <v>-535.76408908925146</v>
      </c>
      <c r="AT58">
        <v>-1.5050203671942779</v>
      </c>
      <c r="AU58" t="b">
        <v>0</v>
      </c>
    </row>
    <row r="59" spans="1:47" x14ac:dyDescent="0.25">
      <c r="A59">
        <v>4.5</v>
      </c>
      <c r="B59">
        <v>0.1</v>
      </c>
      <c r="C59">
        <v>-360.90229605803069</v>
      </c>
      <c r="D59">
        <v>258.56780476585476</v>
      </c>
      <c r="E59">
        <v>2.4660297733871355</v>
      </c>
      <c r="F59">
        <v>99.969606163669027</v>
      </c>
      <c r="G59">
        <v>100</v>
      </c>
      <c r="H59">
        <v>2.6523625814387232E-3</v>
      </c>
      <c r="I59">
        <v>0.15196918165486295</v>
      </c>
      <c r="J59">
        <v>0</v>
      </c>
      <c r="K59">
        <v>0</v>
      </c>
      <c r="L59">
        <v>0</v>
      </c>
      <c r="M59">
        <v>0.15196918165486295</v>
      </c>
      <c r="N59">
        <v>-358.11122825117371</v>
      </c>
      <c r="O59">
        <v>268.17040548115716</v>
      </c>
      <c r="P59">
        <v>-330.20055018260416</v>
      </c>
      <c r="Q59">
        <v>364.19641263418146</v>
      </c>
      <c r="R59">
        <v>0.96026007153024284</v>
      </c>
      <c r="S59">
        <v>0.27910678068569544</v>
      </c>
      <c r="T59" t="str">
        <v/>
      </c>
      <c r="U59">
        <v>1</v>
      </c>
      <c r="V59">
        <v>0</v>
      </c>
      <c r="W59">
        <v>100</v>
      </c>
      <c r="X59">
        <v>-500</v>
      </c>
      <c r="Y59">
        <v>500</v>
      </c>
      <c r="Z59">
        <v>500</v>
      </c>
      <c r="AA59">
        <v>-400</v>
      </c>
      <c r="AB59">
        <v>-716.22245650234743</v>
      </c>
      <c r="AC59">
        <v>436.34081096231432</v>
      </c>
      <c r="AD59">
        <v>-591.77274803939963</v>
      </c>
      <c r="AE59">
        <v>99.969606163669027</v>
      </c>
      <c r="AF59">
        <v>0.66041806661683045</v>
      </c>
      <c r="AG59" t="b">
        <v>1</v>
      </c>
      <c r="AH59">
        <v>99.969606163669027</v>
      </c>
      <c r="AI59">
        <v>2</v>
      </c>
      <c r="AJ59">
        <v>-500</v>
      </c>
      <c r="AK59">
        <v>500</v>
      </c>
      <c r="AL59">
        <v>-500</v>
      </c>
      <c r="AM59">
        <v>1000</v>
      </c>
      <c r="AN59">
        <v>0</v>
      </c>
      <c r="AO59">
        <v>-500</v>
      </c>
      <c r="AP59">
        <v>-216.22245650234743</v>
      </c>
      <c r="AQ59">
        <v>36.340810962314322</v>
      </c>
      <c r="AR59">
        <v>-139.55339034284773</v>
      </c>
      <c r="AS59">
        <v>-508.36734027113602</v>
      </c>
      <c r="AT59">
        <v>-1.4399889061024864</v>
      </c>
      <c r="AU59" t="b">
        <v>0</v>
      </c>
    </row>
    <row r="60" spans="1:47" x14ac:dyDescent="0.25">
      <c r="A60">
        <v>4.5999999999999996</v>
      </c>
      <c r="B60">
        <v>0.1</v>
      </c>
      <c r="C60">
        <v>-368.70750525453832</v>
      </c>
      <c r="D60">
        <v>264.81910138325765</v>
      </c>
      <c r="E60">
        <v>2.4662950096452794</v>
      </c>
      <c r="F60">
        <v>99.975640719331921</v>
      </c>
      <c r="G60">
        <v>100</v>
      </c>
      <c r="H60">
        <v>2.1257482553769533E-3</v>
      </c>
      <c r="I60">
        <v>0.12179640334039732</v>
      </c>
      <c r="J60">
        <v>0</v>
      </c>
      <c r="K60">
        <v>0</v>
      </c>
      <c r="L60">
        <v>0</v>
      </c>
      <c r="M60">
        <v>0.12179640334039732</v>
      </c>
      <c r="N60">
        <v>-365.91898450370985</v>
      </c>
      <c r="O60">
        <v>274.4224420531599</v>
      </c>
      <c r="P60">
        <v>-338.03377699542534</v>
      </c>
      <c r="Q60">
        <v>370.45584875218265</v>
      </c>
      <c r="R60">
        <v>0.96033406699022783</v>
      </c>
      <c r="S60">
        <v>0.2788520750828451</v>
      </c>
      <c r="T60" t="str">
        <v/>
      </c>
      <c r="U60">
        <v>1</v>
      </c>
      <c r="V60">
        <v>0</v>
      </c>
      <c r="W60">
        <v>100</v>
      </c>
      <c r="X60">
        <v>-500</v>
      </c>
      <c r="Y60">
        <v>500</v>
      </c>
      <c r="Z60">
        <v>500</v>
      </c>
      <c r="AA60">
        <v>-400</v>
      </c>
      <c r="AB60">
        <v>-731.8379690074197</v>
      </c>
      <c r="AC60">
        <v>448.8448841063198</v>
      </c>
      <c r="AD60">
        <v>-591.70786352825189</v>
      </c>
      <c r="AE60">
        <v>99.975640719331921</v>
      </c>
      <c r="AF60">
        <v>0.67608113926277436</v>
      </c>
      <c r="AG60" t="b">
        <v>1</v>
      </c>
      <c r="AH60">
        <v>99.975640719331921</v>
      </c>
      <c r="AI60">
        <v>2</v>
      </c>
      <c r="AJ60">
        <v>-500</v>
      </c>
      <c r="AK60">
        <v>500</v>
      </c>
      <c r="AL60">
        <v>-500</v>
      </c>
      <c r="AM60">
        <v>1000</v>
      </c>
      <c r="AN60">
        <v>0</v>
      </c>
      <c r="AO60">
        <v>-500</v>
      </c>
      <c r="AP60">
        <v>-231.8379690074197</v>
      </c>
      <c r="AQ60">
        <v>48.844884106319796</v>
      </c>
      <c r="AR60">
        <v>-139.42603754142255</v>
      </c>
      <c r="AS60">
        <v>-480.83205210667904</v>
      </c>
      <c r="AT60">
        <v>-1.3746739161714088</v>
      </c>
      <c r="AU60" t="b">
        <v>0</v>
      </c>
    </row>
    <row r="61" spans="1:47" x14ac:dyDescent="0.25">
      <c r="A61">
        <v>4.6999999999999993</v>
      </c>
      <c r="B61">
        <v>0.1</v>
      </c>
      <c r="C61">
        <v>-376.51404314297264</v>
      </c>
      <c r="D61">
        <v>271.06873866844779</v>
      </c>
      <c r="E61">
        <v>2.4665075844708171</v>
      </c>
      <c r="F61">
        <v>99.981588044994126</v>
      </c>
      <c r="G61">
        <v>100</v>
      </c>
      <c r="H61">
        <v>1.6067461829077567E-3</v>
      </c>
      <c r="I61">
        <v>9.2059775029369462E-2</v>
      </c>
      <c r="J61">
        <v>0</v>
      </c>
      <c r="K61">
        <v>0</v>
      </c>
      <c r="L61">
        <v>0</v>
      </c>
      <c r="M61">
        <v>9.2059775029369462E-2</v>
      </c>
      <c r="N61">
        <v>-373.72756388360023</v>
      </c>
      <c r="O61">
        <v>280.67267189067957</v>
      </c>
      <c r="P61">
        <v>-345.86277128987598</v>
      </c>
      <c r="Q61">
        <v>376.71200411299736</v>
      </c>
      <c r="R61">
        <v>0.96039332222317797</v>
      </c>
      <c r="S61">
        <v>0.27864792593724258</v>
      </c>
      <c r="T61" t="str">
        <v/>
      </c>
      <c r="U61">
        <v>1</v>
      </c>
      <c r="V61">
        <v>0</v>
      </c>
      <c r="W61">
        <v>100</v>
      </c>
      <c r="X61">
        <v>-500</v>
      </c>
      <c r="Y61">
        <v>500</v>
      </c>
      <c r="Z61">
        <v>500</v>
      </c>
      <c r="AA61">
        <v>-400</v>
      </c>
      <c r="AB61">
        <v>-747.45512776720045</v>
      </c>
      <c r="AC61">
        <v>461.34534378135913</v>
      </c>
      <c r="AD61">
        <v>-591.65583148648602</v>
      </c>
      <c r="AE61">
        <v>99.981588044994126</v>
      </c>
      <c r="AF61">
        <v>0.69173580348590169</v>
      </c>
      <c r="AG61" t="b">
        <v>1</v>
      </c>
      <c r="AH61">
        <v>99.981588044994126</v>
      </c>
      <c r="AI61">
        <v>2</v>
      </c>
      <c r="AJ61">
        <v>-500</v>
      </c>
      <c r="AK61">
        <v>500</v>
      </c>
      <c r="AL61">
        <v>-500</v>
      </c>
      <c r="AM61">
        <v>1000</v>
      </c>
      <c r="AN61">
        <v>0</v>
      </c>
      <c r="AO61">
        <v>-500</v>
      </c>
      <c r="AP61">
        <v>-247.45512776720045</v>
      </c>
      <c r="AQ61">
        <v>61.345343781359134</v>
      </c>
      <c r="AR61">
        <v>-139.32396296862129</v>
      </c>
      <c r="AS61">
        <v>-453.16122735052761</v>
      </c>
      <c r="AT61">
        <v>-1.3090806894944531</v>
      </c>
      <c r="AU61" t="b">
        <v>0</v>
      </c>
    </row>
    <row r="62" spans="1:47" x14ac:dyDescent="0.25">
      <c r="A62">
        <v>4.7999999999999989</v>
      </c>
      <c r="B62">
        <v>0.1</v>
      </c>
      <c r="C62">
        <v>-384.32158508871981</v>
      </c>
      <c r="D62">
        <v>277.31712156047661</v>
      </c>
      <c r="E62">
        <v>2.4666682590891078</v>
      </c>
      <c r="F62">
        <v>99.986916976545487</v>
      </c>
      <c r="G62">
        <v>100</v>
      </c>
      <c r="H62">
        <v>1.1417091769844682E-3</v>
      </c>
      <c r="I62">
        <v>6.5415117272564771E-2</v>
      </c>
      <c r="J62">
        <v>0</v>
      </c>
      <c r="K62">
        <v>0</v>
      </c>
      <c r="L62">
        <v>0</v>
      </c>
      <c r="M62">
        <v>6.5415117272564771E-2</v>
      </c>
      <c r="N62">
        <v>-381.53664897361364</v>
      </c>
      <c r="O62">
        <v>286.92150237522867</v>
      </c>
      <c r="P62">
        <v>-353.68728782255209</v>
      </c>
      <c r="Q62">
        <v>382.96531052274929</v>
      </c>
      <c r="R62">
        <v>0.96043808147520593</v>
      </c>
      <c r="S62">
        <v>0.27849361151061552</v>
      </c>
      <c r="T62" t="str">
        <v/>
      </c>
      <c r="U62">
        <v>1</v>
      </c>
      <c r="V62">
        <v>0</v>
      </c>
      <c r="W62">
        <v>100</v>
      </c>
      <c r="X62">
        <v>-500</v>
      </c>
      <c r="Y62">
        <v>500</v>
      </c>
      <c r="Z62">
        <v>500</v>
      </c>
      <c r="AA62">
        <v>-400</v>
      </c>
      <c r="AB62">
        <v>-763.07329794722727</v>
      </c>
      <c r="AC62">
        <v>473.84300475045734</v>
      </c>
      <c r="AD62">
        <v>-591.61648534184917</v>
      </c>
      <c r="AE62">
        <v>99.986916976545487</v>
      </c>
      <c r="AF62">
        <v>0.70738186272200676</v>
      </c>
      <c r="AG62" t="b">
        <v>1</v>
      </c>
      <c r="AH62">
        <v>99.986916976545487</v>
      </c>
      <c r="AI62">
        <v>2</v>
      </c>
      <c r="AJ62">
        <v>-500</v>
      </c>
      <c r="AK62">
        <v>500</v>
      </c>
      <c r="AL62">
        <v>-500</v>
      </c>
      <c r="AM62">
        <v>1000</v>
      </c>
      <c r="AN62">
        <v>0</v>
      </c>
      <c r="AO62">
        <v>-500</v>
      </c>
      <c r="AP62">
        <v>-263.07329794722727</v>
      </c>
      <c r="AQ62">
        <v>73.843004750457339</v>
      </c>
      <c r="AR62">
        <v>-139.24680575530778</v>
      </c>
      <c r="AS62">
        <v>-425.3718797491008</v>
      </c>
      <c r="AT62">
        <v>-1.2432436994489995</v>
      </c>
      <c r="AU62" t="b">
        <v>0</v>
      </c>
    </row>
    <row r="63" spans="1:47" x14ac:dyDescent="0.25">
      <c r="A63">
        <v>4.8999999999999986</v>
      </c>
      <c r="B63">
        <v>0.1</v>
      </c>
      <c r="C63">
        <v>-392.12984036718871</v>
      </c>
      <c r="D63">
        <v>283.56461301755462</v>
      </c>
      <c r="E63">
        <v>2.4667824300068064</v>
      </c>
      <c r="F63">
        <v>99.991366772925829</v>
      </c>
      <c r="G63">
        <v>100</v>
      </c>
      <c r="H63">
        <v>7.5339118758297624E-4</v>
      </c>
      <c r="I63">
        <v>4.3166135370853453E-2</v>
      </c>
      <c r="J63">
        <v>0</v>
      </c>
      <c r="K63">
        <v>0</v>
      </c>
      <c r="L63">
        <v>0</v>
      </c>
      <c r="M63">
        <v>4.3166135370853453E-2</v>
      </c>
      <c r="N63">
        <v>-389.34600081120254</v>
      </c>
      <c r="O63">
        <v>293.16931172842146</v>
      </c>
      <c r="P63">
        <v>-361.50760525134081</v>
      </c>
      <c r="Q63">
        <v>389.21629883708965</v>
      </c>
      <c r="R63">
        <v>0.9604698710866818</v>
      </c>
      <c r="S63">
        <v>0.27838395559861712</v>
      </c>
      <c r="T63" t="str">
        <v/>
      </c>
      <c r="U63">
        <v>1</v>
      </c>
      <c r="V63">
        <v>0</v>
      </c>
      <c r="W63">
        <v>100</v>
      </c>
      <c r="X63">
        <v>-500</v>
      </c>
      <c r="Y63">
        <v>500</v>
      </c>
      <c r="Z63">
        <v>500</v>
      </c>
      <c r="AA63">
        <v>-400</v>
      </c>
      <c r="AB63">
        <v>-778.69200162240509</v>
      </c>
      <c r="AC63">
        <v>486.33862345684292</v>
      </c>
      <c r="AD63">
        <v>-591.58851778278779</v>
      </c>
      <c r="AE63">
        <v>99.991366772925829</v>
      </c>
      <c r="AF63">
        <v>0.72302001720648656</v>
      </c>
      <c r="AG63" t="b">
        <v>1</v>
      </c>
      <c r="AH63">
        <v>99.991366772925829</v>
      </c>
      <c r="AI63">
        <v>2</v>
      </c>
      <c r="AJ63">
        <v>-500</v>
      </c>
      <c r="AK63">
        <v>500</v>
      </c>
      <c r="AL63">
        <v>-500</v>
      </c>
      <c r="AM63">
        <v>1000</v>
      </c>
      <c r="AN63">
        <v>0</v>
      </c>
      <c r="AO63">
        <v>-500</v>
      </c>
      <c r="AP63">
        <v>-278.69200162240509</v>
      </c>
      <c r="AQ63">
        <v>86.338623456842924</v>
      </c>
      <c r="AR63">
        <v>-139.19197779930855</v>
      </c>
      <c r="AS63">
        <v>-397.48698501986206</v>
      </c>
      <c r="AT63">
        <v>-1.1772099230644786</v>
      </c>
      <c r="AU63" t="b">
        <v>0</v>
      </c>
    </row>
    <row r="64" spans="1:47" x14ac:dyDescent="0.25">
      <c r="A64">
        <v>4.9999999999999982</v>
      </c>
      <c r="B64">
        <v>0.1</v>
      </c>
      <c r="C64">
        <v>-399.93856630399824</v>
      </c>
      <c r="D64">
        <v>289.81151618983114</v>
      </c>
      <c r="E64">
        <v>2.4668577691255646</v>
      </c>
      <c r="F64">
        <v>99.994864532370073</v>
      </c>
      <c r="G64">
        <v>100</v>
      </c>
      <c r="H64">
        <v>4.4815409385906985E-4</v>
      </c>
      <c r="I64">
        <v>2.5677338149634465E-2</v>
      </c>
      <c r="J64">
        <v>0</v>
      </c>
      <c r="K64">
        <v>0</v>
      </c>
      <c r="L64">
        <v>0</v>
      </c>
      <c r="M64">
        <v>2.5677338149634465E-2</v>
      </c>
      <c r="N64">
        <v>-397.1554503654487</v>
      </c>
      <c r="O64">
        <v>299.41642460545864</v>
      </c>
      <c r="P64">
        <v>-369.32429097995345</v>
      </c>
      <c r="Q64">
        <v>395.46550876173342</v>
      </c>
      <c r="R64">
        <v>0.960490841562748</v>
      </c>
      <c r="S64">
        <v>0.2783115938549528</v>
      </c>
      <c r="T64" t="str">
        <v/>
      </c>
      <c r="U64">
        <v>1</v>
      </c>
      <c r="V64">
        <v>0</v>
      </c>
      <c r="W64">
        <v>100</v>
      </c>
      <c r="X64">
        <v>-500</v>
      </c>
      <c r="Y64">
        <v>500</v>
      </c>
      <c r="Z64">
        <v>500</v>
      </c>
      <c r="AA64">
        <v>-400</v>
      </c>
      <c r="AB64">
        <v>-794.3109007308974</v>
      </c>
      <c r="AC64">
        <v>498.83284921091729</v>
      </c>
      <c r="AD64">
        <v>-591.57005832335506</v>
      </c>
      <c r="AE64">
        <v>99.994864532370073</v>
      </c>
      <c r="AF64">
        <v>0.73865144048026943</v>
      </c>
      <c r="AG64" t="b">
        <v>1</v>
      </c>
      <c r="AH64">
        <v>99.994864532370073</v>
      </c>
      <c r="AI64">
        <v>2</v>
      </c>
      <c r="AJ64">
        <v>-500</v>
      </c>
      <c r="AK64">
        <v>500</v>
      </c>
      <c r="AL64">
        <v>-500</v>
      </c>
      <c r="AM64">
        <v>1000</v>
      </c>
      <c r="AN64">
        <v>0</v>
      </c>
      <c r="AO64">
        <v>-500</v>
      </c>
      <c r="AP64">
        <v>-294.3109007308974</v>
      </c>
      <c r="AQ64">
        <v>98.832849210917288</v>
      </c>
      <c r="AR64">
        <v>-139.15579692747639</v>
      </c>
      <c r="AS64">
        <v>-369.53023842819363</v>
      </c>
      <c r="AT64">
        <v>-1.11102797017064</v>
      </c>
      <c r="AU64" t="b">
        <v>0</v>
      </c>
    </row>
    <row r="65" spans="1:47" x14ac:dyDescent="0.25">
      <c r="A65">
        <v>5.0999999999999979</v>
      </c>
      <c r="B65">
        <v>0.1</v>
      </c>
      <c r="C65">
        <v>-407.74757219048911</v>
      </c>
      <c r="D65">
        <v>296.0580694045849</v>
      </c>
      <c r="E65">
        <v>2.4669025845349504</v>
      </c>
      <c r="F65">
        <v>99.997457225746359</v>
      </c>
      <c r="G65">
        <v>100</v>
      </c>
      <c r="H65">
        <v>2.2189891430486689E-4</v>
      </c>
      <c r="I65">
        <v>1.2713871268204002E-2</v>
      </c>
      <c r="J65">
        <v>0</v>
      </c>
      <c r="K65">
        <v>0</v>
      </c>
      <c r="L65">
        <v>0</v>
      </c>
      <c r="M65">
        <v>1.2713871268204002E-2</v>
      </c>
      <c r="N65">
        <v>-404.96488670263705</v>
      </c>
      <c r="O65">
        <v>305.66310253704717</v>
      </c>
      <c r="P65">
        <v>-377.13803182411624</v>
      </c>
      <c r="Q65">
        <v>401.71343386166961</v>
      </c>
      <c r="R65">
        <v>0.96050331324622418</v>
      </c>
      <c r="S65">
        <v>0.27826854878520796</v>
      </c>
      <c r="T65" t="str">
        <v/>
      </c>
      <c r="U65">
        <v>1</v>
      </c>
      <c r="V65">
        <v>0</v>
      </c>
      <c r="W65">
        <v>100</v>
      </c>
      <c r="X65">
        <v>-500</v>
      </c>
      <c r="Y65">
        <v>500</v>
      </c>
      <c r="Z65">
        <v>500</v>
      </c>
      <c r="AA65">
        <v>-400</v>
      </c>
      <c r="AB65">
        <v>-809.92977340527409</v>
      </c>
      <c r="AC65">
        <v>511.32620507409433</v>
      </c>
      <c r="AD65">
        <v>-591.55907613719523</v>
      </c>
      <c r="AE65">
        <v>99.997457225746359</v>
      </c>
      <c r="AF65">
        <v>0.75427747879643536</v>
      </c>
      <c r="AG65" t="b">
        <v>1</v>
      </c>
      <c r="AH65">
        <v>99.997457225746359</v>
      </c>
      <c r="AI65">
        <v>2</v>
      </c>
      <c r="AJ65">
        <v>-500</v>
      </c>
      <c r="AK65">
        <v>500</v>
      </c>
      <c r="AL65">
        <v>-500</v>
      </c>
      <c r="AM65">
        <v>1000</v>
      </c>
      <c r="AN65">
        <v>0</v>
      </c>
      <c r="AO65">
        <v>-500</v>
      </c>
      <c r="AP65">
        <v>-309.92977340527409</v>
      </c>
      <c r="AQ65">
        <v>111.32620507409433</v>
      </c>
      <c r="AR65">
        <v>-139.13427439260397</v>
      </c>
      <c r="AS65">
        <v>-341.52301333457336</v>
      </c>
      <c r="AT65">
        <v>-1.0447417666412899</v>
      </c>
      <c r="AU65" t="b">
        <v>0</v>
      </c>
    </row>
    <row r="66" spans="1:47" x14ac:dyDescent="0.25">
      <c r="A66">
        <v>5.1999999999999975</v>
      </c>
      <c r="B66">
        <v>0.1</v>
      </c>
      <c r="C66">
        <v>-415.55671668539509</v>
      </c>
      <c r="D66">
        <v>302.30444933680803</v>
      </c>
      <c r="E66">
        <v>2.4669247744263809</v>
      </c>
      <c r="F66">
        <v>99.999259285969543</v>
      </c>
      <c r="G66">
        <v>100</v>
      </c>
      <c r="H66">
        <v>6.4639493235917566E-5</v>
      </c>
      <c r="I66">
        <v>3.7035701522825093E-3</v>
      </c>
      <c r="J66">
        <v>0</v>
      </c>
      <c r="K66">
        <v>0</v>
      </c>
      <c r="L66">
        <v>0</v>
      </c>
      <c r="M66">
        <v>3.7035701522825093E-3</v>
      </c>
      <c r="N66">
        <v>-412.77424433287047</v>
      </c>
      <c r="O66">
        <v>311.90954421439443</v>
      </c>
      <c r="P66">
        <v>-384.94952080762431</v>
      </c>
      <c r="Q66">
        <v>407.96049299025822</v>
      </c>
      <c r="R66">
        <v>0.96050948775863809</v>
      </c>
      <c r="S66">
        <v>0.27824723525246159</v>
      </c>
      <c r="T66" t="str">
        <v/>
      </c>
      <c r="U66">
        <v>1</v>
      </c>
      <c r="V66">
        <v>0</v>
      </c>
      <c r="W66">
        <v>100</v>
      </c>
      <c r="X66">
        <v>-500</v>
      </c>
      <c r="Y66">
        <v>500</v>
      </c>
      <c r="Z66">
        <v>500</v>
      </c>
      <c r="AA66">
        <v>-400</v>
      </c>
      <c r="AB66">
        <v>-825.54848866574093</v>
      </c>
      <c r="AC66">
        <v>523.81908842878886</v>
      </c>
      <c r="AD66">
        <v>-591.55363798030373</v>
      </c>
      <c r="AE66">
        <v>99.999259285969543</v>
      </c>
      <c r="AF66">
        <v>0.76989945381851077</v>
      </c>
      <c r="AG66" t="b">
        <v>1</v>
      </c>
      <c r="AH66">
        <v>99.999259285969543</v>
      </c>
      <c r="AI66">
        <v>2</v>
      </c>
      <c r="AJ66">
        <v>-500</v>
      </c>
      <c r="AK66">
        <v>500</v>
      </c>
      <c r="AL66">
        <v>-500</v>
      </c>
      <c r="AM66">
        <v>1000</v>
      </c>
      <c r="AN66">
        <v>0</v>
      </c>
      <c r="AO66">
        <v>-500</v>
      </c>
      <c r="AP66">
        <v>-325.54848866574093</v>
      </c>
      <c r="AQ66">
        <v>123.81908842878886</v>
      </c>
      <c r="AR66">
        <v>-139.12361762623078</v>
      </c>
      <c r="AS66">
        <v>-313.4829195624788</v>
      </c>
      <c r="AT66">
        <v>-0.97838754855128895</v>
      </c>
      <c r="AU66" t="b">
        <v>0</v>
      </c>
    </row>
    <row r="67" spans="1:47" x14ac:dyDescent="0.25">
      <c r="A67">
        <v>5.2999999999999972</v>
      </c>
      <c r="B67">
        <v>0.1</v>
      </c>
      <c r="C67">
        <v>-423.36590155642125</v>
      </c>
      <c r="D67">
        <v>308.55077879098639</v>
      </c>
      <c r="E67">
        <v>2.4669312383757047</v>
      </c>
      <c r="F67">
        <v>100.00041469054662</v>
      </c>
      <c r="G67">
        <v>100</v>
      </c>
      <c r="H67">
        <v>-3.6188577077072163E-5</v>
      </c>
      <c r="I67">
        <v>-2.0734527331001118E-3</v>
      </c>
      <c r="J67">
        <v>0</v>
      </c>
      <c r="K67">
        <v>0</v>
      </c>
      <c r="L67">
        <v>0</v>
      </c>
      <c r="M67">
        <v>-2.0734527331001118E-3</v>
      </c>
      <c r="N67">
        <v>-420.58349129080131</v>
      </c>
      <c r="O67">
        <v>318.1558916541324</v>
      </c>
      <c r="P67">
        <v>-392.75938863460181</v>
      </c>
      <c r="Q67">
        <v>414.20702028559242</v>
      </c>
      <c r="R67">
        <v>0.96051128631459992</v>
      </c>
      <c r="S67">
        <v>0.27824102656199479</v>
      </c>
      <c r="T67" t="str">
        <v/>
      </c>
      <c r="U67">
        <v>1</v>
      </c>
      <c r="V67">
        <v>0</v>
      </c>
      <c r="W67">
        <v>100</v>
      </c>
      <c r="X67">
        <v>-500</v>
      </c>
      <c r="Y67">
        <v>500</v>
      </c>
      <c r="Z67">
        <v>500</v>
      </c>
      <c r="AA67">
        <v>-400</v>
      </c>
      <c r="AB67">
        <v>-841.16698258160261</v>
      </c>
      <c r="AC67">
        <v>536.31178330826481</v>
      </c>
      <c r="AD67">
        <v>-591.55205378209791</v>
      </c>
      <c r="AE67">
        <v>100.00041469054662</v>
      </c>
      <c r="AF67">
        <v>0.78551854650135688</v>
      </c>
      <c r="AG67" t="b">
        <v>1</v>
      </c>
      <c r="AH67">
        <v>100.00041469054662</v>
      </c>
      <c r="AI67">
        <v>2</v>
      </c>
      <c r="AJ67">
        <v>-500</v>
      </c>
      <c r="AK67">
        <v>500</v>
      </c>
      <c r="AL67">
        <v>-500</v>
      </c>
      <c r="AM67">
        <v>1000</v>
      </c>
      <c r="AN67">
        <v>0</v>
      </c>
      <c r="AO67">
        <v>-500</v>
      </c>
      <c r="AP67">
        <v>-341.16698258160261</v>
      </c>
      <c r="AQ67">
        <v>136.31178330826481</v>
      </c>
      <c r="AR67">
        <v>-139.12051328099739</v>
      </c>
      <c r="AS67">
        <v>-285.42343194490741</v>
      </c>
      <c r="AT67">
        <v>-0.91199307221519654</v>
      </c>
      <c r="AU67" t="b">
        <v>0</v>
      </c>
    </row>
    <row r="68" spans="1:47" x14ac:dyDescent="0.25">
      <c r="A68">
        <v>5.3999999999999968</v>
      </c>
      <c r="B68">
        <v>0.1</v>
      </c>
      <c r="C68">
        <v>-431.1750638228188</v>
      </c>
      <c r="D68">
        <v>314.79713650545267</v>
      </c>
      <c r="E68">
        <v>2.466927619517997</v>
      </c>
      <c r="F68">
        <v>100.00107141575829</v>
      </c>
      <c r="G68">
        <v>100</v>
      </c>
      <c r="H68">
        <v>-9.3498663199527798E-5</v>
      </c>
      <c r="I68">
        <v>-5.3570787914480889E-3</v>
      </c>
      <c r="J68">
        <v>0</v>
      </c>
      <c r="K68">
        <v>0</v>
      </c>
      <c r="L68">
        <v>0</v>
      </c>
      <c r="M68">
        <v>-5.3570787914480889E-3</v>
      </c>
      <c r="N68">
        <v>-428.39261879768037</v>
      </c>
      <c r="O68">
        <v>324.40223929938895</v>
      </c>
      <c r="P68">
        <v>-400.56816854629591</v>
      </c>
      <c r="Q68">
        <v>420.45326723875166</v>
      </c>
      <c r="R68">
        <v>0.96051027939362688</v>
      </c>
      <c r="S68">
        <v>0.27824450251384464</v>
      </c>
      <c r="T68" t="str">
        <v/>
      </c>
      <c r="U68">
        <v>1</v>
      </c>
      <c r="V68">
        <v>0</v>
      </c>
      <c r="W68">
        <v>100</v>
      </c>
      <c r="X68">
        <v>-500</v>
      </c>
      <c r="Y68">
        <v>500</v>
      </c>
      <c r="Z68">
        <v>500</v>
      </c>
      <c r="AA68">
        <v>-400</v>
      </c>
      <c r="AB68">
        <v>-856.78523759536074</v>
      </c>
      <c r="AC68">
        <v>548.80447859877791</v>
      </c>
      <c r="AD68">
        <v>-591.55294070235129</v>
      </c>
      <c r="AE68">
        <v>100.00107141575829</v>
      </c>
      <c r="AF68">
        <v>0.80113574086150241</v>
      </c>
      <c r="AG68" t="b">
        <v>1</v>
      </c>
      <c r="AH68">
        <v>100.00107141575829</v>
      </c>
      <c r="AI68">
        <v>2</v>
      </c>
      <c r="AJ68">
        <v>-500</v>
      </c>
      <c r="AK68">
        <v>500</v>
      </c>
      <c r="AL68">
        <v>-500</v>
      </c>
      <c r="AM68">
        <v>1000</v>
      </c>
      <c r="AN68">
        <v>0</v>
      </c>
      <c r="AO68">
        <v>-500</v>
      </c>
      <c r="AP68">
        <v>-356.78523759536074</v>
      </c>
      <c r="AQ68">
        <v>148.80447859877791</v>
      </c>
      <c r="AR68">
        <v>-139.12225125692231</v>
      </c>
      <c r="AS68">
        <v>-257.35416353376706</v>
      </c>
      <c r="AT68">
        <v>-0.84557816043908551</v>
      </c>
      <c r="AU68" t="b">
        <v>0</v>
      </c>
    </row>
    <row r="69" spans="1:47" x14ac:dyDescent="0.25">
      <c r="A69">
        <v>5.4999999999999964</v>
      </c>
      <c r="B69">
        <v>0.1</v>
      </c>
      <c r="C69">
        <v>-438.98416768626538</v>
      </c>
      <c r="D69">
        <v>321.04356723426923</v>
      </c>
      <c r="E69">
        <v>2.4669182696516772</v>
      </c>
      <c r="F69">
        <v>100.00136575559402</v>
      </c>
      <c r="G69">
        <v>100</v>
      </c>
      <c r="H69">
        <v>-1.1918465946613935E-4</v>
      </c>
      <c r="I69">
        <v>-6.8287779701137197E-3</v>
      </c>
      <c r="J69">
        <v>0</v>
      </c>
      <c r="K69">
        <v>0</v>
      </c>
      <c r="L69">
        <v>0</v>
      </c>
      <c r="M69">
        <v>-6.8287779701137197E-3</v>
      </c>
      <c r="N69">
        <v>-436.20163285482147</v>
      </c>
      <c r="O69">
        <v>330.64864401229664</v>
      </c>
      <c r="P69">
        <v>-408.37628454038213</v>
      </c>
      <c r="Q69">
        <v>426.69941179257069</v>
      </c>
      <c r="R69">
        <v>0.96050767780274027</v>
      </c>
      <c r="S69">
        <v>0.27825348314439363</v>
      </c>
      <c r="T69" t="str">
        <v/>
      </c>
      <c r="U69">
        <v>1</v>
      </c>
      <c r="V69">
        <v>0</v>
      </c>
      <c r="W69">
        <v>100</v>
      </c>
      <c r="X69">
        <v>-500</v>
      </c>
      <c r="Y69">
        <v>500</v>
      </c>
      <c r="Z69">
        <v>500</v>
      </c>
      <c r="AA69">
        <v>-400</v>
      </c>
      <c r="AB69">
        <v>-872.40326570964294</v>
      </c>
      <c r="AC69">
        <v>561.29728802459329</v>
      </c>
      <c r="AD69">
        <v>-591.55523215912763</v>
      </c>
      <c r="AE69">
        <v>100.00136575559402</v>
      </c>
      <c r="AF69">
        <v>0.81675180902826183</v>
      </c>
      <c r="AG69" t="b">
        <v>1</v>
      </c>
      <c r="AH69">
        <v>100.00136575559402</v>
      </c>
      <c r="AI69">
        <v>2</v>
      </c>
      <c r="AJ69">
        <v>-500</v>
      </c>
      <c r="AK69">
        <v>500</v>
      </c>
      <c r="AL69">
        <v>-500</v>
      </c>
      <c r="AM69">
        <v>1000</v>
      </c>
      <c r="AN69">
        <v>0</v>
      </c>
      <c r="AO69">
        <v>-500</v>
      </c>
      <c r="AP69">
        <v>-372.40326570964294</v>
      </c>
      <c r="AQ69">
        <v>161.29728802459329</v>
      </c>
      <c r="AR69">
        <v>-139.12674157219681</v>
      </c>
      <c r="AS69">
        <v>-229.28146819305675</v>
      </c>
      <c r="AT69">
        <v>-0.77915593313003828</v>
      </c>
      <c r="AU69" t="b">
        <v>0</v>
      </c>
    </row>
    <row r="70" spans="1:47" x14ac:dyDescent="0.25">
      <c r="A70">
        <v>5.5999999999999961</v>
      </c>
      <c r="B70">
        <v>0.1</v>
      </c>
      <c r="C70">
        <v>-446.79319710128539</v>
      </c>
      <c r="D70">
        <v>327.29009103518058</v>
      </c>
      <c r="E70">
        <v>2.4669063511857305</v>
      </c>
      <c r="F70">
        <v>100.00141404071519</v>
      </c>
      <c r="G70">
        <v>100</v>
      </c>
      <c r="H70">
        <v>-1.2339833118659685E-4</v>
      </c>
      <c r="I70">
        <v>-7.0702035759495629E-3</v>
      </c>
      <c r="J70">
        <v>0</v>
      </c>
      <c r="K70">
        <v>0</v>
      </c>
      <c r="L70">
        <v>0</v>
      </c>
      <c r="M70">
        <v>-7.0702035759495629E-3</v>
      </c>
      <c r="N70">
        <v>-444.01054779225859</v>
      </c>
      <c r="O70">
        <v>336.89513464897914</v>
      </c>
      <c r="P70">
        <v>-416.18405470199059</v>
      </c>
      <c r="Q70">
        <v>432.94557078696482</v>
      </c>
      <c r="R70">
        <v>0.96050436137985695</v>
      </c>
      <c r="S70">
        <v>0.27826493090267979</v>
      </c>
      <c r="T70" t="str">
        <v/>
      </c>
      <c r="U70">
        <v>1</v>
      </c>
      <c r="V70">
        <v>0</v>
      </c>
      <c r="W70">
        <v>100</v>
      </c>
      <c r="X70">
        <v>-500</v>
      </c>
      <c r="Y70">
        <v>500</v>
      </c>
      <c r="Z70">
        <v>500</v>
      </c>
      <c r="AA70">
        <v>-400</v>
      </c>
      <c r="AB70">
        <v>-888.02109558451718</v>
      </c>
      <c r="AC70">
        <v>573.79026929795828</v>
      </c>
      <c r="AD70">
        <v>-591.55815305100043</v>
      </c>
      <c r="AE70">
        <v>100.00141404071519</v>
      </c>
      <c r="AF70">
        <v>0.8323673224480973</v>
      </c>
      <c r="AG70" t="b">
        <v>1</v>
      </c>
      <c r="AH70">
        <v>100.00141404071519</v>
      </c>
      <c r="AI70">
        <v>2</v>
      </c>
      <c r="AJ70">
        <v>-500</v>
      </c>
      <c r="AK70">
        <v>500</v>
      </c>
      <c r="AL70">
        <v>-500</v>
      </c>
      <c r="AM70">
        <v>1000</v>
      </c>
      <c r="AN70">
        <v>0</v>
      </c>
      <c r="AO70">
        <v>-500</v>
      </c>
      <c r="AP70">
        <v>-388.02109558451718</v>
      </c>
      <c r="AQ70">
        <v>173.79026929795828</v>
      </c>
      <c r="AR70">
        <v>-139.1324654513399</v>
      </c>
      <c r="AS70">
        <v>-201.2091571370994</v>
      </c>
      <c r="AT70">
        <v>-0.71273427666153966</v>
      </c>
      <c r="AU70" t="b">
        <v>0</v>
      </c>
    </row>
    <row r="71" spans="1:47" x14ac:dyDescent="0.25">
      <c r="A71">
        <v>5.6999999999999957</v>
      </c>
      <c r="B71">
        <v>0.1</v>
      </c>
      <c r="C71">
        <v>-454.60214943464956</v>
      </c>
      <c r="D71">
        <v>333.53671119773617</v>
      </c>
      <c r="E71">
        <v>2.4668940113526117</v>
      </c>
      <c r="F71">
        <v>100.00130957173189</v>
      </c>
      <c r="G71">
        <v>100</v>
      </c>
      <c r="H71">
        <v>-1.142816925630366E-4</v>
      </c>
      <c r="I71">
        <v>-6.5478586594736043E-3</v>
      </c>
      <c r="J71">
        <v>0</v>
      </c>
      <c r="K71">
        <v>0</v>
      </c>
      <c r="L71">
        <v>0</v>
      </c>
      <c r="M71">
        <v>-6.5478586594736043E-3</v>
      </c>
      <c r="N71">
        <v>-451.81938160119932</v>
      </c>
      <c r="O71">
        <v>343.14172047337536</v>
      </c>
      <c r="P71">
        <v>-423.99170326669702</v>
      </c>
      <c r="Q71">
        <v>439.19181322976715</v>
      </c>
      <c r="R71">
        <v>0.96050092756391814</v>
      </c>
      <c r="S71">
        <v>0.27827678334502293</v>
      </c>
      <c r="T71" t="str">
        <v/>
      </c>
      <c r="U71">
        <v>1</v>
      </c>
      <c r="V71">
        <v>0</v>
      </c>
      <c r="W71">
        <v>100</v>
      </c>
      <c r="X71">
        <v>-500</v>
      </c>
      <c r="Y71">
        <v>500</v>
      </c>
      <c r="Z71">
        <v>500</v>
      </c>
      <c r="AA71">
        <v>-400</v>
      </c>
      <c r="AB71">
        <v>-903.63876320239865</v>
      </c>
      <c r="AC71">
        <v>586.28344094675072</v>
      </c>
      <c r="AD71">
        <v>-591.56117711996819</v>
      </c>
      <c r="AE71">
        <v>100.00130957173189</v>
      </c>
      <c r="AF71">
        <v>0.84798267768657598</v>
      </c>
      <c r="AG71" t="b">
        <v>1</v>
      </c>
      <c r="AH71">
        <v>100.00130957173189</v>
      </c>
      <c r="AI71">
        <v>2</v>
      </c>
      <c r="AJ71">
        <v>-500</v>
      </c>
      <c r="AK71">
        <v>500</v>
      </c>
      <c r="AL71">
        <v>-500</v>
      </c>
      <c r="AM71">
        <v>1000</v>
      </c>
      <c r="AN71">
        <v>0</v>
      </c>
      <c r="AO71">
        <v>-500</v>
      </c>
      <c r="AP71">
        <v>-403.63876320239865</v>
      </c>
      <c r="AQ71">
        <v>186.28344094675072</v>
      </c>
      <c r="AR71">
        <v>-139.13839167251146</v>
      </c>
      <c r="AS71">
        <v>-173.13919551478961</v>
      </c>
      <c r="AT71">
        <v>-0.64631727483250134</v>
      </c>
      <c r="AU71" t="b">
        <v>0</v>
      </c>
    </row>
    <row r="72" spans="1:47" x14ac:dyDescent="0.25">
      <c r="A72">
        <v>5.7999999999999954</v>
      </c>
      <c r="B72">
        <v>0.1</v>
      </c>
      <c r="C72">
        <v>-462.41103038007134</v>
      </c>
      <c r="D72">
        <v>339.78342060191278</v>
      </c>
      <c r="E72">
        <v>2.4668825831833554</v>
      </c>
      <c r="F72">
        <v>100.00112296399774</v>
      </c>
      <c r="G72">
        <v>100</v>
      </c>
      <c r="H72">
        <v>-9.7997095709986639E-5</v>
      </c>
      <c r="I72">
        <v>-5.6148199887218198E-3</v>
      </c>
      <c r="J72">
        <v>0</v>
      </c>
      <c r="K72">
        <v>0</v>
      </c>
      <c r="L72">
        <v>0</v>
      </c>
      <c r="M72">
        <v>-5.6148199887218198E-3</v>
      </c>
      <c r="N72">
        <v>-459.62815277913114</v>
      </c>
      <c r="O72">
        <v>349.38839807498294</v>
      </c>
      <c r="P72">
        <v>-431.79937676972895</v>
      </c>
      <c r="Q72">
        <v>445.43817280568453</v>
      </c>
      <c r="R72">
        <v>0.96049774730701587</v>
      </c>
      <c r="S72">
        <v>0.27828776009402179</v>
      </c>
      <c r="T72" t="str">
        <v/>
      </c>
      <c r="U72">
        <v>1</v>
      </c>
      <c r="V72">
        <v>0</v>
      </c>
      <c r="W72">
        <v>100</v>
      </c>
      <c r="X72">
        <v>-500</v>
      </c>
      <c r="Y72">
        <v>500</v>
      </c>
      <c r="Z72">
        <v>500</v>
      </c>
      <c r="AA72">
        <v>-400</v>
      </c>
      <c r="AB72">
        <v>-919.25630555826228</v>
      </c>
      <c r="AC72">
        <v>598.77679614996589</v>
      </c>
      <c r="AD72">
        <v>-591.56397769111663</v>
      </c>
      <c r="AE72">
        <v>100.00112296399774</v>
      </c>
      <c r="AF72">
        <v>0.86359812852518669</v>
      </c>
      <c r="AG72" t="b">
        <v>1</v>
      </c>
      <c r="AH72">
        <v>100.00112296399774</v>
      </c>
      <c r="AI72">
        <v>2</v>
      </c>
      <c r="AJ72">
        <v>-500</v>
      </c>
      <c r="AK72">
        <v>500</v>
      </c>
      <c r="AL72">
        <v>-500</v>
      </c>
      <c r="AM72">
        <v>1000</v>
      </c>
      <c r="AN72">
        <v>0</v>
      </c>
      <c r="AO72">
        <v>-500</v>
      </c>
      <c r="AP72">
        <v>-419.25630555826228</v>
      </c>
      <c r="AQ72">
        <v>198.77679614996589</v>
      </c>
      <c r="AR72">
        <v>-139.1438800470109</v>
      </c>
      <c r="AS72">
        <v>-145.0723064759618</v>
      </c>
      <c r="AT72">
        <v>-0.5799064509836227</v>
      </c>
      <c r="AU72" t="b">
        <v>0</v>
      </c>
    </row>
    <row r="73" spans="1:47" x14ac:dyDescent="0.25">
      <c r="A73">
        <v>5.899999999999995</v>
      </c>
      <c r="B73">
        <v>0.1</v>
      </c>
      <c r="C73">
        <v>-470.21985010918024</v>
      </c>
      <c r="D73">
        <v>346.03020653055478</v>
      </c>
      <c r="E73">
        <v>2.4668727834737845</v>
      </c>
      <c r="F73">
        <v>100.00090450339673</v>
      </c>
      <c r="G73">
        <v>100</v>
      </c>
      <c r="H73">
        <v>-7.8932811841656356E-5</v>
      </c>
      <c r="I73">
        <v>-4.5225169836271562E-3</v>
      </c>
      <c r="J73">
        <v>0</v>
      </c>
      <c r="K73">
        <v>0</v>
      </c>
      <c r="L73">
        <v>0</v>
      </c>
      <c r="M73">
        <v>-4.5225169836271562E-3</v>
      </c>
      <c r="N73">
        <v>-467.43687838238395</v>
      </c>
      <c r="O73">
        <v>355.63515673177147</v>
      </c>
      <c r="P73">
        <v>-439.60716111442133</v>
      </c>
      <c r="Q73">
        <v>451.68465874393843</v>
      </c>
      <c r="R73">
        <v>0.96049502012166954</v>
      </c>
      <c r="S73">
        <v>0.27829717267962623</v>
      </c>
      <c r="T73" t="str">
        <v/>
      </c>
      <c r="U73">
        <v>1</v>
      </c>
      <c r="V73">
        <v>0</v>
      </c>
      <c r="W73">
        <v>100</v>
      </c>
      <c r="X73">
        <v>-500</v>
      </c>
      <c r="Y73">
        <v>500</v>
      </c>
      <c r="Z73">
        <v>500</v>
      </c>
      <c r="AA73">
        <v>-400</v>
      </c>
      <c r="AB73">
        <v>-934.8737567647679</v>
      </c>
      <c r="AC73">
        <v>611.27031346354295</v>
      </c>
      <c r="AD73">
        <v>-591.56637913268526</v>
      </c>
      <c r="AE73">
        <v>100.00090450339673</v>
      </c>
      <c r="AF73">
        <v>0.8792138187873666</v>
      </c>
      <c r="AG73" t="b">
        <v>1</v>
      </c>
      <c r="AH73">
        <v>100.00090450339673</v>
      </c>
      <c r="AI73">
        <v>2</v>
      </c>
      <c r="AJ73">
        <v>-500</v>
      </c>
      <c r="AK73">
        <v>500</v>
      </c>
      <c r="AL73">
        <v>-500</v>
      </c>
      <c r="AM73">
        <v>1000</v>
      </c>
      <c r="AN73">
        <v>0</v>
      </c>
      <c r="AO73">
        <v>-500</v>
      </c>
      <c r="AP73">
        <v>-434.8737567647679</v>
      </c>
      <c r="AQ73">
        <v>211.27031346354295</v>
      </c>
      <c r="AR73">
        <v>-139.14858633981311</v>
      </c>
      <c r="AS73">
        <v>-117.00845288537117</v>
      </c>
      <c r="AT73">
        <v>-0.51350175915353713</v>
      </c>
      <c r="AU73" t="b">
        <v>0</v>
      </c>
    </row>
    <row r="74" spans="1:47" x14ac:dyDescent="0.25">
      <c r="A74">
        <v>5.9999999999999947</v>
      </c>
      <c r="B74">
        <v>0.1</v>
      </c>
      <c r="C74">
        <v>-478.02862053040803</v>
      </c>
      <c r="D74">
        <v>352.27705409621205</v>
      </c>
      <c r="E74">
        <v>2.4668648901926002</v>
      </c>
      <c r="F74">
        <v>100.000687485521</v>
      </c>
      <c r="G74">
        <v>100</v>
      </c>
      <c r="H74">
        <v>-5.9994429506072738E-5</v>
      </c>
      <c r="I74">
        <v>-3.4374276049931041E-3</v>
      </c>
      <c r="J74">
        <v>0</v>
      </c>
      <c r="K74">
        <v>0</v>
      </c>
      <c r="L74">
        <v>0</v>
      </c>
      <c r="M74">
        <v>-3.4374276049931041E-3</v>
      </c>
      <c r="N74">
        <v>-475.24557298912578</v>
      </c>
      <c r="O74">
        <v>361.88198233035115</v>
      </c>
      <c r="P74">
        <v>-447.41509757630314</v>
      </c>
      <c r="Q74">
        <v>457.93126467174227</v>
      </c>
      <c r="R74">
        <v>0.96049282341391151</v>
      </c>
      <c r="S74">
        <v>0.27830475412822647</v>
      </c>
      <c r="T74" t="str">
        <v/>
      </c>
      <c r="U74">
        <v>1</v>
      </c>
      <c r="V74">
        <v>0</v>
      </c>
      <c r="W74">
        <v>100</v>
      </c>
      <c r="X74">
        <v>-500</v>
      </c>
      <c r="Y74">
        <v>500</v>
      </c>
      <c r="Z74">
        <v>500</v>
      </c>
      <c r="AA74">
        <v>-400</v>
      </c>
      <c r="AB74">
        <v>-950.49114597825155</v>
      </c>
      <c r="AC74">
        <v>623.7639646607023</v>
      </c>
      <c r="AD74">
        <v>-591.56831335824631</v>
      </c>
      <c r="AE74">
        <v>100.000687485521</v>
      </c>
      <c r="AF74">
        <v>0.89482981249162863</v>
      </c>
      <c r="AG74" t="b">
        <v>1</v>
      </c>
      <c r="AH74">
        <v>100.000687485521</v>
      </c>
      <c r="AI74">
        <v>2</v>
      </c>
      <c r="AJ74">
        <v>-500</v>
      </c>
      <c r="AK74">
        <v>500</v>
      </c>
      <c r="AL74">
        <v>-500</v>
      </c>
      <c r="AM74">
        <v>1000</v>
      </c>
      <c r="AN74">
        <v>0</v>
      </c>
      <c r="AO74">
        <v>-500</v>
      </c>
      <c r="AP74">
        <v>-450.49114597825155</v>
      </c>
      <c r="AQ74">
        <v>223.7639646607023</v>
      </c>
      <c r="AR74">
        <v>-139.15237706411324</v>
      </c>
      <c r="AS74">
        <v>-88.947194195140625</v>
      </c>
      <c r="AT74">
        <v>-0.44710231871376993</v>
      </c>
      <c r="AU74" t="b">
        <v>0</v>
      </c>
    </row>
    <row r="75" spans="1:47" x14ac:dyDescent="0.25">
      <c r="A75">
        <v>6.0999999999999943</v>
      </c>
      <c r="B75">
        <v>0.1</v>
      </c>
      <c r="C75">
        <v>-485.83735347388972</v>
      </c>
      <c r="D75">
        <v>358.52394851002953</v>
      </c>
      <c r="E75">
        <v>2.4668588907496498</v>
      </c>
      <c r="F75">
        <v>100.00049183002911</v>
      </c>
      <c r="G75">
        <v>100</v>
      </c>
      <c r="H75">
        <v>-4.2920266840330298E-5</v>
      </c>
      <c r="I75">
        <v>-2.4591501455262232E-3</v>
      </c>
      <c r="J75">
        <v>0</v>
      </c>
      <c r="K75">
        <v>0</v>
      </c>
      <c r="L75">
        <v>0</v>
      </c>
      <c r="M75">
        <v>-2.4591501455262232E-3</v>
      </c>
      <c r="N75">
        <v>-483.05424830843856</v>
      </c>
      <c r="O75">
        <v>368.12886004726084</v>
      </c>
      <c r="P75">
        <v>-455.22319665392695</v>
      </c>
      <c r="Q75">
        <v>464.1779754195739</v>
      </c>
      <c r="R75">
        <v>0.96049115372313065</v>
      </c>
      <c r="S75">
        <v>0.27831051654511629</v>
      </c>
      <c r="T75" t="str">
        <v/>
      </c>
      <c r="U75">
        <v>1</v>
      </c>
      <c r="V75">
        <v>0</v>
      </c>
      <c r="W75">
        <v>100</v>
      </c>
      <c r="X75">
        <v>-500</v>
      </c>
      <c r="Y75">
        <v>500</v>
      </c>
      <c r="Z75">
        <v>500</v>
      </c>
      <c r="AA75">
        <v>-400</v>
      </c>
      <c r="AB75">
        <v>-966.10849661687712</v>
      </c>
      <c r="AC75">
        <v>636.25772009452169</v>
      </c>
      <c r="AD75">
        <v>-591.56978347961183</v>
      </c>
      <c r="AE75">
        <v>100.00049183002911</v>
      </c>
      <c r="AF75">
        <v>0.91044611954491494</v>
      </c>
      <c r="AG75" t="b">
        <v>1</v>
      </c>
      <c r="AH75">
        <v>100.00049183002911</v>
      </c>
      <c r="AI75">
        <v>2</v>
      </c>
      <c r="AJ75">
        <v>-500</v>
      </c>
      <c r="AK75">
        <v>500</v>
      </c>
      <c r="AL75">
        <v>-500</v>
      </c>
      <c r="AM75">
        <v>1000</v>
      </c>
      <c r="AN75">
        <v>0</v>
      </c>
      <c r="AO75">
        <v>-500</v>
      </c>
      <c r="AP75">
        <v>-466.10849661687712</v>
      </c>
      <c r="AQ75">
        <v>236.25772009452169</v>
      </c>
      <c r="AR75">
        <v>-139.15525827255814</v>
      </c>
      <c r="AS75">
        <v>-60.887931587789652</v>
      </c>
      <c r="AT75">
        <v>-0.38070691922262057</v>
      </c>
      <c r="AU75" t="b">
        <v>0</v>
      </c>
    </row>
    <row r="76" spans="1:47" x14ac:dyDescent="0.25">
      <c r="A76">
        <v>6.199999999999994</v>
      </c>
      <c r="B76">
        <v>0.1</v>
      </c>
      <c r="C76">
        <v>-493.64605960546191</v>
      </c>
      <c r="D76">
        <v>364.77087643907964</v>
      </c>
      <c r="E76">
        <v>2.466854598722966</v>
      </c>
      <c r="F76">
        <v>100.00032751938294</v>
      </c>
      <c r="G76">
        <v>100</v>
      </c>
      <c r="H76">
        <v>-2.8581457981604958E-5</v>
      </c>
      <c r="I76">
        <v>-1.6375969146764646E-3</v>
      </c>
      <c r="J76">
        <v>0</v>
      </c>
      <c r="K76">
        <v>0</v>
      </c>
      <c r="L76">
        <v>0</v>
      </c>
      <c r="M76">
        <v>-1.6375969146764646E-3</v>
      </c>
      <c r="N76">
        <v>-490.86291321549976</v>
      </c>
      <c r="O76">
        <v>374.37577603106087</v>
      </c>
      <c r="P76">
        <v>-463.03144931587832</v>
      </c>
      <c r="Q76">
        <v>470.42477195087292</v>
      </c>
      <c r="R76">
        <v>0.96048995919812041</v>
      </c>
      <c r="S76">
        <v>0.27831463899621417</v>
      </c>
      <c r="T76" t="str">
        <v/>
      </c>
      <c r="U76">
        <v>1</v>
      </c>
      <c r="V76">
        <v>0</v>
      </c>
      <c r="W76">
        <v>100</v>
      </c>
      <c r="X76">
        <v>-500</v>
      </c>
      <c r="Y76">
        <v>500</v>
      </c>
      <c r="Z76">
        <v>500</v>
      </c>
      <c r="AA76">
        <v>-400</v>
      </c>
      <c r="AB76">
        <v>-981.72582643099952</v>
      </c>
      <c r="AC76">
        <v>648.75155206212173</v>
      </c>
      <c r="AD76">
        <v>-591.57083519754588</v>
      </c>
      <c r="AE76">
        <v>100.00032751938294</v>
      </c>
      <c r="AF76">
        <v>0.92606271632487902</v>
      </c>
      <c r="AG76" t="b">
        <v>1</v>
      </c>
      <c r="AH76">
        <v>100.00032751938294</v>
      </c>
      <c r="AI76">
        <v>2</v>
      </c>
      <c r="AJ76">
        <v>-500</v>
      </c>
      <c r="AK76">
        <v>500</v>
      </c>
      <c r="AL76">
        <v>-500</v>
      </c>
      <c r="AM76">
        <v>1000</v>
      </c>
      <c r="AN76">
        <v>0</v>
      </c>
      <c r="AO76">
        <v>-500</v>
      </c>
      <c r="AP76">
        <v>-481.72582643099952</v>
      </c>
      <c r="AQ76">
        <v>248.75155206212173</v>
      </c>
      <c r="AR76">
        <v>-139.15731949810709</v>
      </c>
      <c r="AS76">
        <v>-32.830061751169801</v>
      </c>
      <c r="AT76">
        <v>-0.31431433728158398</v>
      </c>
      <c r="AU76" t="b">
        <v>0</v>
      </c>
    </row>
    <row r="77" spans="1:47" x14ac:dyDescent="0.25">
      <c r="A77">
        <v>6.2999999999999936</v>
      </c>
      <c r="B77">
        <v>0.1</v>
      </c>
      <c r="C77">
        <v>-501.45474788237141</v>
      </c>
      <c r="D77">
        <v>371.01782668652487</v>
      </c>
      <c r="E77">
        <v>2.4668517405771677</v>
      </c>
      <c r="F77">
        <v>100.00019760760908</v>
      </c>
      <c r="G77">
        <v>100</v>
      </c>
      <c r="H77">
        <v>-1.7244517027310386E-5</v>
      </c>
      <c r="I77">
        <v>-9.8803804540636975E-4</v>
      </c>
      <c r="J77">
        <v>0</v>
      </c>
      <c r="K77">
        <v>0</v>
      </c>
      <c r="L77">
        <v>0</v>
      </c>
      <c r="M77">
        <v>-9.8803804540636975E-4</v>
      </c>
      <c r="N77">
        <v>-498.67157404021719</v>
      </c>
      <c r="O77">
        <v>380.62271832382868</v>
      </c>
      <c r="P77">
        <v>-470.83983561867535</v>
      </c>
      <c r="Q77">
        <v>476.67163469686682</v>
      </c>
      <c r="R77">
        <v>0.96048916373038118</v>
      </c>
      <c r="S77">
        <v>0.27831738421541857</v>
      </c>
      <c r="T77" t="str">
        <v/>
      </c>
      <c r="U77">
        <v>1</v>
      </c>
      <c r="V77">
        <v>0</v>
      </c>
      <c r="W77">
        <v>100</v>
      </c>
      <c r="X77">
        <v>-500</v>
      </c>
      <c r="Y77">
        <v>500</v>
      </c>
      <c r="Z77">
        <v>500</v>
      </c>
      <c r="AA77">
        <v>-400</v>
      </c>
      <c r="AB77">
        <v>-997.34314808043439</v>
      </c>
      <c r="AC77">
        <v>661.24543664765736</v>
      </c>
      <c r="AD77">
        <v>-591.57153555135801</v>
      </c>
      <c r="AE77">
        <v>100.00019760760908</v>
      </c>
      <c r="AF77">
        <v>0.94167956124208496</v>
      </c>
      <c r="AG77" t="b">
        <v>1</v>
      </c>
      <c r="AH77">
        <v>100.00019760760908</v>
      </c>
      <c r="AI77">
        <v>2</v>
      </c>
      <c r="AJ77">
        <v>-500</v>
      </c>
      <c r="AK77">
        <v>500</v>
      </c>
      <c r="AL77">
        <v>-500</v>
      </c>
      <c r="AM77">
        <v>1000</v>
      </c>
      <c r="AN77">
        <v>0</v>
      </c>
      <c r="AO77">
        <v>-500</v>
      </c>
      <c r="AP77">
        <v>-497.34314808043439</v>
      </c>
      <c r="AQ77">
        <v>261.24543664765736</v>
      </c>
      <c r="AR77">
        <v>-139.1586921077093</v>
      </c>
      <c r="AS77">
        <v>-4.7730613864730751</v>
      </c>
      <c r="AT77">
        <v>-0.24792351083139719</v>
      </c>
      <c r="AU77" t="b">
        <v>0</v>
      </c>
    </row>
    <row r="78" spans="1:47" x14ac:dyDescent="0.25">
      <c r="A78">
        <v>6.3999999999999932</v>
      </c>
      <c r="B78">
        <v>0.1</v>
      </c>
      <c r="C78">
        <v>-509.26342538670531</v>
      </c>
      <c r="D78">
        <v>377.26479039966659</v>
      </c>
      <c r="E78">
        <v>2.466850016125465</v>
      </c>
      <c r="F78">
        <v>100.00010068649895</v>
      </c>
      <c r="G78">
        <v>100</v>
      </c>
      <c r="H78">
        <v>-8.7865545952176896E-6</v>
      </c>
      <c r="I78">
        <v>-5.0343249476725305E-4</v>
      </c>
      <c r="J78">
        <v>0</v>
      </c>
      <c r="K78">
        <v>0</v>
      </c>
      <c r="L78">
        <v>0</v>
      </c>
      <c r="M78">
        <v>-5.0343249476725305E-4</v>
      </c>
      <c r="N78">
        <v>-506.48023498138355</v>
      </c>
      <c r="O78">
        <v>386.86967723750723</v>
      </c>
      <c r="P78">
        <v>-478.64833092816571</v>
      </c>
      <c r="Q78">
        <v>482.91854561591384</v>
      </c>
      <c r="R78">
        <v>0.96048868378406604</v>
      </c>
      <c r="S78">
        <v>0.2783190405321786</v>
      </c>
      <c r="T78" t="str">
        <v/>
      </c>
      <c r="U78">
        <v>1</v>
      </c>
      <c r="V78">
        <v>0</v>
      </c>
      <c r="W78">
        <v>100</v>
      </c>
      <c r="X78">
        <v>-500</v>
      </c>
      <c r="Y78">
        <v>500</v>
      </c>
      <c r="Z78">
        <v>500</v>
      </c>
      <c r="AA78">
        <v>-400</v>
      </c>
      <c r="AB78">
        <v>-1012.9604699627671</v>
      </c>
      <c r="AC78">
        <v>673.73935447501447</v>
      </c>
      <c r="AD78">
        <v>-591.57195810490452</v>
      </c>
      <c r="AE78">
        <v>100.00010068649895</v>
      </c>
      <c r="AF78">
        <v>0.95729660581039167</v>
      </c>
      <c r="AG78" t="b">
        <v>1</v>
      </c>
      <c r="AH78">
        <v>100.00010068649895</v>
      </c>
      <c r="AI78">
        <v>2</v>
      </c>
      <c r="AJ78">
        <v>-500</v>
      </c>
      <c r="AK78">
        <v>500</v>
      </c>
      <c r="AL78">
        <v>-500</v>
      </c>
      <c r="AM78">
        <v>1000</v>
      </c>
      <c r="AN78">
        <v>0</v>
      </c>
      <c r="AO78">
        <v>-500</v>
      </c>
      <c r="AP78">
        <v>-512.96046996276709</v>
      </c>
      <c r="AQ78">
        <v>273.73935447501447</v>
      </c>
      <c r="AR78">
        <v>-139.15952026608929</v>
      </c>
      <c r="AS78">
        <v>23.28347700894836</v>
      </c>
      <c r="AT78">
        <v>-0.1815336131525028</v>
      </c>
      <c r="AU78" t="b">
        <v>0</v>
      </c>
    </row>
    <row r="79" spans="1:47" x14ac:dyDescent="0.25">
      <c r="A79">
        <v>6.4999999999999929</v>
      </c>
      <c r="B79">
        <v>0.1</v>
      </c>
      <c r="C79">
        <v>-517.07209740210749</v>
      </c>
      <c r="D79">
        <v>383.51176097394301</v>
      </c>
      <c r="E79">
        <v>2.4668491374700054</v>
      </c>
      <c r="F79">
        <v>100.00003279247811</v>
      </c>
      <c r="G79">
        <v>100</v>
      </c>
      <c r="H79">
        <v>-2.861683564446273E-6</v>
      </c>
      <c r="I79">
        <v>-1.6396239054472517E-4</v>
      </c>
      <c r="J79">
        <v>0</v>
      </c>
      <c r="K79">
        <v>0</v>
      </c>
      <c r="L79">
        <v>0</v>
      </c>
      <c r="M79">
        <v>-1.6396239054472517E-4</v>
      </c>
      <c r="N79">
        <v>-514.28889855740056</v>
      </c>
      <c r="O79">
        <v>393.11664536631451</v>
      </c>
      <c r="P79">
        <v>-486.45691011033085</v>
      </c>
      <c r="Q79">
        <v>489.1654892900296</v>
      </c>
      <c r="R79">
        <v>0.96048843923715077</v>
      </c>
      <c r="S79">
        <v>0.278319884470697</v>
      </c>
      <c r="T79" t="str">
        <v/>
      </c>
      <c r="U79">
        <v>1</v>
      </c>
      <c r="V79">
        <v>0</v>
      </c>
      <c r="W79">
        <v>100</v>
      </c>
      <c r="X79">
        <v>-500</v>
      </c>
      <c r="Y79">
        <v>500</v>
      </c>
      <c r="Z79">
        <v>500</v>
      </c>
      <c r="AA79">
        <v>-400</v>
      </c>
      <c r="AB79">
        <v>-1028.5777971148011</v>
      </c>
      <c r="AC79">
        <v>686.23329073262903</v>
      </c>
      <c r="AD79">
        <v>-591.57217340685418</v>
      </c>
      <c r="AE79">
        <v>100.00003279247811</v>
      </c>
      <c r="AF79">
        <v>0.97291380196706434</v>
      </c>
      <c r="AG79" t="b">
        <v>1</v>
      </c>
      <c r="AH79">
        <v>100.00003279247811</v>
      </c>
      <c r="AI79">
        <v>2</v>
      </c>
      <c r="AJ79">
        <v>-500</v>
      </c>
      <c r="AK79">
        <v>500</v>
      </c>
      <c r="AL79">
        <v>-500</v>
      </c>
      <c r="AM79">
        <v>1000</v>
      </c>
      <c r="AN79">
        <v>0</v>
      </c>
      <c r="AO79">
        <v>-500</v>
      </c>
      <c r="AP79">
        <v>-528.57779711480111</v>
      </c>
      <c r="AQ79">
        <v>286.23329073262903</v>
      </c>
      <c r="AR79">
        <v>-139.1599422353485</v>
      </c>
      <c r="AS79">
        <v>51.339840789941718</v>
      </c>
      <c r="AT79">
        <v>-0.11514406216534112</v>
      </c>
      <c r="AU79" t="b">
        <v>0</v>
      </c>
    </row>
    <row r="80" spans="1:47" x14ac:dyDescent="0.25">
      <c r="A80">
        <v>6.5999999999999925</v>
      </c>
      <c r="B80">
        <v>0.1</v>
      </c>
      <c r="C80">
        <v>-524.88076762982405</v>
      </c>
      <c r="D80">
        <v>389.75873378281403</v>
      </c>
      <c r="E80">
        <v>2.4668488513016489</v>
      </c>
      <c r="F80">
        <v>99.999988796666216</v>
      </c>
      <c r="G80">
        <v>100</v>
      </c>
      <c r="H80">
        <v>9.7767530867431549E-7</v>
      </c>
      <c r="I80">
        <v>5.6016668921188284E-5</v>
      </c>
      <c r="J80">
        <v>0</v>
      </c>
      <c r="K80">
        <v>0</v>
      </c>
      <c r="L80">
        <v>0</v>
      </c>
      <c r="M80">
        <v>5.6016668921188284E-5</v>
      </c>
      <c r="N80">
        <v>-522.09756603650317</v>
      </c>
      <c r="O80">
        <v>399.3636173787217</v>
      </c>
      <c r="P80">
        <v>-494.2655501032948</v>
      </c>
      <c r="Q80">
        <v>495.41245333779847</v>
      </c>
      <c r="R80">
        <v>0.9604883595907675</v>
      </c>
      <c r="S80">
        <v>0.27832015933208376</v>
      </c>
      <c r="T80" t="str">
        <v/>
      </c>
      <c r="U80">
        <v>1</v>
      </c>
      <c r="V80">
        <v>0</v>
      </c>
      <c r="W80">
        <v>100</v>
      </c>
      <c r="X80">
        <v>-500</v>
      </c>
      <c r="Y80">
        <v>500</v>
      </c>
      <c r="Z80">
        <v>500</v>
      </c>
      <c r="AA80">
        <v>-400</v>
      </c>
      <c r="AB80">
        <v>-1044.1951320730063</v>
      </c>
      <c r="AC80">
        <v>698.7272347574434</v>
      </c>
      <c r="AD80">
        <v>-591.5722435282172</v>
      </c>
      <c r="AE80">
        <v>99.999988796666216</v>
      </c>
      <c r="AF80">
        <v>0.98853110644281694</v>
      </c>
      <c r="AG80" t="b">
        <v>1</v>
      </c>
      <c r="AH80">
        <v>99.999988796666216</v>
      </c>
      <c r="AI80">
        <v>2</v>
      </c>
      <c r="AJ80">
        <v>-500</v>
      </c>
      <c r="AK80">
        <v>500</v>
      </c>
      <c r="AL80">
        <v>-500</v>
      </c>
      <c r="AM80">
        <v>1000</v>
      </c>
      <c r="AN80">
        <v>0</v>
      </c>
      <c r="AO80">
        <v>-500</v>
      </c>
      <c r="AP80">
        <v>-544.19513207300633</v>
      </c>
      <c r="AQ80">
        <v>298.7272347574434</v>
      </c>
      <c r="AR80">
        <v>-139.16007966604187</v>
      </c>
      <c r="AS80">
        <v>79.39621078664652</v>
      </c>
      <c r="AT80">
        <v>-4.8754492730178761E-2</v>
      </c>
      <c r="AU80" t="b">
        <v>0</v>
      </c>
    </row>
    <row r="81" spans="1:47" x14ac:dyDescent="0.25">
      <c r="A81">
        <v>6.6999999999999922</v>
      </c>
      <c r="B81">
        <v>0.1</v>
      </c>
      <c r="C81">
        <v>-532.68943846829166</v>
      </c>
      <c r="D81">
        <v>396.0057058282506</v>
      </c>
      <c r="E81">
        <v>2.4668489490691798</v>
      </c>
      <c r="F81">
        <v>107.45268318358498</v>
      </c>
      <c r="G81">
        <v>100</v>
      </c>
      <c r="H81">
        <v>-0.65036929830785462</v>
      </c>
      <c r="I81">
        <v>-37.263415917924902</v>
      </c>
      <c r="J81">
        <v>0</v>
      </c>
      <c r="K81">
        <v>0</v>
      </c>
      <c r="L81">
        <v>0</v>
      </c>
      <c r="M81">
        <v>-37.263415917924902</v>
      </c>
      <c r="N81">
        <v>-529.90623781401655</v>
      </c>
      <c r="O81">
        <v>405.61058969626498</v>
      </c>
      <c r="P81">
        <v>-502.07423127126583</v>
      </c>
      <c r="Q81">
        <v>501.65942837640875</v>
      </c>
      <c r="R81">
        <v>0.96048838680143767</v>
      </c>
      <c r="S81">
        <v>0.27832006542750698</v>
      </c>
      <c r="T81" t="str">
        <v/>
      </c>
      <c r="U81">
        <v>1</v>
      </c>
      <c r="V81">
        <v>0</v>
      </c>
      <c r="W81">
        <v>100</v>
      </c>
      <c r="X81">
        <v>-500</v>
      </c>
      <c r="Y81">
        <v>500</v>
      </c>
      <c r="Z81">
        <v>500</v>
      </c>
      <c r="AA81">
        <v>-400</v>
      </c>
      <c r="AB81">
        <v>-1059.8124756280331</v>
      </c>
      <c r="AC81">
        <v>711.22117939252996</v>
      </c>
      <c r="AD81">
        <v>-591.57221957172158</v>
      </c>
      <c r="AE81">
        <v>99.999963352406837</v>
      </c>
      <c r="AF81">
        <v>1.0041484829420528</v>
      </c>
      <c r="AG81" t="b">
        <v>0</v>
      </c>
      <c r="AH81">
        <v>25000</v>
      </c>
      <c r="AI81">
        <v>2</v>
      </c>
      <c r="AJ81">
        <v>-500</v>
      </c>
      <c r="AK81">
        <v>500</v>
      </c>
      <c r="AL81">
        <v>-500</v>
      </c>
      <c r="AM81">
        <v>1000</v>
      </c>
      <c r="AN81">
        <v>0</v>
      </c>
      <c r="AO81">
        <v>-500</v>
      </c>
      <c r="AP81">
        <v>-559.8124756280331</v>
      </c>
      <c r="AQ81">
        <v>311.22117939252996</v>
      </c>
      <c r="AR81">
        <v>-139.16003271375348</v>
      </c>
      <c r="AS81">
        <v>107.45268318358498</v>
      </c>
      <c r="AT81">
        <v>1.7635288049504972E-2</v>
      </c>
      <c r="AU81" t="b">
        <v>1</v>
      </c>
    </row>
    <row r="82" spans="1:47" x14ac:dyDescent="0.25">
      <c r="A82">
        <v>6.7999999999999918</v>
      </c>
      <c r="B82">
        <v>0.1</v>
      </c>
      <c r="C82">
        <v>-540.07560303394621</v>
      </c>
      <c r="D82">
        <v>402.74696483596347</v>
      </c>
      <c r="E82">
        <v>2.4018120192383945</v>
      </c>
      <c r="F82">
        <v>107.81576556627247</v>
      </c>
      <c r="G82">
        <v>100</v>
      </c>
      <c r="H82">
        <v>-0.6820542134772688</v>
      </c>
      <c r="I82">
        <v>-39.078827831362375</v>
      </c>
      <c r="J82">
        <v>0</v>
      </c>
      <c r="K82">
        <v>0</v>
      </c>
      <c r="L82">
        <v>0</v>
      </c>
      <c r="M82">
        <v>-39.078827831362375</v>
      </c>
      <c r="N82">
        <v>-536.67405462136105</v>
      </c>
      <c r="O82">
        <v>412.15065923746545</v>
      </c>
      <c r="P82">
        <v>-502.6585704955092</v>
      </c>
      <c r="Q82">
        <v>506.18760325248502</v>
      </c>
      <c r="R82">
        <v>0.94036944015019552</v>
      </c>
      <c r="S82">
        <v>0.34015484125851847</v>
      </c>
      <c r="T82" t="str">
        <v/>
      </c>
      <c r="U82">
        <v>1</v>
      </c>
      <c r="V82">
        <v>0</v>
      </c>
      <c r="W82">
        <v>100</v>
      </c>
      <c r="X82">
        <v>-500</v>
      </c>
      <c r="Y82">
        <v>500</v>
      </c>
      <c r="Z82">
        <v>500</v>
      </c>
      <c r="AA82">
        <v>-400</v>
      </c>
      <c r="AB82">
        <v>-1073.3481092427221</v>
      </c>
      <c r="AC82">
        <v>724.30131847493089</v>
      </c>
      <c r="AD82">
        <v>-606.24665657850517</v>
      </c>
      <c r="AE82">
        <v>96.650911958017687</v>
      </c>
      <c r="AF82">
        <v>1.0075955580135811</v>
      </c>
      <c r="AG82" t="b">
        <v>0</v>
      </c>
      <c r="AH82">
        <v>25000</v>
      </c>
      <c r="AI82">
        <v>2</v>
      </c>
      <c r="AJ82">
        <v>-500</v>
      </c>
      <c r="AK82">
        <v>500</v>
      </c>
      <c r="AL82">
        <v>-500</v>
      </c>
      <c r="AM82">
        <v>1000</v>
      </c>
      <c r="AN82">
        <v>0</v>
      </c>
      <c r="AO82">
        <v>-500</v>
      </c>
      <c r="AP82">
        <v>-573.3481092427221</v>
      </c>
      <c r="AQ82">
        <v>324.30131847493089</v>
      </c>
      <c r="AR82">
        <v>-170.07742062925922</v>
      </c>
      <c r="AS82">
        <v>107.81576556627247</v>
      </c>
      <c r="AT82">
        <v>2.7074620684771629E-2</v>
      </c>
      <c r="AU82" t="b">
        <v>1</v>
      </c>
    </row>
    <row r="83" spans="1:47" x14ac:dyDescent="0.25">
      <c r="A83">
        <v>6.8999999999999915</v>
      </c>
      <c r="B83">
        <v>0.1</v>
      </c>
      <c r="C83">
        <v>-546.9851601109475</v>
      </c>
      <c r="D83">
        <v>409.97593578622053</v>
      </c>
      <c r="E83">
        <v>2.3336065978906677</v>
      </c>
      <c r="F83">
        <v>106.45771635299002</v>
      </c>
      <c r="G83">
        <v>100</v>
      </c>
      <c r="H83">
        <v>-0.56354206259778095</v>
      </c>
      <c r="I83">
        <v>-32.288581764950095</v>
      </c>
      <c r="J83">
        <v>0</v>
      </c>
      <c r="K83">
        <v>0</v>
      </c>
      <c r="L83">
        <v>0</v>
      </c>
      <c r="M83">
        <v>-32.288581764950095</v>
      </c>
      <c r="N83">
        <v>-542.95063482723572</v>
      </c>
      <c r="O83">
        <v>419.1259415640925</v>
      </c>
      <c r="P83">
        <v>-502.60538199011773</v>
      </c>
      <c r="Q83">
        <v>510.62599934281207</v>
      </c>
      <c r="R83">
        <v>0.9150005777871959</v>
      </c>
      <c r="S83">
        <v>0.40345252837117979</v>
      </c>
      <c r="T83" t="str">
        <v/>
      </c>
      <c r="U83">
        <v>1</v>
      </c>
      <c r="V83">
        <v>0</v>
      </c>
      <c r="W83">
        <v>100</v>
      </c>
      <c r="X83">
        <v>-500</v>
      </c>
      <c r="Y83">
        <v>500</v>
      </c>
      <c r="Z83">
        <v>500</v>
      </c>
      <c r="AA83">
        <v>-400</v>
      </c>
      <c r="AB83">
        <v>-1085.9012696544714</v>
      </c>
      <c r="AC83">
        <v>738.251883128185</v>
      </c>
      <c r="AD83">
        <v>-618.88130024206987</v>
      </c>
      <c r="AE83">
        <v>93.099085602217315</v>
      </c>
      <c r="AF83">
        <v>1.0107791467039524</v>
      </c>
      <c r="AG83" t="b">
        <v>0</v>
      </c>
      <c r="AH83">
        <v>25000</v>
      </c>
      <c r="AI83">
        <v>2</v>
      </c>
      <c r="AJ83">
        <v>-500</v>
      </c>
      <c r="AK83">
        <v>500</v>
      </c>
      <c r="AL83">
        <v>-500</v>
      </c>
      <c r="AM83">
        <v>1000</v>
      </c>
      <c r="AN83">
        <v>0</v>
      </c>
      <c r="AO83">
        <v>-500</v>
      </c>
      <c r="AP83">
        <v>-585.90126965447143</v>
      </c>
      <c r="AQ83">
        <v>338.251883128185</v>
      </c>
      <c r="AR83">
        <v>-201.72626418558988</v>
      </c>
      <c r="AS83">
        <v>106.45771635299002</v>
      </c>
      <c r="AT83">
        <v>3.3069627073967565E-2</v>
      </c>
      <c r="AU83" t="b">
        <v>1</v>
      </c>
    </row>
    <row r="84" spans="1:47" x14ac:dyDescent="0.25">
      <c r="A84">
        <v>6.9999999999999911</v>
      </c>
      <c r="B84">
        <v>0.1</v>
      </c>
      <c r="C84">
        <v>-553.47658109081533</v>
      </c>
      <c r="D84">
        <v>417.58260744090182</v>
      </c>
      <c r="E84">
        <v>2.2772523916308898</v>
      </c>
      <c r="F84">
        <v>107.69937420163643</v>
      </c>
      <c r="G84">
        <v>100</v>
      </c>
      <c r="H84">
        <v>-0.67189715080832746</v>
      </c>
      <c r="I84">
        <v>-38.496871008182154</v>
      </c>
      <c r="J84">
        <v>0</v>
      </c>
      <c r="K84">
        <v>0</v>
      </c>
      <c r="L84">
        <v>0</v>
      </c>
      <c r="M84">
        <v>-38.496871008182154</v>
      </c>
      <c r="N84">
        <v>-548.93309210002406</v>
      </c>
      <c r="O84">
        <v>426.49084563880376</v>
      </c>
      <c r="P84">
        <v>-503.49820219211171</v>
      </c>
      <c r="Q84">
        <v>515.57322761782302</v>
      </c>
      <c r="R84">
        <v>0.8908238197901921</v>
      </c>
      <c r="S84">
        <v>0.4543488990791234</v>
      </c>
      <c r="T84" t="str">
        <v/>
      </c>
      <c r="U84">
        <v>1</v>
      </c>
      <c r="V84">
        <v>0</v>
      </c>
      <c r="W84">
        <v>100</v>
      </c>
      <c r="X84">
        <v>-500</v>
      </c>
      <c r="Y84">
        <v>500</v>
      </c>
      <c r="Z84">
        <v>500</v>
      </c>
      <c r="AA84">
        <v>-400</v>
      </c>
      <c r="AB84">
        <v>-1097.8661842000481</v>
      </c>
      <c r="AC84">
        <v>752.98169127760752</v>
      </c>
      <c r="AD84">
        <v>-627.15146952674547</v>
      </c>
      <c r="AE84">
        <v>89.815326532062898</v>
      </c>
      <c r="AF84">
        <v>1.0162511947394985</v>
      </c>
      <c r="AG84" t="b">
        <v>0</v>
      </c>
      <c r="AH84">
        <v>25000</v>
      </c>
      <c r="AI84">
        <v>2</v>
      </c>
      <c r="AJ84">
        <v>-500</v>
      </c>
      <c r="AK84">
        <v>500</v>
      </c>
      <c r="AL84">
        <v>-500</v>
      </c>
      <c r="AM84">
        <v>1000</v>
      </c>
      <c r="AN84">
        <v>0</v>
      </c>
      <c r="AO84">
        <v>-500</v>
      </c>
      <c r="AP84">
        <v>-597.86618420004811</v>
      </c>
      <c r="AQ84">
        <v>352.98169127760752</v>
      </c>
      <c r="AR84">
        <v>-227.17444953956169</v>
      </c>
      <c r="AS84">
        <v>107.69937420163643</v>
      </c>
      <c r="AT84">
        <v>4.48640271082376E-2</v>
      </c>
      <c r="AU84" t="b">
        <v>1</v>
      </c>
    </row>
    <row r="85" spans="1:47" x14ac:dyDescent="0.25">
      <c r="A85">
        <v>7.0999999999999908</v>
      </c>
      <c r="B85">
        <v>0.1</v>
      </c>
      <c r="C85">
        <v>-559.44264932029523</v>
      </c>
      <c r="D85">
        <v>425.60794418655865</v>
      </c>
      <c r="E85">
        <v>2.2100626765500571</v>
      </c>
      <c r="F85">
        <v>105.84260249017626</v>
      </c>
      <c r="G85">
        <v>100</v>
      </c>
      <c r="H85">
        <v>-0.50986325169397706</v>
      </c>
      <c r="I85">
        <v>-29.213012450881308</v>
      </c>
      <c r="J85">
        <v>0</v>
      </c>
      <c r="K85">
        <v>0</v>
      </c>
      <c r="L85">
        <v>0</v>
      </c>
      <c r="M85">
        <v>-29.213012450881308</v>
      </c>
      <c r="N85">
        <v>-554.3113204272538</v>
      </c>
      <c r="O85">
        <v>434.19103592505468</v>
      </c>
      <c r="P85">
        <v>-502.9980314968397</v>
      </c>
      <c r="Q85">
        <v>520.02195331001474</v>
      </c>
      <c r="R85">
        <v>0.85830917384960081</v>
      </c>
      <c r="S85">
        <v>0.51313288930414092</v>
      </c>
      <c r="T85" t="str">
        <v/>
      </c>
      <c r="U85">
        <v>1</v>
      </c>
      <c r="V85">
        <v>0</v>
      </c>
      <c r="W85">
        <v>100</v>
      </c>
      <c r="X85">
        <v>-500</v>
      </c>
      <c r="Y85">
        <v>500</v>
      </c>
      <c r="Z85">
        <v>500</v>
      </c>
      <c r="AA85">
        <v>-400</v>
      </c>
      <c r="AB85">
        <v>-1108.6226408545076</v>
      </c>
      <c r="AC85">
        <v>768.38207185010936</v>
      </c>
      <c r="AD85">
        <v>-634.40774264645677</v>
      </c>
      <c r="AE85">
        <v>86.110251398394226</v>
      </c>
      <c r="AF85">
        <v>1.0202506366569797</v>
      </c>
      <c r="AG85" t="b">
        <v>0</v>
      </c>
      <c r="AH85">
        <v>25000</v>
      </c>
      <c r="AI85">
        <v>2</v>
      </c>
      <c r="AJ85">
        <v>-500</v>
      </c>
      <c r="AK85">
        <v>500</v>
      </c>
      <c r="AL85">
        <v>-500</v>
      </c>
      <c r="AM85">
        <v>1000</v>
      </c>
      <c r="AN85">
        <v>0</v>
      </c>
      <c r="AO85">
        <v>-500</v>
      </c>
      <c r="AP85">
        <v>-608.62264085450761</v>
      </c>
      <c r="AQ85">
        <v>368.38207185010936</v>
      </c>
      <c r="AR85">
        <v>-256.56644465207046</v>
      </c>
      <c r="AS85">
        <v>105.84260249017626</v>
      </c>
      <c r="AT85">
        <v>5.0073425252979108E-2</v>
      </c>
      <c r="AU85" t="b">
        <v>1</v>
      </c>
    </row>
    <row r="86" spans="1:47" x14ac:dyDescent="0.25">
      <c r="A86">
        <v>7.1999999999999904</v>
      </c>
      <c r="B86">
        <v>0.1</v>
      </c>
      <c r="C86">
        <v>-564.99195935162743</v>
      </c>
      <c r="D86">
        <v>433.9269079547305</v>
      </c>
      <c r="E86">
        <v>2.1590763513806595</v>
      </c>
      <c r="F86">
        <v>106.84806181020133</v>
      </c>
      <c r="G86">
        <v>100</v>
      </c>
      <c r="H86">
        <v>-0.597606129840481</v>
      </c>
      <c r="I86">
        <v>-34.240309051006648</v>
      </c>
      <c r="J86">
        <v>0</v>
      </c>
      <c r="K86">
        <v>0</v>
      </c>
      <c r="L86">
        <v>0</v>
      </c>
      <c r="M86">
        <v>-34.240309051006648</v>
      </c>
      <c r="N86">
        <v>-559.42986800455867</v>
      </c>
      <c r="O86">
        <v>442.23733152076267</v>
      </c>
      <c r="P86">
        <v>-503.80895453387126</v>
      </c>
      <c r="Q86">
        <v>525.34156718108443</v>
      </c>
      <c r="R86">
        <v>0.83104235660321824</v>
      </c>
      <c r="S86">
        <v>0.55620913470687405</v>
      </c>
      <c r="T86" t="str">
        <v/>
      </c>
      <c r="U86">
        <v>1</v>
      </c>
      <c r="V86">
        <v>0</v>
      </c>
      <c r="W86">
        <v>100</v>
      </c>
      <c r="X86">
        <v>-500</v>
      </c>
      <c r="Y86">
        <v>500</v>
      </c>
      <c r="Z86">
        <v>500</v>
      </c>
      <c r="AA86">
        <v>-400</v>
      </c>
      <c r="AB86">
        <v>-1118.8597360091173</v>
      </c>
      <c r="AC86">
        <v>784.47466304152533</v>
      </c>
      <c r="AD86">
        <v>-638.00483218435875</v>
      </c>
      <c r="AE86">
        <v>82.52802923321336</v>
      </c>
      <c r="AF86">
        <v>1.0270540485513788</v>
      </c>
      <c r="AG86" t="b">
        <v>0</v>
      </c>
      <c r="AH86">
        <v>25000</v>
      </c>
      <c r="AI86">
        <v>2</v>
      </c>
      <c r="AJ86">
        <v>-500</v>
      </c>
      <c r="AK86">
        <v>500</v>
      </c>
      <c r="AL86">
        <v>-500</v>
      </c>
      <c r="AM86">
        <v>1000</v>
      </c>
      <c r="AN86">
        <v>0</v>
      </c>
      <c r="AO86">
        <v>-500</v>
      </c>
      <c r="AP86">
        <v>-618.85973600911734</v>
      </c>
      <c r="AQ86">
        <v>384.47466304152533</v>
      </c>
      <c r="AR86">
        <v>-278.10456735343701</v>
      </c>
      <c r="AS86">
        <v>106.84806181020133</v>
      </c>
      <c r="AT86">
        <v>6.2065193211997403E-2</v>
      </c>
      <c r="AU86" t="b">
        <v>1</v>
      </c>
    </row>
    <row r="87" spans="1:47" x14ac:dyDescent="0.25">
      <c r="A87">
        <v>7.2999999999999901</v>
      </c>
      <c r="B87">
        <v>0.1</v>
      </c>
      <c r="C87">
        <v>-570.03451260595421</v>
      </c>
      <c r="D87">
        <v>442.5624540681664</v>
      </c>
      <c r="E87">
        <v>2.0993157383966112</v>
      </c>
      <c r="F87">
        <v>105.78818074401394</v>
      </c>
      <c r="G87">
        <v>100</v>
      </c>
      <c r="H87">
        <v>-0.50511405841789181</v>
      </c>
      <c r="I87">
        <v>-28.940903720069713</v>
      </c>
      <c r="J87">
        <v>0</v>
      </c>
      <c r="K87">
        <v>0</v>
      </c>
      <c r="L87">
        <v>0</v>
      </c>
      <c r="M87">
        <v>-28.940903720069713</v>
      </c>
      <c r="N87">
        <v>-563.98600988694284</v>
      </c>
      <c r="O87">
        <v>450.52584623847378</v>
      </c>
      <c r="P87">
        <v>-503.50098269682974</v>
      </c>
      <c r="Q87">
        <v>530.15976794154744</v>
      </c>
      <c r="R87">
        <v>0.79633921703073729</v>
      </c>
      <c r="S87">
        <v>0.60485027190113116</v>
      </c>
      <c r="T87" t="str">
        <v/>
      </c>
      <c r="U87">
        <v>1</v>
      </c>
      <c r="V87">
        <v>0</v>
      </c>
      <c r="W87">
        <v>100</v>
      </c>
      <c r="X87">
        <v>-500</v>
      </c>
      <c r="Y87">
        <v>500</v>
      </c>
      <c r="Z87">
        <v>500</v>
      </c>
      <c r="AA87">
        <v>-400</v>
      </c>
      <c r="AB87">
        <v>-1127.9720197738857</v>
      </c>
      <c r="AC87">
        <v>801.05169247694755</v>
      </c>
      <c r="AD87">
        <v>-640.10971727582114</v>
      </c>
      <c r="AE87">
        <v>78.629459102325399</v>
      </c>
      <c r="AF87">
        <v>1.0328539203389249</v>
      </c>
      <c r="AG87" t="b">
        <v>0</v>
      </c>
      <c r="AH87">
        <v>25000</v>
      </c>
      <c r="AI87">
        <v>2</v>
      </c>
      <c r="AJ87">
        <v>-500</v>
      </c>
      <c r="AK87">
        <v>500</v>
      </c>
      <c r="AL87">
        <v>-500</v>
      </c>
      <c r="AM87">
        <v>1000</v>
      </c>
      <c r="AN87">
        <v>0</v>
      </c>
      <c r="AO87">
        <v>-500</v>
      </c>
      <c r="AP87">
        <v>-627.97201977388568</v>
      </c>
      <c r="AQ87">
        <v>401.05169247694755</v>
      </c>
      <c r="AR87">
        <v>-302.42513595056556</v>
      </c>
      <c r="AS87">
        <v>105.78818074401394</v>
      </c>
      <c r="AT87">
        <v>6.9538246526535924E-2</v>
      </c>
      <c r="AU87" t="b">
        <v>1</v>
      </c>
    </row>
    <row r="88" spans="1:47" x14ac:dyDescent="0.25">
      <c r="A88">
        <v>7.3999999999999897</v>
      </c>
      <c r="B88">
        <v>0.1</v>
      </c>
      <c r="C88">
        <v>-574.63462632349206</v>
      </c>
      <c r="D88">
        <v>451.44158430629898</v>
      </c>
      <c r="E88">
        <v>2.048804332554822</v>
      </c>
      <c r="F88">
        <v>105.84084308315187</v>
      </c>
      <c r="G88">
        <v>100</v>
      </c>
      <c r="H88">
        <v>-0.50970971446668512</v>
      </c>
      <c r="I88">
        <v>-29.204215415759336</v>
      </c>
      <c r="J88">
        <v>0</v>
      </c>
      <c r="K88">
        <v>0</v>
      </c>
      <c r="L88">
        <v>0</v>
      </c>
      <c r="M88">
        <v>-29.204215415759336</v>
      </c>
      <c r="N88">
        <v>-568.19176693667646</v>
      </c>
      <c r="O88">
        <v>459.08943125310185</v>
      </c>
      <c r="P88">
        <v>-503.76317306852025</v>
      </c>
      <c r="Q88">
        <v>535.5679007211304</v>
      </c>
      <c r="R88">
        <v>0.76478469468028576</v>
      </c>
      <c r="S88">
        <v>0.64428593868156248</v>
      </c>
      <c r="T88" t="str">
        <v/>
      </c>
      <c r="U88">
        <v>1</v>
      </c>
      <c r="V88">
        <v>0</v>
      </c>
      <c r="W88">
        <v>100</v>
      </c>
      <c r="X88">
        <v>-500</v>
      </c>
      <c r="Y88">
        <v>500</v>
      </c>
      <c r="Z88">
        <v>500</v>
      </c>
      <c r="AA88">
        <v>-400</v>
      </c>
      <c r="AB88">
        <v>-1136.3835338733529</v>
      </c>
      <c r="AC88">
        <v>818.1788625062037</v>
      </c>
      <c r="AD88">
        <v>-640.10672281276788</v>
      </c>
      <c r="AE88">
        <v>74.56880149356175</v>
      </c>
      <c r="AF88">
        <v>1.0402962733400758</v>
      </c>
      <c r="AG88" t="b">
        <v>0</v>
      </c>
      <c r="AH88">
        <v>25000</v>
      </c>
      <c r="AI88">
        <v>2</v>
      </c>
      <c r="AJ88">
        <v>-500</v>
      </c>
      <c r="AK88">
        <v>500</v>
      </c>
      <c r="AL88">
        <v>-500</v>
      </c>
      <c r="AM88">
        <v>1000</v>
      </c>
      <c r="AN88">
        <v>0</v>
      </c>
      <c r="AO88">
        <v>-500</v>
      </c>
      <c r="AP88">
        <v>-636.38353387335292</v>
      </c>
      <c r="AQ88">
        <v>418.1788625062037</v>
      </c>
      <c r="AR88">
        <v>-322.14296934078124</v>
      </c>
      <c r="AS88">
        <v>105.84084308315187</v>
      </c>
      <c r="AT88">
        <v>8.0069776230308365E-2</v>
      </c>
      <c r="AU88" t="b">
        <v>1</v>
      </c>
    </row>
    <row r="89" spans="1:47" x14ac:dyDescent="0.25">
      <c r="A89">
        <v>7.4999999999999893</v>
      </c>
      <c r="B89">
        <v>0.1</v>
      </c>
      <c r="C89">
        <v>-578.77638374504852</v>
      </c>
      <c r="D89">
        <v>460.54355362403356</v>
      </c>
      <c r="E89">
        <v>1.9978333611081536</v>
      </c>
      <c r="F89">
        <v>105.43779839346809</v>
      </c>
      <c r="G89">
        <v>100</v>
      </c>
      <c r="H89">
        <v>-0.47453743012838101</v>
      </c>
      <c r="I89">
        <v>-27.188991967340428</v>
      </c>
      <c r="J89">
        <v>0</v>
      </c>
      <c r="K89">
        <v>0</v>
      </c>
      <c r="L89">
        <v>0</v>
      </c>
      <c r="M89">
        <v>-27.188991967340428</v>
      </c>
      <c r="N89">
        <v>-571.9522425329526</v>
      </c>
      <c r="O89">
        <v>467.85321139422871</v>
      </c>
      <c r="P89">
        <v>-503.71083041199347</v>
      </c>
      <c r="Q89">
        <v>540.94978909617998</v>
      </c>
      <c r="R89">
        <v>0.73096577701951337</v>
      </c>
      <c r="S89">
        <v>0.68241412120959144</v>
      </c>
      <c r="T89" t="str">
        <v/>
      </c>
      <c r="U89">
        <v>1</v>
      </c>
      <c r="V89">
        <v>0</v>
      </c>
      <c r="W89">
        <v>100</v>
      </c>
      <c r="X89">
        <v>-500</v>
      </c>
      <c r="Y89">
        <v>500</v>
      </c>
      <c r="Z89">
        <v>500</v>
      </c>
      <c r="AA89">
        <v>-400</v>
      </c>
      <c r="AB89">
        <v>-1143.9044850659052</v>
      </c>
      <c r="AC89">
        <v>835.70642278845742</v>
      </c>
      <c r="AD89">
        <v>-638.44853699359328</v>
      </c>
      <c r="AE89">
        <v>70.25513994797798</v>
      </c>
      <c r="AF89">
        <v>1.0480182858897928</v>
      </c>
      <c r="AG89" t="b">
        <v>0</v>
      </c>
      <c r="AH89">
        <v>25000</v>
      </c>
      <c r="AI89">
        <v>2</v>
      </c>
      <c r="AJ89">
        <v>-500</v>
      </c>
      <c r="AK89">
        <v>500</v>
      </c>
      <c r="AL89">
        <v>-500</v>
      </c>
      <c r="AM89">
        <v>1000</v>
      </c>
      <c r="AN89">
        <v>0</v>
      </c>
      <c r="AO89">
        <v>-500</v>
      </c>
      <c r="AP89">
        <v>-643.90448506590519</v>
      </c>
      <c r="AQ89">
        <v>435.70642278845742</v>
      </c>
      <c r="AR89">
        <v>-341.20706060479574</v>
      </c>
      <c r="AS89">
        <v>105.43779839346809</v>
      </c>
      <c r="AT89">
        <v>8.9849267248273815E-2</v>
      </c>
      <c r="AU89" t="b">
        <v>1</v>
      </c>
    </row>
    <row r="90" spans="1:47" x14ac:dyDescent="0.25">
      <c r="A90">
        <v>7.599999999999989</v>
      </c>
      <c r="B90">
        <v>0.1</v>
      </c>
      <c r="C90">
        <v>-582.48171829091939</v>
      </c>
      <c r="D90">
        <v>469.83174483132336</v>
      </c>
      <c r="E90">
        <v>1.9503796180953155</v>
      </c>
      <c r="F90">
        <v>105.14647476009725</v>
      </c>
      <c r="G90">
        <v>100</v>
      </c>
      <c r="H90">
        <v>-0.4491146471724114</v>
      </c>
      <c r="I90">
        <v>-25.732373800486243</v>
      </c>
      <c r="J90">
        <v>0</v>
      </c>
      <c r="K90">
        <v>0</v>
      </c>
      <c r="L90">
        <v>0</v>
      </c>
      <c r="M90">
        <v>-25.732373800486243</v>
      </c>
      <c r="N90">
        <v>-575.31851868252784</v>
      </c>
      <c r="O90">
        <v>476.8094644710294</v>
      </c>
      <c r="P90">
        <v>-503.68652259861256</v>
      </c>
      <c r="Q90">
        <v>546.58666086808989</v>
      </c>
      <c r="R90">
        <v>0.69777196397060448</v>
      </c>
      <c r="S90">
        <v>0.71631996083915284</v>
      </c>
      <c r="T90" t="str">
        <v/>
      </c>
      <c r="U90">
        <v>1</v>
      </c>
      <c r="V90">
        <v>0</v>
      </c>
      <c r="W90">
        <v>100</v>
      </c>
      <c r="X90">
        <v>-500</v>
      </c>
      <c r="Y90">
        <v>500</v>
      </c>
      <c r="Z90">
        <v>500</v>
      </c>
      <c r="AA90">
        <v>-400</v>
      </c>
      <c r="AB90">
        <v>-1150.6370373650557</v>
      </c>
      <c r="AC90">
        <v>853.6189289420588</v>
      </c>
      <c r="AD90">
        <v>-635.41396632096337</v>
      </c>
      <c r="AE90">
        <v>65.662194174091042</v>
      </c>
      <c r="AF90">
        <v>1.0565667566462602</v>
      </c>
      <c r="AG90" t="b">
        <v>0</v>
      </c>
      <c r="AH90">
        <v>25000</v>
      </c>
      <c r="AI90">
        <v>2</v>
      </c>
      <c r="AJ90">
        <v>-500</v>
      </c>
      <c r="AK90">
        <v>500</v>
      </c>
      <c r="AL90">
        <v>-500</v>
      </c>
      <c r="AM90">
        <v>1000</v>
      </c>
      <c r="AN90">
        <v>0</v>
      </c>
      <c r="AO90">
        <v>-500</v>
      </c>
      <c r="AP90">
        <v>-650.63703736505568</v>
      </c>
      <c r="AQ90">
        <v>453.6189289420588</v>
      </c>
      <c r="AR90">
        <v>-358.15998041957641</v>
      </c>
      <c r="AS90">
        <v>105.14647476009725</v>
      </c>
      <c r="AT90">
        <v>0.10035545333793611</v>
      </c>
      <c r="AU90" t="b">
        <v>1</v>
      </c>
    </row>
    <row r="91" spans="1:47" x14ac:dyDescent="0.25">
      <c r="A91">
        <v>7.6999999999999886</v>
      </c>
      <c r="B91">
        <v>0.1</v>
      </c>
      <c r="C91">
        <v>-585.7663105090935</v>
      </c>
      <c r="D91">
        <v>479.27692635209416</v>
      </c>
      <c r="E91">
        <v>1.9054681533780744</v>
      </c>
      <c r="F91">
        <v>104.82585345117552</v>
      </c>
      <c r="G91">
        <v>100</v>
      </c>
      <c r="H91">
        <v>-0.42113515970872106</v>
      </c>
      <c r="I91">
        <v>-24.129267255877593</v>
      </c>
      <c r="J91">
        <v>0</v>
      </c>
      <c r="K91">
        <v>0</v>
      </c>
      <c r="L91">
        <v>0</v>
      </c>
      <c r="M91">
        <v>-24.129267255877593</v>
      </c>
      <c r="N91">
        <v>-578.29705964517007</v>
      </c>
      <c r="O91">
        <v>485.92600835879097</v>
      </c>
      <c r="P91">
        <v>-503.60455100593606</v>
      </c>
      <c r="Q91">
        <v>552.41682842575926</v>
      </c>
      <c r="R91">
        <v>0.66490820066968281</v>
      </c>
      <c r="S91">
        <v>0.74692508639234023</v>
      </c>
      <c r="T91" t="str">
        <v/>
      </c>
      <c r="U91">
        <v>1</v>
      </c>
      <c r="V91">
        <v>0</v>
      </c>
      <c r="W91">
        <v>100</v>
      </c>
      <c r="X91">
        <v>-500</v>
      </c>
      <c r="Y91">
        <v>500</v>
      </c>
      <c r="Z91">
        <v>500</v>
      </c>
      <c r="AA91">
        <v>-400</v>
      </c>
      <c r="AB91">
        <v>-1156.5941192903401</v>
      </c>
      <c r="AC91">
        <v>871.85201671758193</v>
      </c>
      <c r="AD91">
        <v>-631.22413489177757</v>
      </c>
      <c r="AE91">
        <v>60.764184318219407</v>
      </c>
      <c r="AF91">
        <v>1.065821532047448</v>
      </c>
      <c r="AG91" t="b">
        <v>0</v>
      </c>
      <c r="AH91">
        <v>25000</v>
      </c>
      <c r="AI91">
        <v>2</v>
      </c>
      <c r="AJ91">
        <v>-500</v>
      </c>
      <c r="AK91">
        <v>500</v>
      </c>
      <c r="AL91">
        <v>-500</v>
      </c>
      <c r="AM91">
        <v>1000</v>
      </c>
      <c r="AN91">
        <v>0</v>
      </c>
      <c r="AO91">
        <v>-500</v>
      </c>
      <c r="AP91">
        <v>-656.59411929034013</v>
      </c>
      <c r="AQ91">
        <v>471.85201671758193</v>
      </c>
      <c r="AR91">
        <v>-373.46254319617009</v>
      </c>
      <c r="AS91">
        <v>104.82585345117552</v>
      </c>
      <c r="AT91">
        <v>0.11125115592135187</v>
      </c>
      <c r="AU91" t="b">
        <v>1</v>
      </c>
    </row>
    <row r="92" spans="1:47" x14ac:dyDescent="0.25">
      <c r="A92">
        <v>7.7999999999999883</v>
      </c>
      <c r="B92">
        <v>0.1</v>
      </c>
      <c r="C92">
        <v>-588.65033823044496</v>
      </c>
      <c r="D92">
        <v>488.85201821079067</v>
      </c>
      <c r="E92">
        <v>1.8633546374072023</v>
      </c>
      <c r="F92">
        <v>104.49742468605723</v>
      </c>
      <c r="G92">
        <v>100</v>
      </c>
      <c r="H92">
        <v>-0.39247434316085483</v>
      </c>
      <c r="I92">
        <v>-22.487123430286147</v>
      </c>
      <c r="J92">
        <v>0</v>
      </c>
      <c r="K92">
        <v>0</v>
      </c>
      <c r="L92">
        <v>0</v>
      </c>
      <c r="M92">
        <v>-22.487123430286147</v>
      </c>
      <c r="N92">
        <v>-580.90777646772256</v>
      </c>
      <c r="O92">
        <v>495.18074141143944</v>
      </c>
      <c r="P92">
        <v>-503.48215884049904</v>
      </c>
      <c r="Q92">
        <v>558.46797341792694</v>
      </c>
      <c r="R92">
        <v>0.63287232006487493</v>
      </c>
      <c r="S92">
        <v>0.7742561762722352</v>
      </c>
      <c r="T92" t="str">
        <v/>
      </c>
      <c r="U92">
        <v>1</v>
      </c>
      <c r="V92">
        <v>0</v>
      </c>
      <c r="W92">
        <v>100</v>
      </c>
      <c r="X92">
        <v>-500</v>
      </c>
      <c r="Y92">
        <v>500</v>
      </c>
      <c r="Z92">
        <v>500</v>
      </c>
      <c r="AA92">
        <v>-400</v>
      </c>
      <c r="AB92">
        <v>-1161.8155529354451</v>
      </c>
      <c r="AC92">
        <v>890.36148282287888</v>
      </c>
      <c r="AD92">
        <v>-626.13863054133151</v>
      </c>
      <c r="AE92">
        <v>55.535209273553932</v>
      </c>
      <c r="AF92">
        <v>1.0758185953742048</v>
      </c>
      <c r="AG92" t="b">
        <v>0</v>
      </c>
      <c r="AH92">
        <v>25000</v>
      </c>
      <c r="AI92">
        <v>2</v>
      </c>
      <c r="AJ92">
        <v>-500</v>
      </c>
      <c r="AK92">
        <v>500</v>
      </c>
      <c r="AL92">
        <v>-500</v>
      </c>
      <c r="AM92">
        <v>1000</v>
      </c>
      <c r="AN92">
        <v>0</v>
      </c>
      <c r="AO92">
        <v>-500</v>
      </c>
      <c r="AP92">
        <v>-661.81555293544511</v>
      </c>
      <c r="AQ92">
        <v>490.36148282287888</v>
      </c>
      <c r="AR92">
        <v>-387.12808813611758</v>
      </c>
      <c r="AS92">
        <v>104.49742468605723</v>
      </c>
      <c r="AT92">
        <v>0.12262853802661805</v>
      </c>
      <c r="AU92" t="b">
        <v>1</v>
      </c>
    </row>
    <row r="93" spans="1:47" x14ac:dyDescent="0.25">
      <c r="A93">
        <v>7.8999999999999879</v>
      </c>
      <c r="B93">
        <v>0.1</v>
      </c>
      <c r="C93">
        <v>-591.15644369600591</v>
      </c>
      <c r="D93">
        <v>498.53289809825367</v>
      </c>
      <c r="E93">
        <v>1.8241072030911167</v>
      </c>
      <c r="F93">
        <v>104.16072270529425</v>
      </c>
      <c r="G93">
        <v>100</v>
      </c>
      <c r="H93">
        <v>-0.36309155234935164</v>
      </c>
      <c r="I93">
        <v>-20.803613526471239</v>
      </c>
      <c r="J93">
        <v>0</v>
      </c>
      <c r="K93">
        <v>0</v>
      </c>
      <c r="L93">
        <v>0</v>
      </c>
      <c r="M93">
        <v>-20.803613526471239</v>
      </c>
      <c r="N93">
        <v>-583.17152195270842</v>
      </c>
      <c r="O93">
        <v>504.55294998784854</v>
      </c>
      <c r="P93">
        <v>-503.32230451973356</v>
      </c>
      <c r="Q93">
        <v>564.7534688837975</v>
      </c>
      <c r="R93">
        <v>0.60200518895948929</v>
      </c>
      <c r="S93">
        <v>0.79849217432974851</v>
      </c>
      <c r="T93" t="str">
        <v/>
      </c>
      <c r="U93">
        <v>1</v>
      </c>
      <c r="V93">
        <v>0</v>
      </c>
      <c r="W93">
        <v>100</v>
      </c>
      <c r="X93">
        <v>-500</v>
      </c>
      <c r="Y93">
        <v>500</v>
      </c>
      <c r="Z93">
        <v>500</v>
      </c>
      <c r="AA93">
        <v>-400</v>
      </c>
      <c r="AB93">
        <v>-1166.3430439054168</v>
      </c>
      <c r="AC93">
        <v>909.10589997569707</v>
      </c>
      <c r="AD93">
        <v>-620.39946421164404</v>
      </c>
      <c r="AE93">
        <v>49.95512661594821</v>
      </c>
      <c r="AF93">
        <v>1.086565488564444</v>
      </c>
      <c r="AG93" t="b">
        <v>0</v>
      </c>
      <c r="AH93">
        <v>25000</v>
      </c>
      <c r="AI93">
        <v>2</v>
      </c>
      <c r="AJ93">
        <v>-500</v>
      </c>
      <c r="AK93">
        <v>500</v>
      </c>
      <c r="AL93">
        <v>-500</v>
      </c>
      <c r="AM93">
        <v>1000</v>
      </c>
      <c r="AN93">
        <v>0</v>
      </c>
      <c r="AO93">
        <v>-500</v>
      </c>
      <c r="AP93">
        <v>-666.34304390541683</v>
      </c>
      <c r="AQ93">
        <v>509.10589997569707</v>
      </c>
      <c r="AR93">
        <v>-399.24608716487427</v>
      </c>
      <c r="AS93">
        <v>104.16072270529425</v>
      </c>
      <c r="AT93">
        <v>0.13451649108441233</v>
      </c>
      <c r="AU93" t="b">
        <v>1</v>
      </c>
    </row>
    <row r="94" spans="1:47" x14ac:dyDescent="0.25">
      <c r="A94">
        <v>7.9999999999999876</v>
      </c>
      <c r="B94">
        <v>0.1</v>
      </c>
      <c r="C94">
        <v>-593.30947003390634</v>
      </c>
      <c r="D94">
        <v>508.29837184960371</v>
      </c>
      <c r="E94">
        <v>1.7877980478561817</v>
      </c>
      <c r="F94">
        <v>103.81710671567316</v>
      </c>
      <c r="G94">
        <v>100</v>
      </c>
      <c r="H94">
        <v>-0.3331054004424186</v>
      </c>
      <c r="I94">
        <v>-19.085533578365812</v>
      </c>
      <c r="J94">
        <v>0</v>
      </c>
      <c r="K94">
        <v>0</v>
      </c>
      <c r="L94">
        <v>0</v>
      </c>
      <c r="M94">
        <v>-19.085533578365812</v>
      </c>
      <c r="N94">
        <v>-585.11127621871799</v>
      </c>
      <c r="O94">
        <v>514.02459382998552</v>
      </c>
      <c r="P94">
        <v>-503.12933806683452</v>
      </c>
      <c r="Q94">
        <v>571.28681363380349</v>
      </c>
      <c r="R94">
        <v>0.57262219803817938</v>
      </c>
      <c r="S94">
        <v>0.81981938151883438</v>
      </c>
      <c r="T94" t="str">
        <v/>
      </c>
      <c r="U94">
        <v>1</v>
      </c>
      <c r="V94">
        <v>0</v>
      </c>
      <c r="W94">
        <v>100</v>
      </c>
      <c r="X94">
        <v>-500</v>
      </c>
      <c r="Y94">
        <v>500</v>
      </c>
      <c r="Z94">
        <v>500</v>
      </c>
      <c r="AA94">
        <v>-400</v>
      </c>
      <c r="AB94">
        <v>-1170.222552437436</v>
      </c>
      <c r="AC94">
        <v>928.04918765997104</v>
      </c>
      <c r="AD94">
        <v>-614.2388516266235</v>
      </c>
      <c r="AE94">
        <v>44.009286454134063</v>
      </c>
      <c r="AF94">
        <v>1.0980632204336092</v>
      </c>
      <c r="AG94" t="b">
        <v>0</v>
      </c>
      <c r="AH94">
        <v>25000</v>
      </c>
      <c r="AI94">
        <v>2</v>
      </c>
      <c r="AJ94">
        <v>-500</v>
      </c>
      <c r="AK94">
        <v>500</v>
      </c>
      <c r="AL94">
        <v>-500</v>
      </c>
      <c r="AM94">
        <v>1000</v>
      </c>
      <c r="AN94">
        <v>0</v>
      </c>
      <c r="AO94">
        <v>-500</v>
      </c>
      <c r="AP94">
        <v>-670.22255243743598</v>
      </c>
      <c r="AQ94">
        <v>528.04918765997104</v>
      </c>
      <c r="AR94">
        <v>-409.90969075941717</v>
      </c>
      <c r="AS94">
        <v>103.81710671567316</v>
      </c>
      <c r="AT94">
        <v>0.14694514734295705</v>
      </c>
      <c r="AU94" t="b">
        <v>1</v>
      </c>
    </row>
    <row r="95" spans="1:47" x14ac:dyDescent="0.25">
      <c r="A95">
        <v>8.0999999999999872</v>
      </c>
      <c r="B95">
        <v>0.1</v>
      </c>
      <c r="C95">
        <v>-595.13606894111263</v>
      </c>
      <c r="D95">
        <v>518.13013346348521</v>
      </c>
      <c r="E95">
        <v>1.7544875078119397</v>
      </c>
      <c r="F95">
        <v>103.46857116322622</v>
      </c>
      <c r="G95">
        <v>100</v>
      </c>
      <c r="H95">
        <v>-0.30268993569013564</v>
      </c>
      <c r="I95">
        <v>-17.342855816131078</v>
      </c>
      <c r="J95">
        <v>0</v>
      </c>
      <c r="K95">
        <v>0</v>
      </c>
      <c r="L95">
        <v>0</v>
      </c>
      <c r="M95">
        <v>-17.342855816131078</v>
      </c>
      <c r="N95">
        <v>-586.75171475688148</v>
      </c>
      <c r="O95">
        <v>523.58014308855616</v>
      </c>
      <c r="P95">
        <v>-502.90817291456995</v>
      </c>
      <c r="Q95">
        <v>578.08023933926518</v>
      </c>
      <c r="R95">
        <v>0.5450009625070904</v>
      </c>
      <c r="S95">
        <v>0.83843541842311564</v>
      </c>
      <c r="T95" t="str">
        <v/>
      </c>
      <c r="U95">
        <v>1</v>
      </c>
      <c r="V95">
        <v>0</v>
      </c>
      <c r="W95">
        <v>100</v>
      </c>
      <c r="X95">
        <v>-500</v>
      </c>
      <c r="Y95">
        <v>500</v>
      </c>
      <c r="Z95">
        <v>500</v>
      </c>
      <c r="AA95">
        <v>-400</v>
      </c>
      <c r="AB95">
        <v>-1173.503429513763</v>
      </c>
      <c r="AC95">
        <v>947.16028617711231</v>
      </c>
      <c r="AD95">
        <v>-607.87464862279148</v>
      </c>
      <c r="AE95">
        <v>37.689701997576485</v>
      </c>
      <c r="AF95">
        <v>1.1103026673846017</v>
      </c>
      <c r="AG95" t="b">
        <v>0</v>
      </c>
      <c r="AH95">
        <v>25000</v>
      </c>
      <c r="AI95">
        <v>2</v>
      </c>
      <c r="AJ95">
        <v>-500</v>
      </c>
      <c r="AK95">
        <v>500</v>
      </c>
      <c r="AL95">
        <v>-500</v>
      </c>
      <c r="AM95">
        <v>1000</v>
      </c>
      <c r="AN95">
        <v>0</v>
      </c>
      <c r="AO95">
        <v>-500</v>
      </c>
      <c r="AP95">
        <v>-673.50342951376297</v>
      </c>
      <c r="AQ95">
        <v>547.16028617711231</v>
      </c>
      <c r="AR95">
        <v>-419.2177092115578</v>
      </c>
      <c r="AS95">
        <v>103.46857116322622</v>
      </c>
      <c r="AT95">
        <v>0.15994122792349563</v>
      </c>
      <c r="AU95" t="b">
        <v>1</v>
      </c>
    </row>
    <row r="96" spans="1:47" x14ac:dyDescent="0.25">
      <c r="A96">
        <v>8.1999999999999869</v>
      </c>
      <c r="B96">
        <v>0.1</v>
      </c>
      <c r="C96">
        <v>-596.66427904890463</v>
      </c>
      <c r="D96">
        <v>528.0126723005676</v>
      </c>
      <c r="E96">
        <v>1.7242185142429263</v>
      </c>
      <c r="F96">
        <v>103.11777168789176</v>
      </c>
      <c r="G96">
        <v>100</v>
      </c>
      <c r="H96">
        <v>-0.27207690639586124</v>
      </c>
      <c r="I96">
        <v>-15.588858439458804</v>
      </c>
      <c r="J96">
        <v>0</v>
      </c>
      <c r="K96">
        <v>0</v>
      </c>
      <c r="L96">
        <v>0</v>
      </c>
      <c r="M96">
        <v>-15.588858439458804</v>
      </c>
      <c r="N96">
        <v>-588.11882437750114</v>
      </c>
      <c r="O96">
        <v>533.20643822318948</v>
      </c>
      <c r="P96">
        <v>-502.66427766346641</v>
      </c>
      <c r="Q96">
        <v>585.14409744940849</v>
      </c>
      <c r="R96">
        <v>0.51937659226219068</v>
      </c>
      <c r="S96">
        <v>0.85454546714034718</v>
      </c>
      <c r="T96" t="str">
        <v/>
      </c>
      <c r="U96">
        <v>1</v>
      </c>
      <c r="V96">
        <v>0</v>
      </c>
      <c r="W96">
        <v>100</v>
      </c>
      <c r="X96">
        <v>-500</v>
      </c>
      <c r="Y96">
        <v>500</v>
      </c>
      <c r="Z96">
        <v>500</v>
      </c>
      <c r="AA96">
        <v>-400</v>
      </c>
      <c r="AB96">
        <v>-1176.2376487550023</v>
      </c>
      <c r="AC96">
        <v>966.41287644637896</v>
      </c>
      <c r="AD96">
        <v>-601.50648298723422</v>
      </c>
      <c r="AE96">
        <v>30.996026089051146</v>
      </c>
      <c r="AF96">
        <v>1.123262621567477</v>
      </c>
      <c r="AG96" t="b">
        <v>0</v>
      </c>
      <c r="AH96">
        <v>25000</v>
      </c>
      <c r="AI96">
        <v>2</v>
      </c>
      <c r="AJ96">
        <v>-500</v>
      </c>
      <c r="AK96">
        <v>500</v>
      </c>
      <c r="AL96">
        <v>-500</v>
      </c>
      <c r="AM96">
        <v>1000</v>
      </c>
      <c r="AN96">
        <v>0</v>
      </c>
      <c r="AO96">
        <v>-500</v>
      </c>
      <c r="AP96">
        <v>-676.23764875500228</v>
      </c>
      <c r="AQ96">
        <v>566.41287644637896</v>
      </c>
      <c r="AR96">
        <v>-427.27273357017361</v>
      </c>
      <c r="AS96">
        <v>103.11777168789176</v>
      </c>
      <c r="AT96">
        <v>0.17352679016823461</v>
      </c>
      <c r="AU96" t="b">
        <v>1</v>
      </c>
    </row>
    <row r="97" spans="1:47" x14ac:dyDescent="0.25">
      <c r="A97">
        <v>8.2999999999999865</v>
      </c>
      <c r="B97">
        <v>0.1</v>
      </c>
      <c r="C97">
        <v>-597.92307566931891</v>
      </c>
      <c r="D97">
        <v>537.93312748510596</v>
      </c>
      <c r="E97">
        <v>1.6970108236033401</v>
      </c>
      <c r="F97">
        <v>102.76802950094178</v>
      </c>
      <c r="G97">
        <v>100</v>
      </c>
      <c r="H97">
        <v>-0.24155614291884764</v>
      </c>
      <c r="I97">
        <v>-13.840147504708895</v>
      </c>
      <c r="J97">
        <v>0</v>
      </c>
      <c r="K97">
        <v>0</v>
      </c>
      <c r="L97">
        <v>0</v>
      </c>
      <c r="M97">
        <v>-13.840147504708895</v>
      </c>
      <c r="N97">
        <v>-589.23949078247813</v>
      </c>
      <c r="O97">
        <v>542.89249775894427</v>
      </c>
      <c r="P97">
        <v>-502.4036419140707</v>
      </c>
      <c r="Q97">
        <v>592.48620049732745</v>
      </c>
      <c r="R97">
        <v>0.49593702738383116</v>
      </c>
      <c r="S97">
        <v>0.86835848868407395</v>
      </c>
      <c r="T97" t="str">
        <v/>
      </c>
      <c r="U97">
        <v>1</v>
      </c>
      <c r="V97">
        <v>0</v>
      </c>
      <c r="W97">
        <v>100</v>
      </c>
      <c r="X97">
        <v>-500</v>
      </c>
      <c r="Y97">
        <v>500</v>
      </c>
      <c r="Z97">
        <v>500</v>
      </c>
      <c r="AA97">
        <v>-400</v>
      </c>
      <c r="AB97">
        <v>-1178.4789815649563</v>
      </c>
      <c r="AC97">
        <v>985.78499551788855</v>
      </c>
      <c r="AD97">
        <v>-595.3119091655451</v>
      </c>
      <c r="AE97">
        <v>23.93627141357349</v>
      </c>
      <c r="AF97">
        <v>1.1369084526261113</v>
      </c>
      <c r="AG97" t="b">
        <v>0</v>
      </c>
      <c r="AH97">
        <v>25000</v>
      </c>
      <c r="AI97">
        <v>2</v>
      </c>
      <c r="AJ97">
        <v>-500</v>
      </c>
      <c r="AK97">
        <v>500</v>
      </c>
      <c r="AL97">
        <v>-500</v>
      </c>
      <c r="AM97">
        <v>1000</v>
      </c>
      <c r="AN97">
        <v>0</v>
      </c>
      <c r="AO97">
        <v>-500</v>
      </c>
      <c r="AP97">
        <v>-678.47898156495626</v>
      </c>
      <c r="AQ97">
        <v>585.78499551788855</v>
      </c>
      <c r="AR97">
        <v>-434.17924434203695</v>
      </c>
      <c r="AS97">
        <v>102.76802950094178</v>
      </c>
      <c r="AT97">
        <v>0.18771793763947042</v>
      </c>
      <c r="AU97" t="b">
        <v>1</v>
      </c>
    </row>
    <row r="98" spans="1:47" x14ac:dyDescent="0.25">
      <c r="A98">
        <v>8.3999999999999861</v>
      </c>
      <c r="B98">
        <v>0.1</v>
      </c>
      <c r="C98">
        <v>-598.94189367214472</v>
      </c>
      <c r="D98">
        <v>547.88109259748535</v>
      </c>
      <c r="E98">
        <v>1.6728552093114553</v>
      </c>
      <c r="F98">
        <v>102.42328236862497</v>
      </c>
      <c r="G98">
        <v>100</v>
      </c>
      <c r="H98">
        <v>-0.21147128019016306</v>
      </c>
      <c r="I98">
        <v>-12.116411843124837</v>
      </c>
      <c r="J98">
        <v>0</v>
      </c>
      <c r="K98">
        <v>0</v>
      </c>
      <c r="L98">
        <v>0</v>
      </c>
      <c r="M98">
        <v>-12.116411843124837</v>
      </c>
      <c r="N98">
        <v>-590.14105708495777</v>
      </c>
      <c r="O98">
        <v>552.62927913190367</v>
      </c>
      <c r="P98">
        <v>-502.13269121308798</v>
      </c>
      <c r="Q98">
        <v>600.11114447608645</v>
      </c>
      <c r="R98">
        <v>0.47481865344182778</v>
      </c>
      <c r="S98">
        <v>0.88008365871869787</v>
      </c>
      <c r="T98" t="str">
        <v/>
      </c>
      <c r="U98">
        <v>1</v>
      </c>
      <c r="V98">
        <v>0</v>
      </c>
      <c r="W98">
        <v>100</v>
      </c>
      <c r="X98">
        <v>-500</v>
      </c>
      <c r="Y98">
        <v>500</v>
      </c>
      <c r="Z98">
        <v>500</v>
      </c>
      <c r="AA98">
        <v>-400</v>
      </c>
      <c r="AB98">
        <v>-1180.2821141699155</v>
      </c>
      <c r="AC98">
        <v>1005.2585582638073</v>
      </c>
      <c r="AD98">
        <v>-589.44279020839303</v>
      </c>
      <c r="AE98">
        <v>16.527105649366163</v>
      </c>
      <c r="AF98">
        <v>1.1511916429540663</v>
      </c>
      <c r="AG98" t="b">
        <v>0</v>
      </c>
      <c r="AH98">
        <v>25000</v>
      </c>
      <c r="AI98">
        <v>2</v>
      </c>
      <c r="AJ98">
        <v>-500</v>
      </c>
      <c r="AK98">
        <v>500</v>
      </c>
      <c r="AL98">
        <v>-500</v>
      </c>
      <c r="AM98">
        <v>1000</v>
      </c>
      <c r="AN98">
        <v>0</v>
      </c>
      <c r="AO98">
        <v>-500</v>
      </c>
      <c r="AP98">
        <v>-680.28211416991553</v>
      </c>
      <c r="AQ98">
        <v>605.25855826380734</v>
      </c>
      <c r="AR98">
        <v>-440.04182935934892</v>
      </c>
      <c r="AS98">
        <v>102.42328236862497</v>
      </c>
      <c r="AT98">
        <v>0.20252352829453257</v>
      </c>
      <c r="AU98" t="b">
        <v>1</v>
      </c>
    </row>
    <row r="99" spans="1:47" x14ac:dyDescent="0.25">
      <c r="A99">
        <v>8.4999999999999858</v>
      </c>
      <c r="B99">
        <v>0.1</v>
      </c>
      <c r="C99">
        <v>-599.75012866280213</v>
      </c>
      <c r="D99">
        <v>557.84837689160861</v>
      </c>
      <c r="E99">
        <v>1.651708081292439</v>
      </c>
      <c r="F99">
        <v>102.08796714071899</v>
      </c>
      <c r="G99">
        <v>100</v>
      </c>
      <c r="H99">
        <v>-0.18220950639499048</v>
      </c>
      <c r="I99">
        <v>-10.439835703594937</v>
      </c>
      <c r="J99">
        <v>0</v>
      </c>
      <c r="K99">
        <v>0</v>
      </c>
      <c r="L99">
        <v>0</v>
      </c>
      <c r="M99">
        <v>-10.439835703594937</v>
      </c>
      <c r="N99">
        <v>-590.85085684912269</v>
      </c>
      <c r="O99">
        <v>562.40940322197025</v>
      </c>
      <c r="P99">
        <v>-501.85813871232892</v>
      </c>
      <c r="Q99">
        <v>608.01966652558622</v>
      </c>
      <c r="R99">
        <v>0.45610263303615972</v>
      </c>
      <c r="S99">
        <v>0.88992718136793769</v>
      </c>
      <c r="T99" t="str">
        <v/>
      </c>
      <c r="U99">
        <v>1</v>
      </c>
      <c r="V99">
        <v>0</v>
      </c>
      <c r="W99">
        <v>100</v>
      </c>
      <c r="X99">
        <v>-500</v>
      </c>
      <c r="Y99">
        <v>500</v>
      </c>
      <c r="Z99">
        <v>500</v>
      </c>
      <c r="AA99">
        <v>-400</v>
      </c>
      <c r="AB99">
        <v>-1181.7017136982454</v>
      </c>
      <c r="AC99">
        <v>1024.8188064439405</v>
      </c>
      <c r="AD99">
        <v>-584.02218906525491</v>
      </c>
      <c r="AE99">
        <v>8.7935719306893319</v>
      </c>
      <c r="AF99">
        <v>1.1660504363333764</v>
      </c>
      <c r="AG99" t="b">
        <v>0</v>
      </c>
      <c r="AH99">
        <v>25000</v>
      </c>
      <c r="AI99">
        <v>2</v>
      </c>
      <c r="AJ99">
        <v>-500</v>
      </c>
      <c r="AK99">
        <v>500</v>
      </c>
      <c r="AL99">
        <v>-500</v>
      </c>
      <c r="AM99">
        <v>1000</v>
      </c>
      <c r="AN99">
        <v>0</v>
      </c>
      <c r="AO99">
        <v>-500</v>
      </c>
      <c r="AP99">
        <v>-681.70171369824538</v>
      </c>
      <c r="AQ99">
        <v>624.8188064439405</v>
      </c>
      <c r="AR99">
        <v>-444.96359068396885</v>
      </c>
      <c r="AS99">
        <v>102.08796714071899</v>
      </c>
      <c r="AT99">
        <v>0.21794398767232226</v>
      </c>
      <c r="AU99" t="b">
        <v>1</v>
      </c>
    </row>
    <row r="100" spans="1:47" x14ac:dyDescent="0.25">
      <c r="A100">
        <v>8.5999999999999854</v>
      </c>
      <c r="B100">
        <v>0.1</v>
      </c>
      <c r="C100">
        <v>-600.37662614300041</v>
      </c>
      <c r="D100">
        <v>567.82873264214697</v>
      </c>
      <c r="E100">
        <v>1.6334871306529399</v>
      </c>
      <c r="F100">
        <v>101.76682584754427</v>
      </c>
      <c r="G100">
        <v>100</v>
      </c>
      <c r="H100">
        <v>-0.15418464174493426</v>
      </c>
      <c r="I100">
        <v>-8.8341292377213421</v>
      </c>
      <c r="J100">
        <v>0</v>
      </c>
      <c r="K100">
        <v>0</v>
      </c>
      <c r="L100">
        <v>0</v>
      </c>
      <c r="M100">
        <v>-8.8341292377213421</v>
      </c>
      <c r="N100">
        <v>-591.39572994398702</v>
      </c>
      <c r="O100">
        <v>572.22685763611275</v>
      </c>
      <c r="P100">
        <v>-501.58676795385293</v>
      </c>
      <c r="Q100">
        <v>616.20810757577055</v>
      </c>
      <c r="R100">
        <v>0.43981249939657741</v>
      </c>
      <c r="S100">
        <v>0.89808961990134129</v>
      </c>
      <c r="T100" t="str">
        <v/>
      </c>
      <c r="U100">
        <v>1</v>
      </c>
      <c r="V100">
        <v>0</v>
      </c>
      <c r="W100">
        <v>100</v>
      </c>
      <c r="X100">
        <v>-500</v>
      </c>
      <c r="Y100">
        <v>500</v>
      </c>
      <c r="Z100">
        <v>500</v>
      </c>
      <c r="AA100">
        <v>-400</v>
      </c>
      <c r="AB100">
        <v>-1182.791459887974</v>
      </c>
      <c r="AC100">
        <v>1044.4537152722255</v>
      </c>
      <c r="AD100">
        <v>-579.14209765882515</v>
      </c>
      <c r="AE100">
        <v>0.76814163801384017</v>
      </c>
      <c r="AF100">
        <v>1.1814117398245458</v>
      </c>
      <c r="AG100" t="b">
        <v>0</v>
      </c>
      <c r="AH100">
        <v>25000</v>
      </c>
      <c r="AI100">
        <v>2</v>
      </c>
      <c r="AJ100">
        <v>-500</v>
      </c>
      <c r="AK100">
        <v>500</v>
      </c>
      <c r="AL100">
        <v>-500</v>
      </c>
      <c r="AM100">
        <v>1000</v>
      </c>
      <c r="AN100">
        <v>0</v>
      </c>
      <c r="AO100">
        <v>-500</v>
      </c>
      <c r="AP100">
        <v>-682.79145988797404</v>
      </c>
      <c r="AQ100">
        <v>644.45371527222551</v>
      </c>
      <c r="AR100">
        <v>-449.04480995067064</v>
      </c>
      <c r="AS100">
        <v>101.76682584754427</v>
      </c>
      <c r="AT100">
        <v>0.23397035933555482</v>
      </c>
      <c r="AU100" t="b">
        <v>1</v>
      </c>
    </row>
    <row r="101" spans="1:47" x14ac:dyDescent="0.25">
      <c r="A101">
        <v>8.6999999999999851</v>
      </c>
      <c r="B101">
        <v>0.1</v>
      </c>
      <c r="C101">
        <v>-600.84917349571867</v>
      </c>
      <c r="D101">
        <v>577.81756135223304</v>
      </c>
      <c r="E101">
        <v>1.6180686664784465</v>
      </c>
      <c r="F101">
        <v>101.46463809259446</v>
      </c>
      <c r="G101">
        <v>100</v>
      </c>
      <c r="H101">
        <v>-0.12781378532951412</v>
      </c>
      <c r="I101">
        <v>-7.3231904629722777</v>
      </c>
      <c r="J101">
        <v>0</v>
      </c>
      <c r="K101">
        <v>0</v>
      </c>
      <c r="L101">
        <v>0</v>
      </c>
      <c r="M101">
        <v>-7.3231904629722777</v>
      </c>
      <c r="N101">
        <v>-591.80153513960227</v>
      </c>
      <c r="O101">
        <v>582.07669743563451</v>
      </c>
      <c r="P101">
        <v>-501.32515157843864</v>
      </c>
      <c r="Q101">
        <v>624.66805826964878</v>
      </c>
      <c r="R101">
        <v>0.42591360834014275</v>
      </c>
      <c r="S101">
        <v>0.90476383561163598</v>
      </c>
      <c r="T101" t="str">
        <v/>
      </c>
      <c r="U101">
        <v>1</v>
      </c>
      <c r="V101">
        <v>0</v>
      </c>
      <c r="W101">
        <v>100</v>
      </c>
      <c r="X101">
        <v>-500</v>
      </c>
      <c r="Y101">
        <v>500</v>
      </c>
      <c r="Z101">
        <v>500</v>
      </c>
      <c r="AA101">
        <v>-400</v>
      </c>
      <c r="AB101">
        <v>-1183.6030702792045</v>
      </c>
      <c r="AC101">
        <v>1064.153394871269</v>
      </c>
      <c r="AD101">
        <v>-574.86233841472574</v>
      </c>
      <c r="AE101">
        <v>-7.510901955906836</v>
      </c>
      <c r="AF101">
        <v>1.1971942552042629</v>
      </c>
      <c r="AG101" t="b">
        <v>0</v>
      </c>
      <c r="AH101">
        <v>25000</v>
      </c>
      <c r="AI101">
        <v>2</v>
      </c>
      <c r="AJ101">
        <v>-500</v>
      </c>
      <c r="AK101">
        <v>500</v>
      </c>
      <c r="AL101">
        <v>-500</v>
      </c>
      <c r="AM101">
        <v>1000</v>
      </c>
      <c r="AN101">
        <v>0</v>
      </c>
      <c r="AO101">
        <v>-500</v>
      </c>
      <c r="AP101">
        <v>-683.60307027920453</v>
      </c>
      <c r="AQ101">
        <v>664.15339487126903</v>
      </c>
      <c r="AR101">
        <v>-452.38191780581798</v>
      </c>
      <c r="AS101">
        <v>101.46463809259446</v>
      </c>
      <c r="AT101">
        <v>0.25058373512915627</v>
      </c>
      <c r="AU101" t="b">
        <v>1</v>
      </c>
    </row>
    <row r="102" spans="1:47" x14ac:dyDescent="0.25">
      <c r="A102">
        <v>8.7999999999999847</v>
      </c>
      <c r="B102">
        <v>0.1</v>
      </c>
      <c r="C102">
        <v>-601.19401472569552</v>
      </c>
      <c r="D102">
        <v>587.81161380987544</v>
      </c>
      <c r="E102">
        <v>1.6052872879454951</v>
      </c>
      <c r="F102">
        <v>101.18589669700434</v>
      </c>
      <c r="G102">
        <v>100</v>
      </c>
      <c r="H102">
        <v>-0.1034890097562564</v>
      </c>
      <c r="I102">
        <v>-5.9294834850216915</v>
      </c>
      <c r="J102">
        <v>0</v>
      </c>
      <c r="K102">
        <v>0</v>
      </c>
      <c r="L102">
        <v>0</v>
      </c>
      <c r="M102">
        <v>-5.9294834850216915</v>
      </c>
      <c r="N102">
        <v>-592.09267923874415</v>
      </c>
      <c r="O102">
        <v>591.95476386194446</v>
      </c>
      <c r="P102">
        <v>-501.07932436923039</v>
      </c>
      <c r="Q102">
        <v>633.38626438263475</v>
      </c>
      <c r="R102">
        <v>0.41431500520690251</v>
      </c>
      <c r="S102">
        <v>0.91013354869513752</v>
      </c>
      <c r="T102" t="str">
        <v/>
      </c>
      <c r="U102">
        <v>1</v>
      </c>
      <c r="V102">
        <v>0</v>
      </c>
      <c r="W102">
        <v>100</v>
      </c>
      <c r="X102">
        <v>-500</v>
      </c>
      <c r="Y102">
        <v>500</v>
      </c>
      <c r="Z102">
        <v>500</v>
      </c>
      <c r="AA102">
        <v>-400</v>
      </c>
      <c r="AB102">
        <v>-1184.1853584774883</v>
      </c>
      <c r="AC102">
        <v>1083.9095277238889</v>
      </c>
      <c r="AD102">
        <v>-571.21092208150628</v>
      </c>
      <c r="AE102">
        <v>-16.001637717582572</v>
      </c>
      <c r="AF102">
        <v>1.2133126131191632</v>
      </c>
      <c r="AG102" t="b">
        <v>0</v>
      </c>
      <c r="AH102">
        <v>25000</v>
      </c>
      <c r="AI102">
        <v>2</v>
      </c>
      <c r="AJ102">
        <v>-500</v>
      </c>
      <c r="AK102">
        <v>500</v>
      </c>
      <c r="AL102">
        <v>-500</v>
      </c>
      <c r="AM102">
        <v>1000</v>
      </c>
      <c r="AN102">
        <v>0</v>
      </c>
      <c r="AO102">
        <v>-500</v>
      </c>
      <c r="AP102">
        <v>-684.18535847748831</v>
      </c>
      <c r="AQ102">
        <v>683.90952772388891</v>
      </c>
      <c r="AR102">
        <v>-455.06677434756875</v>
      </c>
      <c r="AS102">
        <v>101.18589669700434</v>
      </c>
      <c r="AT102">
        <v>0.26775519835765782</v>
      </c>
      <c r="AU102" t="b">
        <v>1</v>
      </c>
    </row>
    <row r="103" spans="1:47" x14ac:dyDescent="0.25">
      <c r="A103">
        <v>8.8999999999999844</v>
      </c>
      <c r="B103">
        <v>0.1</v>
      </c>
      <c r="C103">
        <v>-601.43541187656888</v>
      </c>
      <c r="D103">
        <v>597.80869975606743</v>
      </c>
      <c r="E103">
        <v>1.5949383869698694</v>
      </c>
      <c r="F103">
        <v>100.93445891100031</v>
      </c>
      <c r="G103">
        <v>100</v>
      </c>
      <c r="H103">
        <v>-8.1546923607779959E-2</v>
      </c>
      <c r="I103">
        <v>-4.6722945550015282</v>
      </c>
      <c r="J103">
        <v>0</v>
      </c>
      <c r="K103">
        <v>0</v>
      </c>
      <c r="L103">
        <v>0</v>
      </c>
      <c r="M103">
        <v>-4.6722945550015282</v>
      </c>
      <c r="N103">
        <v>-592.29168747638516</v>
      </c>
      <c r="O103">
        <v>601.8574408065034</v>
      </c>
      <c r="P103">
        <v>-500.85444347454825</v>
      </c>
      <c r="Q103">
        <v>642.34485131086319</v>
      </c>
      <c r="R103">
        <v>0.40487410504359767</v>
      </c>
      <c r="S103">
        <v>0.91437244001836904</v>
      </c>
      <c r="T103" t="str">
        <v/>
      </c>
      <c r="U103">
        <v>1</v>
      </c>
      <c r="V103">
        <v>0</v>
      </c>
      <c r="W103">
        <v>100</v>
      </c>
      <c r="X103">
        <v>-500</v>
      </c>
      <c r="Y103">
        <v>500</v>
      </c>
      <c r="Z103">
        <v>500</v>
      </c>
      <c r="AA103">
        <v>-400</v>
      </c>
      <c r="AB103">
        <v>-1184.5833749527703</v>
      </c>
      <c r="AC103">
        <v>1103.7148816130068</v>
      </c>
      <c r="AD103">
        <v>-568.18602852914637</v>
      </c>
      <c r="AE103">
        <v>-24.661017182999682</v>
      </c>
      <c r="AF103">
        <v>1.2296820838626792</v>
      </c>
      <c r="AG103" t="b">
        <v>0</v>
      </c>
      <c r="AH103">
        <v>25000</v>
      </c>
      <c r="AI103">
        <v>2</v>
      </c>
      <c r="AJ103">
        <v>-500</v>
      </c>
      <c r="AK103">
        <v>500</v>
      </c>
      <c r="AL103">
        <v>-500</v>
      </c>
      <c r="AM103">
        <v>1000</v>
      </c>
      <c r="AN103">
        <v>0</v>
      </c>
      <c r="AO103">
        <v>-500</v>
      </c>
      <c r="AP103">
        <v>-684.58337495277033</v>
      </c>
      <c r="AQ103">
        <v>703.71488161300681</v>
      </c>
      <c r="AR103">
        <v>-457.18622000918452</v>
      </c>
      <c r="AS103">
        <v>100.93445891100031</v>
      </c>
      <c r="AT103">
        <v>0.28544637905230885</v>
      </c>
      <c r="AU103" t="b">
        <v>1</v>
      </c>
    </row>
    <row r="104" spans="1:47" x14ac:dyDescent="0.25">
      <c r="A104">
        <v>8.999999999999984</v>
      </c>
      <c r="B104">
        <v>0.1</v>
      </c>
      <c r="C104">
        <v>-601.59527874428761</v>
      </c>
      <c r="D104">
        <v>607.80742180363961</v>
      </c>
      <c r="E104">
        <v>1.5867836946090914</v>
      </c>
      <c r="F104">
        <v>100.71321805495015</v>
      </c>
      <c r="G104">
        <v>100</v>
      </c>
      <c r="H104">
        <v>-6.2240016717749536E-2</v>
      </c>
      <c r="I104">
        <v>-3.566090274750735</v>
      </c>
      <c r="J104">
        <v>0</v>
      </c>
      <c r="K104">
        <v>0</v>
      </c>
      <c r="L104">
        <v>0</v>
      </c>
      <c r="M104">
        <v>-3.566090274750735</v>
      </c>
      <c r="N104">
        <v>-592.41884249492637</v>
      </c>
      <c r="O104">
        <v>611.78146480308112</v>
      </c>
      <c r="P104">
        <v>-500.65448000131437</v>
      </c>
      <c r="Q104">
        <v>651.52189479749575</v>
      </c>
      <c r="R104">
        <v>0.39740429994414617</v>
      </c>
      <c r="S104">
        <v>0.91764362493612028</v>
      </c>
      <c r="T104" t="str">
        <v/>
      </c>
      <c r="U104">
        <v>1</v>
      </c>
      <c r="V104">
        <v>0</v>
      </c>
      <c r="W104">
        <v>100</v>
      </c>
      <c r="X104">
        <v>-500</v>
      </c>
      <c r="Y104">
        <v>500</v>
      </c>
      <c r="Z104">
        <v>500</v>
      </c>
      <c r="AA104">
        <v>-400</v>
      </c>
      <c r="AB104">
        <v>-1184.8376849898527</v>
      </c>
      <c r="AC104">
        <v>1123.5629296061622</v>
      </c>
      <c r="AD104">
        <v>-565.75959994652112</v>
      </c>
      <c r="AE104">
        <v>-33.447413716636447</v>
      </c>
      <c r="AF104">
        <v>1.2462232969251976</v>
      </c>
      <c r="AG104" t="b">
        <v>0</v>
      </c>
      <c r="AH104">
        <v>25000</v>
      </c>
      <c r="AI104">
        <v>2</v>
      </c>
      <c r="AJ104">
        <v>-500</v>
      </c>
      <c r="AK104">
        <v>500</v>
      </c>
      <c r="AL104">
        <v>-500</v>
      </c>
      <c r="AM104">
        <v>1000</v>
      </c>
      <c r="AN104">
        <v>0</v>
      </c>
      <c r="AO104">
        <v>-500</v>
      </c>
      <c r="AP104">
        <v>-684.83768498985273</v>
      </c>
      <c r="AQ104">
        <v>723.56292960616224</v>
      </c>
      <c r="AR104">
        <v>-458.82181246806016</v>
      </c>
      <c r="AS104">
        <v>100.71321805495015</v>
      </c>
      <c r="AT104">
        <v>0.30361066143866139</v>
      </c>
      <c r="AU104" t="b">
        <v>1</v>
      </c>
    </row>
    <row r="105" spans="1:47" x14ac:dyDescent="0.25">
      <c r="A105">
        <v>9.0999999999999837</v>
      </c>
      <c r="B105">
        <v>0.1</v>
      </c>
      <c r="C105">
        <v>-601.69291085459179</v>
      </c>
      <c r="D105">
        <v>617.80694519083352</v>
      </c>
      <c r="E105">
        <v>1.5805596929373165</v>
      </c>
      <c r="F105">
        <v>100.52384568885948</v>
      </c>
      <c r="G105">
        <v>100</v>
      </c>
      <c r="H105">
        <v>-4.5714160214878626E-2</v>
      </c>
      <c r="I105">
        <v>-2.6192284442974056</v>
      </c>
      <c r="J105">
        <v>0</v>
      </c>
      <c r="K105">
        <v>0</v>
      </c>
      <c r="L105">
        <v>0</v>
      </c>
      <c r="M105">
        <v>-2.6192284442974056</v>
      </c>
      <c r="N105">
        <v>-592.49191805337568</v>
      </c>
      <c r="O105">
        <v>621.72379743108581</v>
      </c>
      <c r="P105">
        <v>-500.48199004121443</v>
      </c>
      <c r="Q105">
        <v>660.89231983360821</v>
      </c>
      <c r="R105">
        <v>0.39168522402522427</v>
      </c>
      <c r="S105">
        <v>0.92009928012161268</v>
      </c>
      <c r="T105" t="str">
        <v/>
      </c>
      <c r="U105">
        <v>1</v>
      </c>
      <c r="V105">
        <v>0</v>
      </c>
      <c r="W105">
        <v>100</v>
      </c>
      <c r="X105">
        <v>-500</v>
      </c>
      <c r="Y105">
        <v>500</v>
      </c>
      <c r="Z105">
        <v>500</v>
      </c>
      <c r="AA105">
        <v>-400</v>
      </c>
      <c r="AB105">
        <v>-1184.9838361067514</v>
      </c>
      <c r="AC105">
        <v>1143.4475948621716</v>
      </c>
      <c r="AD105">
        <v>-563.88232406125724</v>
      </c>
      <c r="AE105">
        <v>-42.322893404972305</v>
      </c>
      <c r="AF105">
        <v>1.2628663636159088</v>
      </c>
      <c r="AG105" t="b">
        <v>0</v>
      </c>
      <c r="AH105">
        <v>25000</v>
      </c>
      <c r="AI105">
        <v>2</v>
      </c>
      <c r="AJ105">
        <v>-500</v>
      </c>
      <c r="AK105">
        <v>500</v>
      </c>
      <c r="AL105">
        <v>-500</v>
      </c>
      <c r="AM105">
        <v>1000</v>
      </c>
      <c r="AN105">
        <v>0</v>
      </c>
      <c r="AO105">
        <v>-500</v>
      </c>
      <c r="AP105">
        <v>-684.98383610675137</v>
      </c>
      <c r="AQ105">
        <v>743.44759486217163</v>
      </c>
      <c r="AR105">
        <v>-460.04964006080633</v>
      </c>
      <c r="AS105">
        <v>100.52384568885948</v>
      </c>
      <c r="AT105">
        <v>0.3221950048992076</v>
      </c>
      <c r="AU105" t="b">
        <v>1</v>
      </c>
    </row>
    <row r="106" spans="1:47" x14ac:dyDescent="0.25">
      <c r="A106">
        <v>9.1999999999999833</v>
      </c>
      <c r="B106">
        <v>0.1</v>
      </c>
      <c r="C106">
        <v>-601.74483012254143</v>
      </c>
      <c r="D106">
        <v>627.80681040940601</v>
      </c>
      <c r="E106">
        <v>1.5759882769158287</v>
      </c>
      <c r="F106">
        <v>100.36664889926541</v>
      </c>
      <c r="G106">
        <v>100</v>
      </c>
      <c r="H106">
        <v>-3.1996152454972449E-2</v>
      </c>
      <c r="I106">
        <v>-1.8332444963270689</v>
      </c>
      <c r="J106">
        <v>0</v>
      </c>
      <c r="K106">
        <v>0</v>
      </c>
      <c r="L106">
        <v>0</v>
      </c>
      <c r="M106">
        <v>-1.8332444963270689</v>
      </c>
      <c r="N106">
        <v>-592.52602796289568</v>
      </c>
      <c r="O106">
        <v>631.68156030343926</v>
      </c>
      <c r="P106">
        <v>-500.33800636643798</v>
      </c>
      <c r="Q106">
        <v>670.42905924377146</v>
      </c>
      <c r="R106">
        <v>0.38747498940332248</v>
      </c>
      <c r="S106">
        <v>0.92188021596457703</v>
      </c>
      <c r="T106" t="str">
        <v/>
      </c>
      <c r="U106">
        <v>1</v>
      </c>
      <c r="V106">
        <v>0</v>
      </c>
      <c r="W106">
        <v>100</v>
      </c>
      <c r="X106">
        <v>-500</v>
      </c>
      <c r="Y106">
        <v>500</v>
      </c>
      <c r="Z106">
        <v>500</v>
      </c>
      <c r="AA106">
        <v>-400</v>
      </c>
      <c r="AB106">
        <v>-1185.0520559257914</v>
      </c>
      <c r="AC106">
        <v>1163.3631206068785</v>
      </c>
      <c r="AD106">
        <v>-562.48958108749207</v>
      </c>
      <c r="AE106">
        <v>-51.254938644058129</v>
      </c>
      <c r="AF106">
        <v>1.2795538837386622</v>
      </c>
      <c r="AG106" t="b">
        <v>0</v>
      </c>
      <c r="AH106">
        <v>25000</v>
      </c>
      <c r="AI106">
        <v>2</v>
      </c>
      <c r="AJ106">
        <v>-500</v>
      </c>
      <c r="AK106">
        <v>500</v>
      </c>
      <c r="AL106">
        <v>-500</v>
      </c>
      <c r="AM106">
        <v>1000</v>
      </c>
      <c r="AN106">
        <v>0</v>
      </c>
      <c r="AO106">
        <v>-500</v>
      </c>
      <c r="AP106">
        <v>-685.05205592579136</v>
      </c>
      <c r="AQ106">
        <v>763.36312060687851</v>
      </c>
      <c r="AR106">
        <v>-460.94010798228851</v>
      </c>
      <c r="AS106">
        <v>100.36664889926541</v>
      </c>
      <c r="AT106">
        <v>0.34114225304425821</v>
      </c>
      <c r="AU106" t="b">
        <v>1</v>
      </c>
    </row>
    <row r="107" spans="1:47" x14ac:dyDescent="0.25">
      <c r="A107">
        <v>9.2999999999999829</v>
      </c>
      <c r="B107">
        <v>0.1</v>
      </c>
      <c r="C107">
        <v>-601.76475345811514</v>
      </c>
      <c r="D107">
        <v>637.80679056242127</v>
      </c>
      <c r="E107">
        <v>1.5727886616703315</v>
      </c>
      <c r="F107">
        <v>100.24057040696816</v>
      </c>
      <c r="G107">
        <v>100</v>
      </c>
      <c r="H107">
        <v>-2.0993728422285547E-2</v>
      </c>
      <c r="I107">
        <v>-1.2028520348408023</v>
      </c>
      <c r="J107">
        <v>0</v>
      </c>
      <c r="K107">
        <v>0</v>
      </c>
      <c r="L107">
        <v>0</v>
      </c>
      <c r="M107">
        <v>-1.2028520348408023</v>
      </c>
      <c r="N107">
        <v>-592.53360079966671</v>
      </c>
      <c r="O107">
        <v>641.65202405291586</v>
      </c>
      <c r="P107">
        <v>-500.22207421518283</v>
      </c>
      <c r="Q107">
        <v>680.10435895786179</v>
      </c>
      <c r="R107">
        <v>0.38452334904945923</v>
      </c>
      <c r="S107">
        <v>0.92311526584483894</v>
      </c>
      <c r="T107" t="str">
        <v/>
      </c>
      <c r="U107">
        <v>1</v>
      </c>
      <c r="V107">
        <v>0</v>
      </c>
      <c r="W107">
        <v>100</v>
      </c>
      <c r="X107">
        <v>-500</v>
      </c>
      <c r="Y107">
        <v>500</v>
      </c>
      <c r="Z107">
        <v>500</v>
      </c>
      <c r="AA107">
        <v>-400</v>
      </c>
      <c r="AB107">
        <v>-1185.0672015993334</v>
      </c>
      <c r="AC107">
        <v>1183.3040481058317</v>
      </c>
      <c r="AD107">
        <v>-561.50778086266519</v>
      </c>
      <c r="AE107">
        <v>-60.217458883016235</v>
      </c>
      <c r="AF107">
        <v>1.2962425127299257</v>
      </c>
      <c r="AG107" t="b">
        <v>0</v>
      </c>
      <c r="AH107">
        <v>25000</v>
      </c>
      <c r="AI107">
        <v>2</v>
      </c>
      <c r="AJ107">
        <v>-500</v>
      </c>
      <c r="AK107">
        <v>500</v>
      </c>
      <c r="AL107">
        <v>-500</v>
      </c>
      <c r="AM107">
        <v>1000</v>
      </c>
      <c r="AN107">
        <v>0</v>
      </c>
      <c r="AO107">
        <v>-500</v>
      </c>
      <c r="AP107">
        <v>-685.06720159933343</v>
      </c>
      <c r="AQ107">
        <v>783.30404810583173</v>
      </c>
      <c r="AR107">
        <v>-461.55763292241949</v>
      </c>
      <c r="AS107">
        <v>100.24057040696816</v>
      </c>
      <c r="AT107">
        <v>0.36039372779286272</v>
      </c>
      <c r="AU107" t="b">
        <v>1</v>
      </c>
    </row>
    <row r="108" spans="1:47" x14ac:dyDescent="0.25">
      <c r="A108">
        <v>9.3999999999999826</v>
      </c>
      <c r="B108">
        <v>0.1</v>
      </c>
      <c r="C108">
        <v>-601.76368307844928</v>
      </c>
      <c r="D108">
        <v>647.80679050513561</v>
      </c>
      <c r="E108">
        <v>1.570689288828103</v>
      </c>
      <c r="F108">
        <v>100.14333408964117</v>
      </c>
      <c r="G108">
        <v>100</v>
      </c>
      <c r="H108">
        <v>-1.2508258972935756E-2</v>
      </c>
      <c r="I108">
        <v>-0.71667044820586057</v>
      </c>
      <c r="J108">
        <v>0</v>
      </c>
      <c r="K108">
        <v>0</v>
      </c>
      <c r="L108">
        <v>0</v>
      </c>
      <c r="M108">
        <v>-0.71667044820586057</v>
      </c>
      <c r="N108">
        <v>-592.52447818969699</v>
      </c>
      <c r="O108">
        <v>651.63263590499889</v>
      </c>
      <c r="P108">
        <v>-500.13242930217376</v>
      </c>
      <c r="Q108">
        <v>689.89108990363195</v>
      </c>
      <c r="R108">
        <v>0.38258453998633019</v>
      </c>
      <c r="S108">
        <v>0.92392048887523226</v>
      </c>
      <c r="T108" t="str">
        <v/>
      </c>
      <c r="U108">
        <v>1</v>
      </c>
      <c r="V108">
        <v>0</v>
      </c>
      <c r="W108">
        <v>100</v>
      </c>
      <c r="X108">
        <v>-500</v>
      </c>
      <c r="Y108">
        <v>500</v>
      </c>
      <c r="Z108">
        <v>500</v>
      </c>
      <c r="AA108">
        <v>-400</v>
      </c>
      <c r="AB108">
        <v>-1185.048956379394</v>
      </c>
      <c r="AC108">
        <v>1203.2652718099978</v>
      </c>
      <c r="AD108">
        <v>-560.86046554325799</v>
      </c>
      <c r="AE108">
        <v>-69.191053855136772</v>
      </c>
      <c r="AF108">
        <v>1.312903020986655</v>
      </c>
      <c r="AG108" t="b">
        <v>0</v>
      </c>
      <c r="AH108">
        <v>25000</v>
      </c>
      <c r="AI108">
        <v>2</v>
      </c>
      <c r="AJ108">
        <v>-500</v>
      </c>
      <c r="AK108">
        <v>500</v>
      </c>
      <c r="AL108">
        <v>-500</v>
      </c>
      <c r="AM108">
        <v>1000</v>
      </c>
      <c r="AN108">
        <v>0</v>
      </c>
      <c r="AO108">
        <v>-500</v>
      </c>
      <c r="AP108">
        <v>-685.04895637939399</v>
      </c>
      <c r="AQ108">
        <v>803.26527180999778</v>
      </c>
      <c r="AR108">
        <v>-461.96024443761615</v>
      </c>
      <c r="AS108">
        <v>100.14333408964117</v>
      </c>
      <c r="AT108">
        <v>0.3798918546207633</v>
      </c>
      <c r="AU108" t="b">
        <v>1</v>
      </c>
    </row>
    <row r="109" spans="1:47" x14ac:dyDescent="0.25">
      <c r="A109">
        <v>9.4999999999999822</v>
      </c>
      <c r="B109">
        <v>0.1</v>
      </c>
      <c r="C109">
        <v>-601.75010444398106</v>
      </c>
      <c r="D109">
        <v>657.80678128616569</v>
      </c>
      <c r="E109">
        <v>1.5694384629308094</v>
      </c>
      <c r="F109">
        <v>100.07171156992759</v>
      </c>
      <c r="G109">
        <v>100</v>
      </c>
      <c r="H109">
        <v>-6.2580150350526834E-3</v>
      </c>
      <c r="I109">
        <v>-0.35855784963793269</v>
      </c>
      <c r="J109">
        <v>0</v>
      </c>
      <c r="K109">
        <v>0</v>
      </c>
      <c r="L109">
        <v>0</v>
      </c>
      <c r="M109">
        <v>-0.35855784963793269</v>
      </c>
      <c r="N109">
        <v>-592.50612131764069</v>
      </c>
      <c r="O109">
        <v>661.62106705940494</v>
      </c>
      <c r="P109">
        <v>-500.06629005423741</v>
      </c>
      <c r="Q109">
        <v>699.76392479179731</v>
      </c>
      <c r="R109">
        <v>0.38142857732392399</v>
      </c>
      <c r="S109">
        <v>0.92439831263403294</v>
      </c>
      <c r="T109" t="str">
        <v/>
      </c>
      <c r="U109">
        <v>1</v>
      </c>
      <c r="V109">
        <v>0</v>
      </c>
      <c r="W109">
        <v>100</v>
      </c>
      <c r="X109">
        <v>-500</v>
      </c>
      <c r="Y109">
        <v>500</v>
      </c>
      <c r="Z109">
        <v>500</v>
      </c>
      <c r="AA109">
        <v>-400</v>
      </c>
      <c r="AB109">
        <v>-1185.0122426352814</v>
      </c>
      <c r="AC109">
        <v>1223.2421341188099</v>
      </c>
      <c r="AD109">
        <v>-560.4736137155752</v>
      </c>
      <c r="AE109">
        <v>-78.162618061940663</v>
      </c>
      <c r="AF109">
        <v>1.3295190271303141</v>
      </c>
      <c r="AG109" t="b">
        <v>0</v>
      </c>
      <c r="AH109">
        <v>25000</v>
      </c>
      <c r="AI109">
        <v>2</v>
      </c>
      <c r="AJ109">
        <v>-500</v>
      </c>
      <c r="AK109">
        <v>500</v>
      </c>
      <c r="AL109">
        <v>-500</v>
      </c>
      <c r="AM109">
        <v>1000</v>
      </c>
      <c r="AN109">
        <v>0</v>
      </c>
      <c r="AO109">
        <v>-500</v>
      </c>
      <c r="AP109">
        <v>-685.01224263528138</v>
      </c>
      <c r="AQ109">
        <v>823.24213411880987</v>
      </c>
      <c r="AR109">
        <v>-462.19915631701645</v>
      </c>
      <c r="AS109">
        <v>100.07171156992759</v>
      </c>
      <c r="AT109">
        <v>0.39958255526778502</v>
      </c>
      <c r="AU109" t="b">
        <v>1</v>
      </c>
    </row>
    <row r="110" spans="1:47" x14ac:dyDescent="0.25">
      <c r="A110">
        <v>9.5999999999999819</v>
      </c>
      <c r="B110">
        <v>0.1</v>
      </c>
      <c r="C110">
        <v>-601.7302678033144</v>
      </c>
      <c r="D110">
        <v>667.80676161153065</v>
      </c>
      <c r="E110">
        <v>1.5688126614273041</v>
      </c>
      <c r="F110">
        <v>100.02186424142484</v>
      </c>
      <c r="G110">
        <v>100</v>
      </c>
      <c r="H110">
        <v>-1.9080150065716617E-3</v>
      </c>
      <c r="I110">
        <v>-0.10932120712418225</v>
      </c>
      <c r="J110">
        <v>0</v>
      </c>
      <c r="K110">
        <v>0</v>
      </c>
      <c r="L110">
        <v>0</v>
      </c>
      <c r="M110">
        <v>-0.10932120712418225</v>
      </c>
      <c r="N110">
        <v>-592.48389950145724</v>
      </c>
      <c r="O110">
        <v>671.61526173971902</v>
      </c>
      <c r="P110">
        <v>-500.02021648288547</v>
      </c>
      <c r="Q110">
        <v>709.70026302160272</v>
      </c>
      <c r="R110">
        <v>0.38085001281883685</v>
      </c>
      <c r="S110">
        <v>0.92463683018571774</v>
      </c>
      <c r="T110" t="str">
        <v/>
      </c>
      <c r="U110">
        <v>1</v>
      </c>
      <c r="V110">
        <v>0</v>
      </c>
      <c r="W110">
        <v>100</v>
      </c>
      <c r="X110">
        <v>-500</v>
      </c>
      <c r="Y110">
        <v>500</v>
      </c>
      <c r="Z110">
        <v>500</v>
      </c>
      <c r="AA110">
        <v>-400</v>
      </c>
      <c r="AB110">
        <v>-1184.9677990029145</v>
      </c>
      <c r="AC110">
        <v>1243.230523479438</v>
      </c>
      <c r="AD110">
        <v>-560.2797384837055</v>
      </c>
      <c r="AE110">
        <v>-87.124462507573298</v>
      </c>
      <c r="AF110">
        <v>1.3460847726921885</v>
      </c>
      <c r="AG110" t="b">
        <v>0</v>
      </c>
      <c r="AH110">
        <v>25000</v>
      </c>
      <c r="AI110">
        <v>2</v>
      </c>
      <c r="AJ110">
        <v>-500</v>
      </c>
      <c r="AK110">
        <v>500</v>
      </c>
      <c r="AL110">
        <v>-500</v>
      </c>
      <c r="AM110">
        <v>1000</v>
      </c>
      <c r="AN110">
        <v>0</v>
      </c>
      <c r="AO110">
        <v>-500</v>
      </c>
      <c r="AP110">
        <v>-684.96779900291449</v>
      </c>
      <c r="AQ110">
        <v>843.23052347943803</v>
      </c>
      <c r="AR110">
        <v>-462.31841509285886</v>
      </c>
      <c r="AS110">
        <v>100.02186424142484</v>
      </c>
      <c r="AT110">
        <v>0.41941718003645928</v>
      </c>
      <c r="AU110" t="b">
        <v>1</v>
      </c>
    </row>
    <row r="111" spans="1:47" x14ac:dyDescent="0.25">
      <c r="A111">
        <v>9.6999999999999815</v>
      </c>
      <c r="B111">
        <v>0.1</v>
      </c>
      <c r="C111">
        <v>-601.70852315176785</v>
      </c>
      <c r="D111">
        <v>677.80673797000918</v>
      </c>
      <c r="E111">
        <v>1.568621859926647</v>
      </c>
      <c r="F111">
        <v>99.989705242169364</v>
      </c>
      <c r="G111">
        <v>100</v>
      </c>
      <c r="H111">
        <v>8.9838709920030027E-4</v>
      </c>
      <c r="I111">
        <v>5.1473789153178018E-2</v>
      </c>
      <c r="J111">
        <v>0</v>
      </c>
      <c r="K111">
        <v>0</v>
      </c>
      <c r="L111">
        <v>0</v>
      </c>
      <c r="M111">
        <v>5.1473789153178018E-2</v>
      </c>
      <c r="N111">
        <v>-592.46142835068338</v>
      </c>
      <c r="O111">
        <v>681.61347380793597</v>
      </c>
      <c r="P111">
        <v>-499.9904803398386</v>
      </c>
      <c r="Q111">
        <v>719.68083218720415</v>
      </c>
      <c r="R111">
        <v>0.38067358379268224</v>
      </c>
      <c r="S111">
        <v>0.92470948010844778</v>
      </c>
      <c r="T111" t="str">
        <v/>
      </c>
      <c r="U111">
        <v>1</v>
      </c>
      <c r="V111">
        <v>0</v>
      </c>
      <c r="W111">
        <v>100</v>
      </c>
      <c r="X111">
        <v>-500</v>
      </c>
      <c r="Y111">
        <v>500</v>
      </c>
      <c r="Z111">
        <v>500</v>
      </c>
      <c r="AA111">
        <v>-400</v>
      </c>
      <c r="AB111">
        <v>-1184.9228567013668</v>
      </c>
      <c r="AC111">
        <v>1263.2269476158719</v>
      </c>
      <c r="AD111">
        <v>-560.2205839397202</v>
      </c>
      <c r="AE111">
        <v>-96.073166725137526</v>
      </c>
      <c r="AF111">
        <v>1.3626023928109152</v>
      </c>
      <c r="AG111" t="b">
        <v>0</v>
      </c>
      <c r="AH111">
        <v>25000</v>
      </c>
      <c r="AI111">
        <v>2</v>
      </c>
      <c r="AJ111">
        <v>-500</v>
      </c>
      <c r="AK111">
        <v>500</v>
      </c>
      <c r="AL111">
        <v>-500</v>
      </c>
      <c r="AM111">
        <v>1000</v>
      </c>
      <c r="AN111">
        <v>0</v>
      </c>
      <c r="AO111">
        <v>-500</v>
      </c>
      <c r="AP111">
        <v>-684.92285670136675</v>
      </c>
      <c r="AQ111">
        <v>863.22694761587195</v>
      </c>
      <c r="AR111">
        <v>-462.3547400542239</v>
      </c>
      <c r="AS111">
        <v>99.989705242169364</v>
      </c>
      <c r="AT111">
        <v>0.43935382648969307</v>
      </c>
      <c r="AU111" t="b">
        <v>1</v>
      </c>
    </row>
    <row r="112" spans="1:47" x14ac:dyDescent="0.25">
      <c r="A112">
        <v>9.7999999999999812</v>
      </c>
      <c r="B112">
        <v>0.1</v>
      </c>
      <c r="C112">
        <v>-601.68767688528305</v>
      </c>
      <c r="D112">
        <v>687.80671624164427</v>
      </c>
      <c r="E112">
        <v>1.568711698636567</v>
      </c>
      <c r="F112">
        <v>99.971229249637986</v>
      </c>
      <c r="G112">
        <v>100</v>
      </c>
      <c r="H112">
        <v>2.5107216104324776E-3</v>
      </c>
      <c r="I112">
        <v>0.14385375181007021</v>
      </c>
      <c r="J112">
        <v>0</v>
      </c>
      <c r="K112">
        <v>0</v>
      </c>
      <c r="L112">
        <v>0</v>
      </c>
      <c r="M112">
        <v>0.14385375181007021</v>
      </c>
      <c r="N112">
        <v>-592.44092411375141</v>
      </c>
      <c r="O112">
        <v>691.6142828112753</v>
      </c>
      <c r="P112">
        <v>-499.97339639843511</v>
      </c>
      <c r="Q112">
        <v>729.689948507586</v>
      </c>
      <c r="R112">
        <v>0.38075665696310712</v>
      </c>
      <c r="S112">
        <v>0.924675277153163</v>
      </c>
      <c r="T112" t="str">
        <v/>
      </c>
      <c r="U112">
        <v>1</v>
      </c>
      <c r="V112">
        <v>0</v>
      </c>
      <c r="W112">
        <v>100</v>
      </c>
      <c r="X112">
        <v>-500</v>
      </c>
      <c r="Y112">
        <v>500</v>
      </c>
      <c r="Z112">
        <v>500</v>
      </c>
      <c r="AA112">
        <v>-400</v>
      </c>
      <c r="AB112">
        <v>-1184.8818482275028</v>
      </c>
      <c r="AC112">
        <v>1283.2285656225506</v>
      </c>
      <c r="AD112">
        <v>-560.24843934281876</v>
      </c>
      <c r="AE112">
        <v>-105.00836348450456</v>
      </c>
      <c r="AF112">
        <v>1.3790791234443713</v>
      </c>
      <c r="AG112" t="b">
        <v>0</v>
      </c>
      <c r="AH112">
        <v>25000</v>
      </c>
      <c r="AI112">
        <v>2</v>
      </c>
      <c r="AJ112">
        <v>-500</v>
      </c>
      <c r="AK112">
        <v>500</v>
      </c>
      <c r="AL112">
        <v>-500</v>
      </c>
      <c r="AM112">
        <v>1000</v>
      </c>
      <c r="AN112">
        <v>0</v>
      </c>
      <c r="AO112">
        <v>-500</v>
      </c>
      <c r="AP112">
        <v>-684.88184822750281</v>
      </c>
      <c r="AQ112">
        <v>883.2285656225506</v>
      </c>
      <c r="AR112">
        <v>-462.33763857658153</v>
      </c>
      <c r="AS112">
        <v>99.971229249637986</v>
      </c>
      <c r="AT112">
        <v>0.45935798770571973</v>
      </c>
      <c r="AU112" t="b">
        <v>1</v>
      </c>
    </row>
    <row r="113" spans="1:47" x14ac:dyDescent="0.25">
      <c r="A113">
        <v>9.8999999999999808</v>
      </c>
      <c r="B113">
        <v>0.1</v>
      </c>
      <c r="C113">
        <v>-601.66934133558402</v>
      </c>
      <c r="D113">
        <v>697.80669943201099</v>
      </c>
      <c r="E113">
        <v>1.5689627707976102</v>
      </c>
      <c r="F113">
        <v>99.962772020969922</v>
      </c>
      <c r="G113">
        <v>100</v>
      </c>
      <c r="H113">
        <v>3.2487540396913327E-3</v>
      </c>
      <c r="I113">
        <v>0.18613989515039009</v>
      </c>
      <c r="J113">
        <v>0</v>
      </c>
      <c r="K113">
        <v>0</v>
      </c>
      <c r="L113">
        <v>0</v>
      </c>
      <c r="M113">
        <v>0.18613989515039009</v>
      </c>
      <c r="N113">
        <v>-592.42354482945416</v>
      </c>
      <c r="O113">
        <v>701.61658748380944</v>
      </c>
      <c r="P113">
        <v>-499.96557976815535</v>
      </c>
      <c r="Q113">
        <v>739.71546800179385</v>
      </c>
      <c r="R113">
        <v>0.38098880517984357</v>
      </c>
      <c r="S113">
        <v>0.92457965061298808</v>
      </c>
      <c r="T113" t="str">
        <v/>
      </c>
      <c r="U113">
        <v>1</v>
      </c>
      <c r="V113">
        <v>0</v>
      </c>
      <c r="W113">
        <v>100</v>
      </c>
      <c r="X113">
        <v>-500</v>
      </c>
      <c r="Y113">
        <v>500</v>
      </c>
      <c r="Z113">
        <v>500</v>
      </c>
      <c r="AA113">
        <v>-400</v>
      </c>
      <c r="AB113">
        <v>-1184.8470896589083</v>
      </c>
      <c r="AC113">
        <v>1303.2331749676189</v>
      </c>
      <c r="AD113">
        <v>-560.32626283511695</v>
      </c>
      <c r="AE113">
        <v>-113.93161456882923</v>
      </c>
      <c r="AF113">
        <v>1.395524794442552</v>
      </c>
      <c r="AG113" t="b">
        <v>0</v>
      </c>
      <c r="AH113">
        <v>25000</v>
      </c>
      <c r="AI113">
        <v>2</v>
      </c>
      <c r="AJ113">
        <v>-500</v>
      </c>
      <c r="AK113">
        <v>500</v>
      </c>
      <c r="AL113">
        <v>-500</v>
      </c>
      <c r="AM113">
        <v>1000</v>
      </c>
      <c r="AN113">
        <v>0</v>
      </c>
      <c r="AO113">
        <v>-500</v>
      </c>
      <c r="AP113">
        <v>-684.84708965890832</v>
      </c>
      <c r="AQ113">
        <v>903.23317496761888</v>
      </c>
      <c r="AR113">
        <v>-462.28982530649404</v>
      </c>
      <c r="AS113">
        <v>99.962772020969922</v>
      </c>
      <c r="AT113">
        <v>0.47940256911708773</v>
      </c>
      <c r="AU113" t="b">
        <v>1</v>
      </c>
    </row>
    <row r="114" spans="1:47" x14ac:dyDescent="0.25">
      <c r="A114">
        <v>9.9999999999999805</v>
      </c>
      <c r="B114">
        <v>0.1</v>
      </c>
      <c r="C114">
        <v>-601.65425453537409</v>
      </c>
      <c r="D114">
        <v>707.8066880514275</v>
      </c>
      <c r="E114">
        <v>1.5692876462015792</v>
      </c>
      <c r="F114">
        <v>99.961180906671203</v>
      </c>
      <c r="G114">
        <v>100</v>
      </c>
      <c r="H114">
        <v>3.3876049561323927E-3</v>
      </c>
      <c r="I114">
        <v>0.19409546664398647</v>
      </c>
      <c r="J114">
        <v>0</v>
      </c>
      <c r="K114">
        <v>0</v>
      </c>
      <c r="L114">
        <v>0</v>
      </c>
      <c r="M114">
        <v>0.19409546664398647</v>
      </c>
      <c r="N114">
        <v>-592.40969625606169</v>
      </c>
      <c r="O114">
        <v>711.61957963399254</v>
      </c>
      <c r="P114">
        <v>-499.96411346293718</v>
      </c>
      <c r="Q114">
        <v>749.74849545964332</v>
      </c>
      <c r="R114">
        <v>0.38128915825650789</v>
      </c>
      <c r="S114">
        <v>0.92445582793124503</v>
      </c>
      <c r="T114" t="str">
        <v/>
      </c>
      <c r="U114">
        <v>1</v>
      </c>
      <c r="V114">
        <v>0</v>
      </c>
      <c r="W114">
        <v>100</v>
      </c>
      <c r="X114">
        <v>-500</v>
      </c>
      <c r="Y114">
        <v>500</v>
      </c>
      <c r="Z114">
        <v>500</v>
      </c>
      <c r="AA114">
        <v>-400</v>
      </c>
      <c r="AB114">
        <v>-1184.8193925121234</v>
      </c>
      <c r="AC114">
        <v>1323.2391592679851</v>
      </c>
      <c r="AD114">
        <v>-560.42691030075196</v>
      </c>
      <c r="AE114">
        <v>-122.84547734801947</v>
      </c>
      <c r="AF114">
        <v>1.4119498274508682</v>
      </c>
      <c r="AG114" t="b">
        <v>0</v>
      </c>
      <c r="AH114">
        <v>25000</v>
      </c>
      <c r="AI114">
        <v>2</v>
      </c>
      <c r="AJ114">
        <v>-500</v>
      </c>
      <c r="AK114">
        <v>500</v>
      </c>
      <c r="AL114">
        <v>-500</v>
      </c>
      <c r="AM114">
        <v>1000</v>
      </c>
      <c r="AN114">
        <v>0</v>
      </c>
      <c r="AO114">
        <v>-500</v>
      </c>
      <c r="AP114">
        <v>-684.81939251212339</v>
      </c>
      <c r="AQ114">
        <v>923.23915926798509</v>
      </c>
      <c r="AR114">
        <v>-462.22791396562252</v>
      </c>
      <c r="AS114">
        <v>99.961180906671203</v>
      </c>
      <c r="AT114">
        <v>0.49946738832044746</v>
      </c>
      <c r="AU114" t="b">
        <v>1</v>
      </c>
    </row>
    <row r="115" spans="1:47" x14ac:dyDescent="0.25">
      <c r="A115">
        <v>10.09999999999998</v>
      </c>
      <c r="B115">
        <v>0.1</v>
      </c>
      <c r="C115">
        <v>-601.64255533706591</v>
      </c>
      <c r="D115">
        <v>717.80668120786311</v>
      </c>
      <c r="E115">
        <v>1.5696264066971926</v>
      </c>
      <c r="F115">
        <v>99.963896232204178</v>
      </c>
      <c r="G115">
        <v>100</v>
      </c>
      <c r="H115">
        <v>3.1506481020629707E-3</v>
      </c>
      <c r="I115">
        <v>0.18051883897911125</v>
      </c>
      <c r="J115">
        <v>0</v>
      </c>
      <c r="K115">
        <v>0</v>
      </c>
      <c r="L115">
        <v>0</v>
      </c>
      <c r="M115">
        <v>0.18051883897911125</v>
      </c>
      <c r="N115">
        <v>-592.39928924521757</v>
      </c>
      <c r="O115">
        <v>721.62270426273153</v>
      </c>
      <c r="P115">
        <v>-499.96662832673451</v>
      </c>
      <c r="Q115">
        <v>759.78293481141577</v>
      </c>
      <c r="R115">
        <v>0.38160230548684193</v>
      </c>
      <c r="S115">
        <v>0.92432660918483078</v>
      </c>
      <c r="T115" t="str">
        <v/>
      </c>
      <c r="U115">
        <v>1</v>
      </c>
      <c r="V115">
        <v>0</v>
      </c>
      <c r="W115">
        <v>100</v>
      </c>
      <c r="X115">
        <v>-500</v>
      </c>
      <c r="Y115">
        <v>500</v>
      </c>
      <c r="Z115">
        <v>500</v>
      </c>
      <c r="AA115">
        <v>-400</v>
      </c>
      <c r="AB115">
        <v>-1184.7985784904351</v>
      </c>
      <c r="AC115">
        <v>1343.2454085254631</v>
      </c>
      <c r="AD115">
        <v>-560.53179641735323</v>
      </c>
      <c r="AE115">
        <v>-131.75280493506784</v>
      </c>
      <c r="AF115">
        <v>1.4283638253628788</v>
      </c>
      <c r="AG115" t="b">
        <v>0</v>
      </c>
      <c r="AH115">
        <v>25000</v>
      </c>
      <c r="AI115">
        <v>2</v>
      </c>
      <c r="AJ115">
        <v>-500</v>
      </c>
      <c r="AK115">
        <v>500</v>
      </c>
      <c r="AL115">
        <v>-500</v>
      </c>
      <c r="AM115">
        <v>1000</v>
      </c>
      <c r="AN115">
        <v>0</v>
      </c>
      <c r="AO115">
        <v>-500</v>
      </c>
      <c r="AP115">
        <v>-684.79857849043515</v>
      </c>
      <c r="AQ115">
        <v>943.24540852546306</v>
      </c>
      <c r="AR115">
        <v>-462.16330459241539</v>
      </c>
      <c r="AS115">
        <v>99.963896232204178</v>
      </c>
      <c r="AT115">
        <v>0.51953831506077619</v>
      </c>
      <c r="AU115" t="b">
        <v>1</v>
      </c>
    </row>
    <row r="116" spans="1:47" x14ac:dyDescent="0.25">
      <c r="A116">
        <v>10.19999999999998</v>
      </c>
      <c r="B116">
        <v>0.1</v>
      </c>
      <c r="C116">
        <v>-601.63400678523215</v>
      </c>
      <c r="D116">
        <v>727.80667755397553</v>
      </c>
      <c r="E116">
        <v>1.5699414715073989</v>
      </c>
      <c r="F116">
        <v>99.96895721505085</v>
      </c>
      <c r="G116">
        <v>100</v>
      </c>
      <c r="H116">
        <v>2.7089940317560715E-3</v>
      </c>
      <c r="I116">
        <v>0.1552139247457518</v>
      </c>
      <c r="J116">
        <v>0</v>
      </c>
      <c r="K116">
        <v>0</v>
      </c>
      <c r="L116">
        <v>0</v>
      </c>
      <c r="M116">
        <v>0.1552139247457518</v>
      </c>
      <c r="N116">
        <v>-592.39194344671375</v>
      </c>
      <c r="O116">
        <v>731.62561264727231</v>
      </c>
      <c r="P116">
        <v>-499.97131006152961</v>
      </c>
      <c r="Q116">
        <v>769.81496358024026</v>
      </c>
      <c r="R116">
        <v>0.38189350932967986</v>
      </c>
      <c r="S116">
        <v>0.92420633385184159</v>
      </c>
      <c r="T116" t="str">
        <v/>
      </c>
      <c r="U116">
        <v>1</v>
      </c>
      <c r="V116">
        <v>0</v>
      </c>
      <c r="W116">
        <v>100</v>
      </c>
      <c r="X116">
        <v>-500</v>
      </c>
      <c r="Y116">
        <v>500</v>
      </c>
      <c r="Z116">
        <v>500</v>
      </c>
      <c r="AA116">
        <v>-400</v>
      </c>
      <c r="AB116">
        <v>-1184.7838868934275</v>
      </c>
      <c r="AC116">
        <v>1363.2512252945446</v>
      </c>
      <c r="AD116">
        <v>-560.62928820557659</v>
      </c>
      <c r="AE116">
        <v>-140.65627787186708</v>
      </c>
      <c r="AF116">
        <v>1.4447747327038358</v>
      </c>
      <c r="AG116" t="b">
        <v>0</v>
      </c>
      <c r="AH116">
        <v>25000</v>
      </c>
      <c r="AI116">
        <v>2</v>
      </c>
      <c r="AJ116">
        <v>-500</v>
      </c>
      <c r="AK116">
        <v>500</v>
      </c>
      <c r="AL116">
        <v>-500</v>
      </c>
      <c r="AM116">
        <v>1000</v>
      </c>
      <c r="AN116">
        <v>0</v>
      </c>
      <c r="AO116">
        <v>-500</v>
      </c>
      <c r="AP116">
        <v>-684.78388689342751</v>
      </c>
      <c r="AQ116">
        <v>963.25122529454461</v>
      </c>
      <c r="AR116">
        <v>-462.10316692592079</v>
      </c>
      <c r="AS116">
        <v>99.96895721505085</v>
      </c>
      <c r="AT116">
        <v>0.53960621708431344</v>
      </c>
      <c r="AU116" t="b">
        <v>1</v>
      </c>
    </row>
    <row r="117" spans="1:47" x14ac:dyDescent="0.25">
      <c r="A117">
        <v>10.299999999999979</v>
      </c>
      <c r="B117">
        <v>0.1</v>
      </c>
      <c r="C117">
        <v>-601.62816722672085</v>
      </c>
      <c r="D117">
        <v>737.8066758489532</v>
      </c>
      <c r="E117">
        <v>1.5702123709105746</v>
      </c>
      <c r="F117">
        <v>99.974953277880559</v>
      </c>
      <c r="G117">
        <v>100</v>
      </c>
      <c r="H117">
        <v>2.1857388390817117E-3</v>
      </c>
      <c r="I117">
        <v>0.12523361059720628</v>
      </c>
      <c r="J117">
        <v>0</v>
      </c>
      <c r="K117">
        <v>0</v>
      </c>
      <c r="L117">
        <v>0</v>
      </c>
      <c r="M117">
        <v>0.12523361059720628</v>
      </c>
      <c r="N117">
        <v>-592.38713877454859</v>
      </c>
      <c r="O117">
        <v>741.62811447153274</v>
      </c>
      <c r="P117">
        <v>-499.97685425282606</v>
      </c>
      <c r="Q117">
        <v>779.84250069732855</v>
      </c>
      <c r="R117">
        <v>0.38214386225795788</v>
      </c>
      <c r="S117">
        <v>0.92410284521722519</v>
      </c>
      <c r="T117" t="str">
        <v/>
      </c>
      <c r="U117">
        <v>1</v>
      </c>
      <c r="V117">
        <v>0</v>
      </c>
      <c r="W117">
        <v>100</v>
      </c>
      <c r="X117">
        <v>-500</v>
      </c>
      <c r="Y117">
        <v>500</v>
      </c>
      <c r="Z117">
        <v>500</v>
      </c>
      <c r="AA117">
        <v>-400</v>
      </c>
      <c r="AB117">
        <v>-1184.7742775490972</v>
      </c>
      <c r="AC117">
        <v>1383.2562289430655</v>
      </c>
      <c r="AD117">
        <v>-560.71306921586904</v>
      </c>
      <c r="AE117">
        <v>-149.55813646937125</v>
      </c>
      <c r="AF117">
        <v>1.4611884764225609</v>
      </c>
      <c r="AG117" t="b">
        <v>0</v>
      </c>
      <c r="AH117">
        <v>25000</v>
      </c>
      <c r="AI117">
        <v>2</v>
      </c>
      <c r="AJ117">
        <v>-500</v>
      </c>
      <c r="AK117">
        <v>500</v>
      </c>
      <c r="AL117">
        <v>-500</v>
      </c>
      <c r="AM117">
        <v>1000</v>
      </c>
      <c r="AN117">
        <v>0</v>
      </c>
      <c r="AO117">
        <v>-500</v>
      </c>
      <c r="AP117">
        <v>-684.77427754909718</v>
      </c>
      <c r="AQ117">
        <v>983.25622894306548</v>
      </c>
      <c r="AR117">
        <v>-462.0514226086126</v>
      </c>
      <c r="AS117">
        <v>99.974953277880559</v>
      </c>
      <c r="AT117">
        <v>0.5596658584924018</v>
      </c>
      <c r="AU117" t="b">
        <v>1</v>
      </c>
    </row>
    <row r="118" spans="1:47" x14ac:dyDescent="0.25">
      <c r="A118">
        <v>10.399999999999979</v>
      </c>
      <c r="B118">
        <v>0.1</v>
      </c>
      <c r="C118">
        <v>-601.62451340679797</v>
      </c>
      <c r="D118">
        <v>747.80667518143321</v>
      </c>
      <c r="E118">
        <v>1.5704309447944829</v>
      </c>
      <c r="F118">
        <v>99.980942816276382</v>
      </c>
      <c r="G118">
        <v>100</v>
      </c>
      <c r="H118">
        <v>1.6630530106730144E-3</v>
      </c>
      <c r="I118">
        <v>9.5285918618088772E-2</v>
      </c>
      <c r="J118">
        <v>0</v>
      </c>
      <c r="K118">
        <v>0</v>
      </c>
      <c r="L118">
        <v>0</v>
      </c>
      <c r="M118">
        <v>9.5285918618088772E-2</v>
      </c>
      <c r="N118">
        <v>-592.38432044204387</v>
      </c>
      <c r="O118">
        <v>751.63013356019303</v>
      </c>
      <c r="P118">
        <v>-499.98239079450292</v>
      </c>
      <c r="Q118">
        <v>789.86471734779161</v>
      </c>
      <c r="R118">
        <v>0.38234583787598525</v>
      </c>
      <c r="S118">
        <v>0.92401929647540959</v>
      </c>
      <c r="T118" t="str">
        <v/>
      </c>
      <c r="U118">
        <v>1</v>
      </c>
      <c r="V118">
        <v>0</v>
      </c>
      <c r="W118">
        <v>100</v>
      </c>
      <c r="X118">
        <v>-500</v>
      </c>
      <c r="Y118">
        <v>500</v>
      </c>
      <c r="Z118">
        <v>500</v>
      </c>
      <c r="AA118">
        <v>-400</v>
      </c>
      <c r="AB118">
        <v>-1184.7686408840877</v>
      </c>
      <c r="AC118">
        <v>1403.2602671203861</v>
      </c>
      <c r="AD118">
        <v>-560.78063752815638</v>
      </c>
      <c r="AE118">
        <v>-158.46006915461177</v>
      </c>
      <c r="AF118">
        <v>1.4776089641234664</v>
      </c>
      <c r="AG118" t="b">
        <v>0</v>
      </c>
      <c r="AH118">
        <v>25000</v>
      </c>
      <c r="AI118">
        <v>2</v>
      </c>
      <c r="AJ118">
        <v>-500</v>
      </c>
      <c r="AK118">
        <v>500</v>
      </c>
      <c r="AL118">
        <v>-500</v>
      </c>
      <c r="AM118">
        <v>1000</v>
      </c>
      <c r="AN118">
        <v>0</v>
      </c>
      <c r="AO118">
        <v>-500</v>
      </c>
      <c r="AP118">
        <v>-684.76864088408774</v>
      </c>
      <c r="AQ118">
        <v>1003.2602671203861</v>
      </c>
      <c r="AR118">
        <v>-462.00964823770482</v>
      </c>
      <c r="AS118">
        <v>99.980942816276382</v>
      </c>
      <c r="AT118">
        <v>0.57971486182582632</v>
      </c>
      <c r="AU118" t="b">
        <v>1</v>
      </c>
    </row>
    <row r="119" spans="1:47" x14ac:dyDescent="0.25">
      <c r="A119">
        <v>10.499999999999979</v>
      </c>
      <c r="B119">
        <v>0.1</v>
      </c>
      <c r="C119">
        <v>-601.6225226398177</v>
      </c>
      <c r="D119">
        <v>757.80667498327557</v>
      </c>
      <c r="E119">
        <v>1.5705972500955501</v>
      </c>
      <c r="F119">
        <v>99.986358554206618</v>
      </c>
      <c r="G119">
        <v>100</v>
      </c>
      <c r="H119">
        <v>1.1904407191342689E-3</v>
      </c>
      <c r="I119">
        <v>6.8207228966912226E-2</v>
      </c>
      <c r="J119">
        <v>0</v>
      </c>
      <c r="K119">
        <v>0</v>
      </c>
      <c r="L119">
        <v>0</v>
      </c>
      <c r="M119">
        <v>6.8207228966912226E-2</v>
      </c>
      <c r="N119">
        <v>-592.38296566423753</v>
      </c>
      <c r="O119">
        <v>761.63167000222768</v>
      </c>
      <c r="P119">
        <v>-499.98739590843627</v>
      </c>
      <c r="Q119">
        <v>799.88162019174899</v>
      </c>
      <c r="R119">
        <v>0.38249950189521315</v>
      </c>
      <c r="S119">
        <v>0.92395569755801266</v>
      </c>
      <c r="T119" t="str">
        <v/>
      </c>
      <c r="U119">
        <v>1</v>
      </c>
      <c r="V119">
        <v>0</v>
      </c>
      <c r="W119">
        <v>100</v>
      </c>
      <c r="X119">
        <v>-500</v>
      </c>
      <c r="Y119">
        <v>500</v>
      </c>
      <c r="Z119">
        <v>500</v>
      </c>
      <c r="AA119">
        <v>-400</v>
      </c>
      <c r="AB119">
        <v>-1184.7659313284751</v>
      </c>
      <c r="AC119">
        <v>1423.2633400044554</v>
      </c>
      <c r="AD119">
        <v>-560.83202997081162</v>
      </c>
      <c r="AE119">
        <v>-167.36320987284529</v>
      </c>
      <c r="AF119">
        <v>1.4940383139757007</v>
      </c>
      <c r="AG119" t="b">
        <v>0</v>
      </c>
      <c r="AH119">
        <v>25000</v>
      </c>
      <c r="AI119">
        <v>2</v>
      </c>
      <c r="AJ119">
        <v>-500</v>
      </c>
      <c r="AK119">
        <v>500</v>
      </c>
      <c r="AL119">
        <v>-500</v>
      </c>
      <c r="AM119">
        <v>1000</v>
      </c>
      <c r="AN119">
        <v>0</v>
      </c>
      <c r="AO119">
        <v>-500</v>
      </c>
      <c r="AP119">
        <v>-684.76593132847506</v>
      </c>
      <c r="AQ119">
        <v>1023.2633400044554</v>
      </c>
      <c r="AR119">
        <v>-461.97784877900631</v>
      </c>
      <c r="AS119">
        <v>99.986358554206618</v>
      </c>
      <c r="AT119">
        <v>0.59975280469105585</v>
      </c>
      <c r="AU119" t="b">
        <v>1</v>
      </c>
    </row>
    <row r="120" spans="1:47" x14ac:dyDescent="0.25">
      <c r="A120">
        <v>10.599999999999978</v>
      </c>
      <c r="B120">
        <v>0.1</v>
      </c>
      <c r="C120">
        <v>-601.62172231354418</v>
      </c>
      <c r="D120">
        <v>767.80667495124942</v>
      </c>
      <c r="E120">
        <v>1.5707162941674635</v>
      </c>
      <c r="F120">
        <v>99.99091369996934</v>
      </c>
      <c r="G120">
        <v>100</v>
      </c>
      <c r="H120">
        <v>7.9292926179537612E-4</v>
      </c>
      <c r="I120">
        <v>4.5431500153298998E-2</v>
      </c>
      <c r="J120">
        <v>0</v>
      </c>
      <c r="K120">
        <v>0</v>
      </c>
      <c r="L120">
        <v>0</v>
      </c>
      <c r="M120">
        <v>4.5431500153298998E-2</v>
      </c>
      <c r="N120">
        <v>-592.3826207464142</v>
      </c>
      <c r="O120">
        <v>771.63276985758102</v>
      </c>
      <c r="P120">
        <v>-499.99160507511471</v>
      </c>
      <c r="Q120">
        <v>809.89371892089741</v>
      </c>
      <c r="R120">
        <v>0.38260949063316413</v>
      </c>
      <c r="S120">
        <v>0.92391015671299481</v>
      </c>
      <c r="T120" t="str">
        <v/>
      </c>
      <c r="U120">
        <v>2</v>
      </c>
      <c r="V120">
        <v>-500</v>
      </c>
      <c r="W120">
        <v>500</v>
      </c>
      <c r="X120">
        <v>-500</v>
      </c>
      <c r="Y120">
        <v>1000</v>
      </c>
      <c r="Z120">
        <v>0</v>
      </c>
      <c r="AA120">
        <v>-500</v>
      </c>
      <c r="AB120">
        <v>-684.76524149282841</v>
      </c>
      <c r="AC120">
        <v>1043.265539715162</v>
      </c>
      <c r="AD120">
        <v>-461.95507835649738</v>
      </c>
      <c r="AE120">
        <v>99.99091369996934</v>
      </c>
      <c r="AF120">
        <v>0.619780484832542</v>
      </c>
      <c r="AG120" t="b">
        <v>1</v>
      </c>
      <c r="AH120">
        <v>99.99091369996934</v>
      </c>
      <c r="AI120">
        <v>3</v>
      </c>
      <c r="AJ120">
        <v>-500</v>
      </c>
      <c r="AK120">
        <v>1000</v>
      </c>
      <c r="AL120">
        <v>0</v>
      </c>
      <c r="AM120">
        <v>1000</v>
      </c>
      <c r="AN120">
        <v>-500</v>
      </c>
      <c r="AO120">
        <v>0</v>
      </c>
      <c r="AP120">
        <v>-684.76524149282841</v>
      </c>
      <c r="AQ120">
        <v>543.26553971516205</v>
      </c>
      <c r="AR120">
        <v>191.30474531658206</v>
      </c>
      <c r="AS120">
        <v>596.86765679676103</v>
      </c>
      <c r="AT120">
        <v>0.91813893916319855</v>
      </c>
      <c r="AU120" t="b">
        <v>1</v>
      </c>
    </row>
    <row r="121" spans="1:47" x14ac:dyDescent="0.25">
      <c r="A121">
        <v>10.699999999999978</v>
      </c>
      <c r="B121">
        <v>0.1</v>
      </c>
      <c r="C121">
        <v>-601.62171491653169</v>
      </c>
      <c r="D121">
        <v>777.80667495124669</v>
      </c>
      <c r="E121">
        <v>1.570795587093643</v>
      </c>
      <c r="F121">
        <v>99.994517904328831</v>
      </c>
      <c r="G121">
        <v>100</v>
      </c>
      <c r="H121">
        <v>4.784030968561736E-4</v>
      </c>
      <c r="I121">
        <v>2.741047835584709E-2</v>
      </c>
      <c r="J121">
        <v>0</v>
      </c>
      <c r="K121">
        <v>0</v>
      </c>
      <c r="L121">
        <v>0</v>
      </c>
      <c r="M121">
        <v>2.741047835584709E-2</v>
      </c>
      <c r="N121">
        <v>-592.38291676070719</v>
      </c>
      <c r="O121">
        <v>781.63350244094806</v>
      </c>
      <c r="P121">
        <v>-499.99493520246233</v>
      </c>
      <c r="Q121">
        <v>819.90177733796168</v>
      </c>
      <c r="R121">
        <v>0.38268274897013671</v>
      </c>
      <c r="S121">
        <v>0.92387981558244869</v>
      </c>
      <c r="T121" t="str">
        <v/>
      </c>
      <c r="U121">
        <v>2</v>
      </c>
      <c r="V121">
        <v>-500</v>
      </c>
      <c r="W121">
        <v>500</v>
      </c>
      <c r="X121">
        <v>-500</v>
      </c>
      <c r="Y121">
        <v>1000</v>
      </c>
      <c r="Z121">
        <v>0</v>
      </c>
      <c r="AA121">
        <v>-500</v>
      </c>
      <c r="AB121">
        <v>-684.76583352141438</v>
      </c>
      <c r="AC121">
        <v>1063.2670048818961</v>
      </c>
      <c r="AD121">
        <v>-461.93990779122436</v>
      </c>
      <c r="AE121">
        <v>99.994517904328831</v>
      </c>
      <c r="AF121">
        <v>0.63979935886904027</v>
      </c>
      <c r="AG121" t="b">
        <v>1</v>
      </c>
      <c r="AH121">
        <v>99.994517904328831</v>
      </c>
      <c r="AI121">
        <v>3</v>
      </c>
      <c r="AJ121">
        <v>-500</v>
      </c>
      <c r="AK121">
        <v>1000</v>
      </c>
      <c r="AL121">
        <v>0</v>
      </c>
      <c r="AM121">
        <v>1000</v>
      </c>
      <c r="AN121">
        <v>-500</v>
      </c>
      <c r="AO121">
        <v>0</v>
      </c>
      <c r="AP121">
        <v>-684.76583352141438</v>
      </c>
      <c r="AQ121">
        <v>563.26700488189613</v>
      </c>
      <c r="AR121">
        <v>191.34137448506834</v>
      </c>
      <c r="AS121">
        <v>570.62017597268948</v>
      </c>
      <c r="AT121">
        <v>0.86960309236913125</v>
      </c>
      <c r="AU121" t="b">
        <v>1</v>
      </c>
    </row>
    <row r="122" spans="1:47" x14ac:dyDescent="0.25">
      <c r="A122">
        <v>10.799999999999978</v>
      </c>
      <c r="B122">
        <v>0.1</v>
      </c>
      <c r="C122">
        <v>-601.62218592261581</v>
      </c>
      <c r="D122">
        <v>787.80667494015438</v>
      </c>
      <c r="E122">
        <v>1.5708434274033285</v>
      </c>
      <c r="F122">
        <v>99.997207555023891</v>
      </c>
      <c r="G122">
        <v>100</v>
      </c>
      <c r="H122">
        <v>2.4368679506936078E-4</v>
      </c>
      <c r="I122">
        <v>1.3962224880543772E-2</v>
      </c>
      <c r="J122">
        <v>0</v>
      </c>
      <c r="K122">
        <v>0</v>
      </c>
      <c r="L122">
        <v>0</v>
      </c>
      <c r="M122">
        <v>1.3962224880543772E-2</v>
      </c>
      <c r="N122">
        <v>-592.38357085397593</v>
      </c>
      <c r="O122">
        <v>791.63394441244122</v>
      </c>
      <c r="P122">
        <v>-499.99742016757654</v>
      </c>
      <c r="Q122">
        <v>829.90663913531</v>
      </c>
      <c r="R122">
        <v>0.38272694722868744</v>
      </c>
      <c r="S122">
        <v>0.92386150686399393</v>
      </c>
      <c r="T122" t="str">
        <v/>
      </c>
      <c r="U122">
        <v>2</v>
      </c>
      <c r="V122">
        <v>-500</v>
      </c>
      <c r="W122">
        <v>500</v>
      </c>
      <c r="X122">
        <v>-500</v>
      </c>
      <c r="Y122">
        <v>1000</v>
      </c>
      <c r="Z122">
        <v>0</v>
      </c>
      <c r="AA122">
        <v>-500</v>
      </c>
      <c r="AB122">
        <v>-684.76714170795185</v>
      </c>
      <c r="AC122">
        <v>1083.2678888248824</v>
      </c>
      <c r="AD122">
        <v>-461.93075343199695</v>
      </c>
      <c r="AE122">
        <v>99.997207555023891</v>
      </c>
      <c r="AF122">
        <v>0.65981114078273806</v>
      </c>
      <c r="AG122" t="b">
        <v>1</v>
      </c>
      <c r="AH122">
        <v>99.997207555023891</v>
      </c>
      <c r="AI122">
        <v>3</v>
      </c>
      <c r="AJ122">
        <v>-500</v>
      </c>
      <c r="AK122">
        <v>1000</v>
      </c>
      <c r="AL122">
        <v>0</v>
      </c>
      <c r="AM122">
        <v>1000</v>
      </c>
      <c r="AN122">
        <v>-500</v>
      </c>
      <c r="AO122">
        <v>0</v>
      </c>
      <c r="AP122">
        <v>-684.76714170795185</v>
      </c>
      <c r="AQ122">
        <v>583.26788882488245</v>
      </c>
      <c r="AR122">
        <v>191.36347361434372</v>
      </c>
      <c r="AS122">
        <v>544.42483628688854</v>
      </c>
      <c r="AT122">
        <v>0.82117915754442417</v>
      </c>
      <c r="AU122" t="b">
        <v>1</v>
      </c>
    </row>
    <row r="123" spans="1:47" x14ac:dyDescent="0.25">
      <c r="A123">
        <v>10.899999999999977</v>
      </c>
      <c r="B123">
        <v>0.1</v>
      </c>
      <c r="C123">
        <v>-601.62290061549459</v>
      </c>
      <c r="D123">
        <v>797.80667491461509</v>
      </c>
      <c r="E123">
        <v>1.5708677960828354</v>
      </c>
      <c r="F123">
        <v>99.999091641656378</v>
      </c>
      <c r="G123">
        <v>100</v>
      </c>
      <c r="H123">
        <v>7.9269219420850592E-5</v>
      </c>
      <c r="I123">
        <v>4.5417917181111989E-3</v>
      </c>
      <c r="J123">
        <v>0</v>
      </c>
      <c r="K123">
        <v>0</v>
      </c>
      <c r="L123">
        <v>0</v>
      </c>
      <c r="M123">
        <v>4.5417917181111989E-3</v>
      </c>
      <c r="N123">
        <v>-592.38437881510094</v>
      </c>
      <c r="O123">
        <v>801.63416951861529</v>
      </c>
      <c r="P123">
        <v>-499.99916081116396</v>
      </c>
      <c r="Q123">
        <v>839.90911555861703</v>
      </c>
      <c r="R123">
        <v>0.38274946040001689</v>
      </c>
      <c r="S123">
        <v>0.92385218003936964</v>
      </c>
      <c r="T123" t="str">
        <v/>
      </c>
      <c r="U123">
        <v>2</v>
      </c>
      <c r="V123">
        <v>-500</v>
      </c>
      <c r="W123">
        <v>500</v>
      </c>
      <c r="X123">
        <v>-500</v>
      </c>
      <c r="Y123">
        <v>1000</v>
      </c>
      <c r="Z123">
        <v>0</v>
      </c>
      <c r="AA123">
        <v>-500</v>
      </c>
      <c r="AB123">
        <v>-684.76875763020189</v>
      </c>
      <c r="AC123">
        <v>1103.2683390372306</v>
      </c>
      <c r="AD123">
        <v>-461.92609001968481</v>
      </c>
      <c r="AE123">
        <v>99.999091641656378</v>
      </c>
      <c r="AF123">
        <v>0.67981753576990223</v>
      </c>
      <c r="AG123" t="b">
        <v>1</v>
      </c>
      <c r="AH123">
        <v>99.999091641656378</v>
      </c>
      <c r="AI123">
        <v>3</v>
      </c>
      <c r="AJ123">
        <v>-500</v>
      </c>
      <c r="AK123">
        <v>1000</v>
      </c>
      <c r="AL123">
        <v>0</v>
      </c>
      <c r="AM123">
        <v>1000</v>
      </c>
      <c r="AN123">
        <v>-500</v>
      </c>
      <c r="AO123">
        <v>0</v>
      </c>
      <c r="AP123">
        <v>-684.76875763020189</v>
      </c>
      <c r="AQ123">
        <v>603.26833903723059</v>
      </c>
      <c r="AR123">
        <v>191.37473020000846</v>
      </c>
      <c r="AS123">
        <v>518.26547390574956</v>
      </c>
      <c r="AT123">
        <v>0.77283261818372562</v>
      </c>
      <c r="AU123" t="b">
        <v>1</v>
      </c>
    </row>
    <row r="124" spans="1:47" x14ac:dyDescent="0.25">
      <c r="A124">
        <v>10.999999999999977</v>
      </c>
      <c r="B124">
        <v>0.1</v>
      </c>
      <c r="C124">
        <v>-601.62369457759257</v>
      </c>
      <c r="D124">
        <v>807.80667488309632</v>
      </c>
      <c r="E124">
        <v>1.5708757230047776</v>
      </c>
      <c r="F124">
        <v>100.00031230121985</v>
      </c>
      <c r="G124">
        <v>100</v>
      </c>
      <c r="H124">
        <v>-2.7253422721889514E-5</v>
      </c>
      <c r="I124">
        <v>-1.5615060992502094E-3</v>
      </c>
      <c r="J124">
        <v>0</v>
      </c>
      <c r="K124">
        <v>0</v>
      </c>
      <c r="L124">
        <v>0</v>
      </c>
      <c r="M124">
        <v>-1.5615060992502094E-3</v>
      </c>
      <c r="N124">
        <v>-592.38520311774005</v>
      </c>
      <c r="O124">
        <v>811.63424272001737</v>
      </c>
      <c r="P124">
        <v>-500.00028851921525</v>
      </c>
      <c r="Q124">
        <v>849.90992108922831</v>
      </c>
      <c r="R124">
        <v>0.38275678369210886</v>
      </c>
      <c r="S124">
        <v>0.92384914598524803</v>
      </c>
      <c r="T124" t="str">
        <v/>
      </c>
      <c r="U124">
        <v>2</v>
      </c>
      <c r="V124">
        <v>-500</v>
      </c>
      <c r="W124">
        <v>500</v>
      </c>
      <c r="X124">
        <v>-500</v>
      </c>
      <c r="Y124">
        <v>1000</v>
      </c>
      <c r="Z124">
        <v>0</v>
      </c>
      <c r="AA124">
        <v>-500</v>
      </c>
      <c r="AB124">
        <v>-684.7704062354801</v>
      </c>
      <c r="AC124">
        <v>1123.2684854400347</v>
      </c>
      <c r="AD124">
        <v>-461.92457299262401</v>
      </c>
      <c r="AE124">
        <v>100.00031230121985</v>
      </c>
      <c r="AF124">
        <v>0.69982008124927741</v>
      </c>
      <c r="AG124" t="b">
        <v>1</v>
      </c>
      <c r="AH124">
        <v>100.00031230121985</v>
      </c>
      <c r="AI124">
        <v>3</v>
      </c>
      <c r="AJ124">
        <v>-500</v>
      </c>
      <c r="AK124">
        <v>1000</v>
      </c>
      <c r="AL124">
        <v>0</v>
      </c>
      <c r="AM124">
        <v>1000</v>
      </c>
      <c r="AN124">
        <v>-500</v>
      </c>
      <c r="AO124">
        <v>0</v>
      </c>
      <c r="AP124">
        <v>-684.7704062354801</v>
      </c>
      <c r="AQ124">
        <v>623.26848544003474</v>
      </c>
      <c r="AR124">
        <v>191.37839184605443</v>
      </c>
      <c r="AS124">
        <v>492.12911516025497</v>
      </c>
      <c r="AT124">
        <v>0.72453571927507443</v>
      </c>
      <c r="AU124" t="b">
        <v>1</v>
      </c>
    </row>
    <row r="125" spans="1:47" x14ac:dyDescent="0.25">
      <c r="A125">
        <v>11.099999999999977</v>
      </c>
      <c r="B125">
        <v>0.1</v>
      </c>
      <c r="C125">
        <v>-601.62446128626789</v>
      </c>
      <c r="D125">
        <v>817.80667485370418</v>
      </c>
      <c r="E125">
        <v>1.5708729976625055</v>
      </c>
      <c r="F125">
        <v>100.00101800326759</v>
      </c>
      <c r="G125">
        <v>100</v>
      </c>
      <c r="H125">
        <v>-8.883754407744914E-5</v>
      </c>
      <c r="I125">
        <v>-5.0900163379452579E-3</v>
      </c>
      <c r="J125">
        <v>0</v>
      </c>
      <c r="K125">
        <v>0</v>
      </c>
      <c r="L125">
        <v>0</v>
      </c>
      <c r="M125">
        <v>-5.0900163379452579E-3</v>
      </c>
      <c r="N125">
        <v>-592.38595939501727</v>
      </c>
      <c r="O125">
        <v>821.63421751255976</v>
      </c>
      <c r="P125">
        <v>-500.00094048251128</v>
      </c>
      <c r="Q125">
        <v>859.90964410111542</v>
      </c>
      <c r="R125">
        <v>0.38275426588555683</v>
      </c>
      <c r="S125">
        <v>0.92385018912505967</v>
      </c>
      <c r="T125" t="str">
        <v/>
      </c>
      <c r="U125">
        <v>2</v>
      </c>
      <c r="V125">
        <v>-500</v>
      </c>
      <c r="W125">
        <v>500</v>
      </c>
      <c r="X125">
        <v>-500</v>
      </c>
      <c r="Y125">
        <v>1000</v>
      </c>
      <c r="Z125">
        <v>0</v>
      </c>
      <c r="AA125">
        <v>-500</v>
      </c>
      <c r="AB125">
        <v>-684.77191879003453</v>
      </c>
      <c r="AC125">
        <v>1143.2684350251195</v>
      </c>
      <c r="AD125">
        <v>-461.92509456252986</v>
      </c>
      <c r="AE125">
        <v>100.00101800326759</v>
      </c>
      <c r="AF125">
        <v>0.71982006749241756</v>
      </c>
      <c r="AG125" t="b">
        <v>1</v>
      </c>
      <c r="AH125">
        <v>100.00101800326759</v>
      </c>
      <c r="AI125">
        <v>3</v>
      </c>
      <c r="AJ125">
        <v>-500</v>
      </c>
      <c r="AK125">
        <v>1000</v>
      </c>
      <c r="AL125">
        <v>0</v>
      </c>
      <c r="AM125">
        <v>1000</v>
      </c>
      <c r="AN125">
        <v>-500</v>
      </c>
      <c r="AO125">
        <v>0</v>
      </c>
      <c r="AP125">
        <v>-684.77191879003453</v>
      </c>
      <c r="AQ125">
        <v>643.26843502511952</v>
      </c>
      <c r="AR125">
        <v>191.37713294277842</v>
      </c>
      <c r="AS125">
        <v>466.00599492931963</v>
      </c>
      <c r="AT125">
        <v>0.67626753430769249</v>
      </c>
      <c r="AU125" t="b">
        <v>1</v>
      </c>
    </row>
    <row r="126" spans="1:47" x14ac:dyDescent="0.25">
      <c r="A126">
        <v>11.199999999999976</v>
      </c>
      <c r="B126">
        <v>0.1</v>
      </c>
      <c r="C126">
        <v>-601.62513915739942</v>
      </c>
      <c r="D126">
        <v>827.80667483072875</v>
      </c>
      <c r="E126">
        <v>1.5708641139080979</v>
      </c>
      <c r="F126">
        <v>100.00134688572808</v>
      </c>
      <c r="G126">
        <v>100</v>
      </c>
      <c r="H126">
        <v>-1.1753795301582303E-4</v>
      </c>
      <c r="I126">
        <v>-6.7344286404136255E-3</v>
      </c>
      <c r="J126">
        <v>0</v>
      </c>
      <c r="K126">
        <v>0</v>
      </c>
      <c r="L126">
        <v>0</v>
      </c>
      <c r="M126">
        <v>-6.7344286404136255E-3</v>
      </c>
      <c r="N126">
        <v>-592.38660326356444</v>
      </c>
      <c r="O126">
        <v>831.63413541685134</v>
      </c>
      <c r="P126">
        <v>-500.00124432521437</v>
      </c>
      <c r="Q126">
        <v>869.90874127807774</v>
      </c>
      <c r="R126">
        <v>0.38274605861226357</v>
      </c>
      <c r="S126">
        <v>0.9238535893835006</v>
      </c>
      <c r="T126" t="str">
        <v/>
      </c>
      <c r="U126">
        <v>2</v>
      </c>
      <c r="V126">
        <v>-500</v>
      </c>
      <c r="W126">
        <v>500</v>
      </c>
      <c r="X126">
        <v>-500</v>
      </c>
      <c r="Y126">
        <v>1000</v>
      </c>
      <c r="Z126">
        <v>0</v>
      </c>
      <c r="AA126">
        <v>-500</v>
      </c>
      <c r="AB126">
        <v>-684.77320652712888</v>
      </c>
      <c r="AC126">
        <v>1163.2682708337027</v>
      </c>
      <c r="AD126">
        <v>-461.92679469175027</v>
      </c>
      <c r="AE126">
        <v>100.00134688572808</v>
      </c>
      <c r="AF126">
        <v>0.73981851358656303</v>
      </c>
      <c r="AG126" t="b">
        <v>1</v>
      </c>
      <c r="AH126">
        <v>100.00134688572808</v>
      </c>
      <c r="AI126">
        <v>3</v>
      </c>
      <c r="AJ126">
        <v>-500</v>
      </c>
      <c r="AK126">
        <v>1000</v>
      </c>
      <c r="AL126">
        <v>0</v>
      </c>
      <c r="AM126">
        <v>1000</v>
      </c>
      <c r="AN126">
        <v>-500</v>
      </c>
      <c r="AO126">
        <v>0</v>
      </c>
      <c r="AP126">
        <v>-684.77320652712888</v>
      </c>
      <c r="AQ126">
        <v>663.26827083370267</v>
      </c>
      <c r="AR126">
        <v>191.3730293061318</v>
      </c>
      <c r="AS126">
        <v>439.88921843793491</v>
      </c>
      <c r="AT126">
        <v>0.62801326024284898</v>
      </c>
      <c r="AU126" t="b">
        <v>1</v>
      </c>
    </row>
    <row r="127" spans="1:47" x14ac:dyDescent="0.25">
      <c r="A127">
        <v>11.299999999999976</v>
      </c>
      <c r="B127">
        <v>0.1</v>
      </c>
      <c r="C127">
        <v>-601.62569949057809</v>
      </c>
      <c r="D127">
        <v>837.80667481503008</v>
      </c>
      <c r="E127">
        <v>1.5708523601127964</v>
      </c>
      <c r="F127">
        <v>100.00141775707645</v>
      </c>
      <c r="G127">
        <v>100</v>
      </c>
      <c r="H127">
        <v>-1.2372264488777655E-4</v>
      </c>
      <c r="I127">
        <v>-7.0887853822654279E-3</v>
      </c>
      <c r="J127">
        <v>0</v>
      </c>
      <c r="K127">
        <v>0</v>
      </c>
      <c r="L127">
        <v>0</v>
      </c>
      <c r="M127">
        <v>-7.0887853822654279E-3</v>
      </c>
      <c r="N127">
        <v>-592.38711861019294</v>
      </c>
      <c r="O127">
        <v>841.63402681302853</v>
      </c>
      <c r="P127">
        <v>-500.00130980634196</v>
      </c>
      <c r="Q127">
        <v>879.90754679301324</v>
      </c>
      <c r="R127">
        <v>0.38273519979984716</v>
      </c>
      <c r="S127">
        <v>0.92385808803850988</v>
      </c>
      <c r="T127" t="str">
        <v/>
      </c>
      <c r="U127">
        <v>2</v>
      </c>
      <c r="V127">
        <v>-500</v>
      </c>
      <c r="W127">
        <v>500</v>
      </c>
      <c r="X127">
        <v>-500</v>
      </c>
      <c r="Y127">
        <v>1000</v>
      </c>
      <c r="Z127">
        <v>0</v>
      </c>
      <c r="AA127">
        <v>-500</v>
      </c>
      <c r="AB127">
        <v>-684.77423722038588</v>
      </c>
      <c r="AC127">
        <v>1183.2680536260571</v>
      </c>
      <c r="AD127">
        <v>-461.92904401925495</v>
      </c>
      <c r="AE127">
        <v>100.00141775707645</v>
      </c>
      <c r="AF127">
        <v>0.75981617883710229</v>
      </c>
      <c r="AG127" t="b">
        <v>1</v>
      </c>
      <c r="AH127">
        <v>100.00141775707645</v>
      </c>
      <c r="AI127">
        <v>3</v>
      </c>
      <c r="AJ127">
        <v>-500</v>
      </c>
      <c r="AK127">
        <v>1000</v>
      </c>
      <c r="AL127">
        <v>0</v>
      </c>
      <c r="AM127">
        <v>1000</v>
      </c>
      <c r="AN127">
        <v>-500</v>
      </c>
      <c r="AO127">
        <v>0</v>
      </c>
      <c r="AP127">
        <v>-684.77423722038588</v>
      </c>
      <c r="AQ127">
        <v>683.26805362605705</v>
      </c>
      <c r="AR127">
        <v>191.36759989992359</v>
      </c>
      <c r="AS127">
        <v>413.77425768465918</v>
      </c>
      <c r="AT127">
        <v>0.57976315194782002</v>
      </c>
      <c r="AU127" t="b">
        <v>1</v>
      </c>
    </row>
    <row r="128" spans="1:47" x14ac:dyDescent="0.25">
      <c r="A128">
        <v>11.399999999999975</v>
      </c>
      <c r="B128">
        <v>0.1</v>
      </c>
      <c r="C128">
        <v>-601.62613610111202</v>
      </c>
      <c r="D128">
        <v>847.80667480549869</v>
      </c>
      <c r="E128">
        <v>1.5708399878483077</v>
      </c>
      <c r="F128">
        <v>100.00132654058568</v>
      </c>
      <c r="G128">
        <v>100</v>
      </c>
      <c r="H128">
        <v>-1.1576250440724414E-4</v>
      </c>
      <c r="I128">
        <v>-6.6327029283996808E-3</v>
      </c>
      <c r="J128">
        <v>0</v>
      </c>
      <c r="K128">
        <v>0</v>
      </c>
      <c r="L128">
        <v>0</v>
      </c>
      <c r="M128">
        <v>-6.6327029283996808E-3</v>
      </c>
      <c r="N128">
        <v>-592.38750786842286</v>
      </c>
      <c r="O128">
        <v>851.63391250103803</v>
      </c>
      <c r="P128">
        <v>-500.00122554153063</v>
      </c>
      <c r="Q128">
        <v>889.90628945643198</v>
      </c>
      <c r="R128">
        <v>0.38272376955393905</v>
      </c>
      <c r="S128">
        <v>0.923862823268922</v>
      </c>
      <c r="T128" t="str">
        <v/>
      </c>
      <c r="U128">
        <v>2</v>
      </c>
      <c r="V128">
        <v>-500</v>
      </c>
      <c r="W128">
        <v>500</v>
      </c>
      <c r="X128">
        <v>-500</v>
      </c>
      <c r="Y128">
        <v>1000</v>
      </c>
      <c r="Z128">
        <v>0</v>
      </c>
      <c r="AA128">
        <v>-500</v>
      </c>
      <c r="AB128">
        <v>-684.77501573684572</v>
      </c>
      <c r="AC128">
        <v>1203.2678250020761</v>
      </c>
      <c r="AD128">
        <v>-461.93141163446097</v>
      </c>
      <c r="AE128">
        <v>100.00132654058568</v>
      </c>
      <c r="AF128">
        <v>0.77981359431009067</v>
      </c>
      <c r="AG128" t="b">
        <v>1</v>
      </c>
      <c r="AH128">
        <v>100.00132654058568</v>
      </c>
      <c r="AI128">
        <v>3</v>
      </c>
      <c r="AJ128">
        <v>-500</v>
      </c>
      <c r="AK128">
        <v>1000</v>
      </c>
      <c r="AL128">
        <v>0</v>
      </c>
      <c r="AM128">
        <v>1000</v>
      </c>
      <c r="AN128">
        <v>-500</v>
      </c>
      <c r="AO128">
        <v>0</v>
      </c>
      <c r="AP128">
        <v>-684.77501573684572</v>
      </c>
      <c r="AQ128">
        <v>703.26782500207605</v>
      </c>
      <c r="AR128">
        <v>191.36188477696953</v>
      </c>
      <c r="AS128">
        <v>387.65840875752571</v>
      </c>
      <c r="AT128">
        <v>0.53151136822048528</v>
      </c>
      <c r="AU128" t="b">
        <v>1</v>
      </c>
    </row>
    <row r="129" spans="1:47" x14ac:dyDescent="0.25">
      <c r="A129">
        <v>11.499999999999975</v>
      </c>
      <c r="B129">
        <v>0.1</v>
      </c>
      <c r="C129">
        <v>-601.6264569491417</v>
      </c>
      <c r="D129">
        <v>857.80667480035152</v>
      </c>
      <c r="E129">
        <v>1.570828411597867</v>
      </c>
      <c r="F129">
        <v>100.00114631261438</v>
      </c>
      <c r="G129">
        <v>100</v>
      </c>
      <c r="H129">
        <v>-1.0003464689045557E-4</v>
      </c>
      <c r="I129">
        <v>-5.7315630719045885E-3</v>
      </c>
      <c r="J129">
        <v>0</v>
      </c>
      <c r="K129">
        <v>0</v>
      </c>
      <c r="L129">
        <v>0</v>
      </c>
      <c r="M129">
        <v>-5.7315630719045885E-3</v>
      </c>
      <c r="N129">
        <v>-592.38778441200941</v>
      </c>
      <c r="O129">
        <v>861.63380554696028</v>
      </c>
      <c r="P129">
        <v>-500.00105904068693</v>
      </c>
      <c r="Q129">
        <v>899.90511301304832</v>
      </c>
      <c r="R129">
        <v>0.38271307466087995</v>
      </c>
      <c r="S129">
        <v>0.92386725371322465</v>
      </c>
      <c r="T129" t="str">
        <v/>
      </c>
      <c r="U129">
        <v>2</v>
      </c>
      <c r="V129">
        <v>-500</v>
      </c>
      <c r="W129">
        <v>500</v>
      </c>
      <c r="X129">
        <v>-500</v>
      </c>
      <c r="Y129">
        <v>1000</v>
      </c>
      <c r="Z129">
        <v>0</v>
      </c>
      <c r="AA129">
        <v>-500</v>
      </c>
      <c r="AB129">
        <v>-684.77556882401882</v>
      </c>
      <c r="AC129">
        <v>1223.2676110939206</v>
      </c>
      <c r="AD129">
        <v>-461.93362685661231</v>
      </c>
      <c r="AE129">
        <v>100.00114631261438</v>
      </c>
      <c r="AF129">
        <v>0.79981110344374695</v>
      </c>
      <c r="AG129" t="b">
        <v>1</v>
      </c>
      <c r="AH129">
        <v>100.00114631261438</v>
      </c>
      <c r="AI129">
        <v>3</v>
      </c>
      <c r="AJ129">
        <v>-500</v>
      </c>
      <c r="AK129">
        <v>1000</v>
      </c>
      <c r="AL129">
        <v>0</v>
      </c>
      <c r="AM129">
        <v>1000</v>
      </c>
      <c r="AN129">
        <v>-500</v>
      </c>
      <c r="AO129">
        <v>0</v>
      </c>
      <c r="AP129">
        <v>-684.77556882401882</v>
      </c>
      <c r="AQ129">
        <v>723.26761109392055</v>
      </c>
      <c r="AR129">
        <v>191.35653733043998</v>
      </c>
      <c r="AS129">
        <v>361.54028595873109</v>
      </c>
      <c r="AT129">
        <v>0.48325489336675481</v>
      </c>
      <c r="AU129" t="b">
        <v>1</v>
      </c>
    </row>
    <row r="130" spans="1:47" x14ac:dyDescent="0.25">
      <c r="A130">
        <v>11.599999999999975</v>
      </c>
      <c r="B130">
        <v>0.1</v>
      </c>
      <c r="C130">
        <v>-601.62667776252454</v>
      </c>
      <c r="D130">
        <v>867.80667479791362</v>
      </c>
      <c r="E130">
        <v>1.570818408133178</v>
      </c>
      <c r="F130">
        <v>100.0009294899809</v>
      </c>
      <c r="G130">
        <v>100</v>
      </c>
      <c r="H130">
        <v>-8.1113302655450243E-5</v>
      </c>
      <c r="I130">
        <v>-4.6474499045245921E-3</v>
      </c>
      <c r="J130">
        <v>0</v>
      </c>
      <c r="K130">
        <v>0</v>
      </c>
      <c r="L130">
        <v>0</v>
      </c>
      <c r="M130">
        <v>-4.6474499045245921E-3</v>
      </c>
      <c r="N130">
        <v>-592.38796694128723</v>
      </c>
      <c r="O130">
        <v>871.63371312559639</v>
      </c>
      <c r="P130">
        <v>-500.00085872891447</v>
      </c>
      <c r="Q130">
        <v>909.90409640242456</v>
      </c>
      <c r="R130">
        <v>0.38270383276828129</v>
      </c>
      <c r="S130">
        <v>0.92387108212372759</v>
      </c>
      <c r="T130" t="str">
        <v/>
      </c>
      <c r="U130">
        <v>2</v>
      </c>
      <c r="V130">
        <v>-500</v>
      </c>
      <c r="W130">
        <v>500</v>
      </c>
      <c r="X130">
        <v>-500</v>
      </c>
      <c r="Y130">
        <v>1000</v>
      </c>
      <c r="Z130">
        <v>0</v>
      </c>
      <c r="AA130">
        <v>-500</v>
      </c>
      <c r="AB130">
        <v>-684.77593388257446</v>
      </c>
      <c r="AC130">
        <v>1243.2674262511928</v>
      </c>
      <c r="AD130">
        <v>-461.93554106186377</v>
      </c>
      <c r="AE130">
        <v>100.0009294899809</v>
      </c>
      <c r="AF130">
        <v>0.81980890424360542</v>
      </c>
      <c r="AG130" t="b">
        <v>1</v>
      </c>
      <c r="AH130">
        <v>100.0009294899809</v>
      </c>
      <c r="AI130">
        <v>3</v>
      </c>
      <c r="AJ130">
        <v>-500</v>
      </c>
      <c r="AK130">
        <v>1000</v>
      </c>
      <c r="AL130">
        <v>0</v>
      </c>
      <c r="AM130">
        <v>1000</v>
      </c>
      <c r="AN130">
        <v>-500</v>
      </c>
      <c r="AO130">
        <v>0</v>
      </c>
      <c r="AP130">
        <v>-684.77593388257446</v>
      </c>
      <c r="AQ130">
        <v>743.26742625119277</v>
      </c>
      <c r="AR130">
        <v>191.35191638414065</v>
      </c>
      <c r="AS130">
        <v>335.41939192473819</v>
      </c>
      <c r="AT130">
        <v>0.4349926192830067</v>
      </c>
      <c r="AU130" t="b">
        <v>1</v>
      </c>
    </row>
    <row r="131" spans="1:47" x14ac:dyDescent="0.25">
      <c r="A131">
        <v>11.699999999999974</v>
      </c>
      <c r="B131">
        <v>0.1</v>
      </c>
      <c r="C131">
        <v>-601.62681746260466</v>
      </c>
      <c r="D131">
        <v>877.80667479693784</v>
      </c>
      <c r="E131">
        <v>1.5708102968029125</v>
      </c>
      <c r="F131">
        <v>100.00071109925747</v>
      </c>
      <c r="G131">
        <v>100</v>
      </c>
      <c r="H131">
        <v>-6.2055116756898693E-5</v>
      </c>
      <c r="I131">
        <v>-3.5554962873618479E-3</v>
      </c>
      <c r="J131">
        <v>0</v>
      </c>
      <c r="K131">
        <v>0</v>
      </c>
      <c r="L131">
        <v>0</v>
      </c>
      <c r="M131">
        <v>-3.5554962873618479E-3</v>
      </c>
      <c r="N131">
        <v>-592.38807559929955</v>
      </c>
      <c r="O131">
        <v>881.6336381862601</v>
      </c>
      <c r="P131">
        <v>-500.0006569662479</v>
      </c>
      <c r="Q131">
        <v>919.90327207948224</v>
      </c>
      <c r="R131">
        <v>0.38269633893222182</v>
      </c>
      <c r="S131">
        <v>0.92387418633051654</v>
      </c>
      <c r="T131" t="str">
        <v/>
      </c>
      <c r="U131">
        <v>2</v>
      </c>
      <c r="V131">
        <v>-500</v>
      </c>
      <c r="W131">
        <v>500</v>
      </c>
      <c r="X131">
        <v>-500</v>
      </c>
      <c r="Y131">
        <v>1000</v>
      </c>
      <c r="Z131">
        <v>0</v>
      </c>
      <c r="AA131">
        <v>-500</v>
      </c>
      <c r="AB131">
        <v>-684.77615119859911</v>
      </c>
      <c r="AC131">
        <v>1263.2672763725202</v>
      </c>
      <c r="AD131">
        <v>-461.93709316525826</v>
      </c>
      <c r="AE131">
        <v>100.00071109925747</v>
      </c>
      <c r="AF131">
        <v>0.83980708842912943</v>
      </c>
      <c r="AG131" t="b">
        <v>1</v>
      </c>
      <c r="AH131">
        <v>100.00071109925747</v>
      </c>
      <c r="AI131">
        <v>3</v>
      </c>
      <c r="AJ131">
        <v>-500</v>
      </c>
      <c r="AK131">
        <v>1000</v>
      </c>
      <c r="AL131">
        <v>0</v>
      </c>
      <c r="AM131">
        <v>1000</v>
      </c>
      <c r="AN131">
        <v>-500</v>
      </c>
      <c r="AO131">
        <v>0</v>
      </c>
      <c r="AP131">
        <v>-684.77615119859911</v>
      </c>
      <c r="AQ131">
        <v>763.2672763725202</v>
      </c>
      <c r="AR131">
        <v>191.3481694661109</v>
      </c>
      <c r="AS131">
        <v>309.29577780649583</v>
      </c>
      <c r="AT131">
        <v>0.386724618914282</v>
      </c>
      <c r="AU131" t="b">
        <v>1</v>
      </c>
    </row>
    <row r="132" spans="1:47" x14ac:dyDescent="0.25">
      <c r="A132">
        <v>11.799999999999974</v>
      </c>
      <c r="B132">
        <v>0.1</v>
      </c>
      <c r="C132">
        <v>-601.62689510756809</v>
      </c>
      <c r="D132">
        <v>887.80667479663646</v>
      </c>
      <c r="E132">
        <v>1.5708040912912369</v>
      </c>
      <c r="F132">
        <v>100.00051238689446</v>
      </c>
      <c r="G132">
        <v>100</v>
      </c>
      <c r="H132">
        <v>-4.4714191761676538E-5</v>
      </c>
      <c r="I132">
        <v>-2.5619344722827009E-3</v>
      </c>
      <c r="J132">
        <v>0</v>
      </c>
      <c r="K132">
        <v>0</v>
      </c>
      <c r="L132">
        <v>0</v>
      </c>
      <c r="M132">
        <v>-2.5619344722827009E-3</v>
      </c>
      <c r="N132">
        <v>-592.38812949617477</v>
      </c>
      <c r="O132">
        <v>891.63358085476455</v>
      </c>
      <c r="P132">
        <v>-500.00047338224203</v>
      </c>
      <c r="Q132">
        <v>929.90264143604486</v>
      </c>
      <c r="R132">
        <v>0.38269060581280329</v>
      </c>
      <c r="S132">
        <v>0.92387656113932759</v>
      </c>
      <c r="T132" t="str">
        <v/>
      </c>
      <c r="U132">
        <v>2</v>
      </c>
      <c r="V132">
        <v>-500</v>
      </c>
      <c r="W132">
        <v>500</v>
      </c>
      <c r="X132">
        <v>-500</v>
      </c>
      <c r="Y132">
        <v>1000</v>
      </c>
      <c r="Z132">
        <v>0</v>
      </c>
      <c r="AA132">
        <v>-500</v>
      </c>
      <c r="AB132">
        <v>-684.77625899234954</v>
      </c>
      <c r="AC132">
        <v>1283.2671617095291</v>
      </c>
      <c r="AD132">
        <v>-461.93828056966379</v>
      </c>
      <c r="AE132">
        <v>100.00051238689446</v>
      </c>
      <c r="AF132">
        <v>0.85980567504339189</v>
      </c>
      <c r="AG132" t="b">
        <v>1</v>
      </c>
      <c r="AH132">
        <v>100.00051238689446</v>
      </c>
      <c r="AI132">
        <v>3</v>
      </c>
      <c r="AJ132">
        <v>-500</v>
      </c>
      <c r="AK132">
        <v>1000</v>
      </c>
      <c r="AL132">
        <v>0</v>
      </c>
      <c r="AM132">
        <v>1000</v>
      </c>
      <c r="AN132">
        <v>-500</v>
      </c>
      <c r="AO132">
        <v>0</v>
      </c>
      <c r="AP132">
        <v>-684.77625899234954</v>
      </c>
      <c r="AQ132">
        <v>783.26716170952909</v>
      </c>
      <c r="AR132">
        <v>191.34530290640166</v>
      </c>
      <c r="AS132">
        <v>283.16979173051323</v>
      </c>
      <c r="AT132">
        <v>0.33845160781270278</v>
      </c>
      <c r="AU132" t="b">
        <v>1</v>
      </c>
    </row>
    <row r="133" spans="1:47" x14ac:dyDescent="0.25">
      <c r="A133">
        <v>11.899999999999974</v>
      </c>
      <c r="B133">
        <v>0.1</v>
      </c>
      <c r="C133">
        <v>-601.62692803833977</v>
      </c>
      <c r="D133">
        <v>897.80667479658223</v>
      </c>
      <c r="E133">
        <v>1.5707996198720606</v>
      </c>
      <c r="F133">
        <v>100.00034429353602</v>
      </c>
      <c r="G133">
        <v>100</v>
      </c>
      <c r="H133">
        <v>-3.004527898414718E-5</v>
      </c>
      <c r="I133">
        <v>-1.7214676800847428E-3</v>
      </c>
      <c r="J133">
        <v>0</v>
      </c>
      <c r="K133">
        <v>0</v>
      </c>
      <c r="L133">
        <v>0</v>
      </c>
      <c r="M133">
        <v>-1.7214676800847428E-3</v>
      </c>
      <c r="N133">
        <v>-592.38814531533774</v>
      </c>
      <c r="O133">
        <v>901.63353954427828</v>
      </c>
      <c r="P133">
        <v>-500.00031808531719</v>
      </c>
      <c r="Q133">
        <v>939.90218702123889</v>
      </c>
      <c r="R133">
        <v>0.38268647476960566</v>
      </c>
      <c r="S133">
        <v>0.92387827230020514</v>
      </c>
      <c r="T133" t="str">
        <v/>
      </c>
      <c r="U133">
        <v>2</v>
      </c>
      <c r="V133">
        <v>-500</v>
      </c>
      <c r="W133">
        <v>500</v>
      </c>
      <c r="X133">
        <v>-500</v>
      </c>
      <c r="Y133">
        <v>1000</v>
      </c>
      <c r="Z133">
        <v>0</v>
      </c>
      <c r="AA133">
        <v>-500</v>
      </c>
      <c r="AB133">
        <v>-684.77629063067548</v>
      </c>
      <c r="AC133">
        <v>1303.2670790885566</v>
      </c>
      <c r="AD133">
        <v>-461.93913615010257</v>
      </c>
      <c r="AE133">
        <v>100.00034429353602</v>
      </c>
      <c r="AF133">
        <v>0.87980463755543681</v>
      </c>
      <c r="AG133" t="b">
        <v>1</v>
      </c>
      <c r="AH133">
        <v>100.00034429353602</v>
      </c>
      <c r="AI133">
        <v>3</v>
      </c>
      <c r="AJ133">
        <v>-500</v>
      </c>
      <c r="AK133">
        <v>1000</v>
      </c>
      <c r="AL133">
        <v>0</v>
      </c>
      <c r="AM133">
        <v>1000</v>
      </c>
      <c r="AN133">
        <v>-500</v>
      </c>
      <c r="AO133">
        <v>0</v>
      </c>
      <c r="AP133">
        <v>-684.77629063067548</v>
      </c>
      <c r="AQ133">
        <v>803.26707908855656</v>
      </c>
      <c r="AR133">
        <v>191.34323738480282</v>
      </c>
      <c r="AS133">
        <v>257.04190490385827</v>
      </c>
      <c r="AT133">
        <v>0.29017457139198488</v>
      </c>
      <c r="AU133" t="b">
        <v>1</v>
      </c>
    </row>
    <row r="134" spans="1:47" x14ac:dyDescent="0.25">
      <c r="A134">
        <v>11.999999999999973</v>
      </c>
      <c r="B134">
        <v>0.1</v>
      </c>
      <c r="C134">
        <v>-601.62693092383245</v>
      </c>
      <c r="D134">
        <v>907.80667479658177</v>
      </c>
      <c r="E134">
        <v>1.5707966153441622</v>
      </c>
      <c r="F134">
        <v>100.00021051895197</v>
      </c>
      <c r="G134">
        <v>100</v>
      </c>
      <c r="H134">
        <v>-1.8371244248960237E-5</v>
      </c>
      <c r="I134">
        <v>-1.0525947598694074E-3</v>
      </c>
      <c r="J134">
        <v>0</v>
      </c>
      <c r="K134">
        <v>0</v>
      </c>
      <c r="L134">
        <v>0</v>
      </c>
      <c r="M134">
        <v>-1.0525947598694074E-3</v>
      </c>
      <c r="N134">
        <v>-592.38813670295019</v>
      </c>
      <c r="O134">
        <v>911.63351178608013</v>
      </c>
      <c r="P134">
        <v>-500.0001944941277</v>
      </c>
      <c r="Q134">
        <v>949.90188168106363</v>
      </c>
      <c r="R134">
        <v>0.38268369894983445</v>
      </c>
      <c r="S134">
        <v>0.92387942208822493</v>
      </c>
      <c r="T134" t="str">
        <v/>
      </c>
      <c r="U134">
        <v>2</v>
      </c>
      <c r="V134">
        <v>-500</v>
      </c>
      <c r="W134">
        <v>500</v>
      </c>
      <c r="X134">
        <v>-500</v>
      </c>
      <c r="Y134">
        <v>1000</v>
      </c>
      <c r="Z134">
        <v>0</v>
      </c>
      <c r="AA134">
        <v>-500</v>
      </c>
      <c r="AB134">
        <v>-684.77627340590038</v>
      </c>
      <c r="AC134">
        <v>1323.2670235721603</v>
      </c>
      <c r="AD134">
        <v>-461.93971104411247</v>
      </c>
      <c r="AE134">
        <v>100.00021051895197</v>
      </c>
      <c r="AF134">
        <v>0.89980392448646962</v>
      </c>
      <c r="AG134" t="b">
        <v>1</v>
      </c>
      <c r="AH134">
        <v>100.00021051895197</v>
      </c>
      <c r="AI134">
        <v>3</v>
      </c>
      <c r="AJ134">
        <v>-500</v>
      </c>
      <c r="AK134">
        <v>1000</v>
      </c>
      <c r="AL134">
        <v>0</v>
      </c>
      <c r="AM134">
        <v>1000</v>
      </c>
      <c r="AN134">
        <v>-500</v>
      </c>
      <c r="AO134">
        <v>0</v>
      </c>
      <c r="AP134">
        <v>-684.77627340590038</v>
      </c>
      <c r="AQ134">
        <v>823.26702357216027</v>
      </c>
      <c r="AR134">
        <v>191.34184947491721</v>
      </c>
      <c r="AS134">
        <v>230.9126008147625</v>
      </c>
      <c r="AT134">
        <v>0.24189452698136313</v>
      </c>
      <c r="AU134" t="b">
        <v>1</v>
      </c>
    </row>
    <row r="135" spans="1:47" x14ac:dyDescent="0.25">
      <c r="A135">
        <v>12.099999999999973</v>
      </c>
      <c r="B135">
        <v>0.1</v>
      </c>
      <c r="C135">
        <v>-601.6269154380808</v>
      </c>
      <c r="D135">
        <v>917.80667479656984</v>
      </c>
      <c r="E135">
        <v>1.5707947782197373</v>
      </c>
      <c r="F135">
        <v>100.00011005152302</v>
      </c>
      <c r="G135">
        <v>100</v>
      </c>
      <c r="H135">
        <v>-9.603807117968415E-6</v>
      </c>
      <c r="I135">
        <v>-5.5025761511728888E-4</v>
      </c>
      <c r="J135">
        <v>0</v>
      </c>
      <c r="K135">
        <v>0</v>
      </c>
      <c r="L135">
        <v>0</v>
      </c>
      <c r="M135">
        <v>-5.5025761511728888E-4</v>
      </c>
      <c r="N135">
        <v>-592.38811418683849</v>
      </c>
      <c r="O135">
        <v>921.63349481324724</v>
      </c>
      <c r="P135">
        <v>-500.00010167441485</v>
      </c>
      <c r="Q135">
        <v>959.90169498002092</v>
      </c>
      <c r="R135">
        <v>0.38268200166773675</v>
      </c>
      <c r="S135">
        <v>0.92388012512423623</v>
      </c>
      <c r="T135" t="str">
        <v/>
      </c>
      <c r="U135">
        <v>2</v>
      </c>
      <c r="V135">
        <v>-500</v>
      </c>
      <c r="W135">
        <v>500</v>
      </c>
      <c r="X135">
        <v>-500</v>
      </c>
      <c r="Y135">
        <v>1000</v>
      </c>
      <c r="Z135">
        <v>0</v>
      </c>
      <c r="AA135">
        <v>-500</v>
      </c>
      <c r="AB135">
        <v>-684.77622837367699</v>
      </c>
      <c r="AC135">
        <v>1343.2669896264945</v>
      </c>
      <c r="AD135">
        <v>-461.9400625621181</v>
      </c>
      <c r="AE135">
        <v>100.00011005152302</v>
      </c>
      <c r="AF135">
        <v>0.91980347418951602</v>
      </c>
      <c r="AG135" t="b">
        <v>1</v>
      </c>
      <c r="AH135">
        <v>100.00011005152302</v>
      </c>
      <c r="AI135">
        <v>3</v>
      </c>
      <c r="AJ135">
        <v>-500</v>
      </c>
      <c r="AK135">
        <v>1000</v>
      </c>
      <c r="AL135">
        <v>0</v>
      </c>
      <c r="AM135">
        <v>1000</v>
      </c>
      <c r="AN135">
        <v>-500</v>
      </c>
      <c r="AO135">
        <v>0</v>
      </c>
      <c r="AP135">
        <v>-684.77622837367699</v>
      </c>
      <c r="AQ135">
        <v>843.26698962649448</v>
      </c>
      <c r="AR135">
        <v>191.34100083386838</v>
      </c>
      <c r="AS135">
        <v>204.78231232519371</v>
      </c>
      <c r="AT135">
        <v>0.1936123882947838</v>
      </c>
      <c r="AU135" t="b">
        <v>1</v>
      </c>
    </row>
    <row r="136" spans="1:47" x14ac:dyDescent="0.25">
      <c r="A136">
        <v>12.199999999999973</v>
      </c>
      <c r="B136">
        <v>0.1</v>
      </c>
      <c r="C136">
        <v>-601.62689034852212</v>
      </c>
      <c r="D136">
        <v>927.80667479653835</v>
      </c>
      <c r="E136">
        <v>1.5707938178390255</v>
      </c>
      <c r="F136">
        <v>100.0000391367259</v>
      </c>
      <c r="G136">
        <v>100</v>
      </c>
      <c r="H136">
        <v>-3.4153236272652437E-6</v>
      </c>
      <c r="I136">
        <v>-1.9568362951360996E-4</v>
      </c>
      <c r="J136">
        <v>0</v>
      </c>
      <c r="K136">
        <v>0</v>
      </c>
      <c r="L136">
        <v>0</v>
      </c>
      <c r="M136">
        <v>-1.9568362951360996E-4</v>
      </c>
      <c r="N136">
        <v>-592.38808542207994</v>
      </c>
      <c r="O136">
        <v>931.63348594044737</v>
      </c>
      <c r="P136">
        <v>-500.00003615765763</v>
      </c>
      <c r="Q136">
        <v>969.9015973795382</v>
      </c>
      <c r="R136">
        <v>0.38268111439090802</v>
      </c>
      <c r="S136">
        <v>0.92388049264422334</v>
      </c>
      <c r="T136" t="str">
        <v/>
      </c>
      <c r="U136">
        <v>2</v>
      </c>
      <c r="V136">
        <v>-500</v>
      </c>
      <c r="W136">
        <v>500</v>
      </c>
      <c r="X136">
        <v>-500</v>
      </c>
      <c r="Y136">
        <v>1000</v>
      </c>
      <c r="Z136">
        <v>0</v>
      </c>
      <c r="AA136">
        <v>-500</v>
      </c>
      <c r="AB136">
        <v>-684.77617084415988</v>
      </c>
      <c r="AC136">
        <v>1363.2669718808947</v>
      </c>
      <c r="AD136">
        <v>-461.94024632211165</v>
      </c>
      <c r="AE136">
        <v>100.0000391367259</v>
      </c>
      <c r="AF136">
        <v>0.93980322471284805</v>
      </c>
      <c r="AG136" t="b">
        <v>1</v>
      </c>
      <c r="AH136">
        <v>100.0000391367259</v>
      </c>
      <c r="AI136">
        <v>3</v>
      </c>
      <c r="AJ136">
        <v>-500</v>
      </c>
      <c r="AK136">
        <v>1000</v>
      </c>
      <c r="AL136">
        <v>0</v>
      </c>
      <c r="AM136">
        <v>1000</v>
      </c>
      <c r="AN136">
        <v>-500</v>
      </c>
      <c r="AO136">
        <v>0</v>
      </c>
      <c r="AP136">
        <v>-684.77617084415988</v>
      </c>
      <c r="AQ136">
        <v>863.26697188089474</v>
      </c>
      <c r="AR136">
        <v>191.34055719545401</v>
      </c>
      <c r="AS136">
        <v>178.65139273561425</v>
      </c>
      <c r="AT136">
        <v>0.14532890262015191</v>
      </c>
      <c r="AU136" t="b">
        <v>1</v>
      </c>
    </row>
    <row r="137" spans="1:47" x14ac:dyDescent="0.25">
      <c r="A137">
        <v>12.299999999999972</v>
      </c>
      <c r="B137">
        <v>0.1</v>
      </c>
      <c r="C137">
        <v>-601.62686184363974</v>
      </c>
      <c r="D137">
        <v>937.80667479649776</v>
      </c>
      <c r="E137">
        <v>1.5707934763066627</v>
      </c>
      <c r="F137">
        <v>99.999992722006397</v>
      </c>
      <c r="G137">
        <v>100</v>
      </c>
      <c r="H137">
        <v>6.351247565867126E-7</v>
      </c>
      <c r="I137">
        <v>3.6389968016692364E-5</v>
      </c>
      <c r="J137">
        <v>0</v>
      </c>
      <c r="K137">
        <v>0</v>
      </c>
      <c r="L137">
        <v>0</v>
      </c>
      <c r="M137">
        <v>3.6389968016692364E-5</v>
      </c>
      <c r="N137">
        <v>-592.3880556102182</v>
      </c>
      <c r="O137">
        <v>941.63348278505578</v>
      </c>
      <c r="P137">
        <v>-499.99999327600273</v>
      </c>
      <c r="Q137">
        <v>979.9015626706356</v>
      </c>
      <c r="R137">
        <v>0.38268079885579809</v>
      </c>
      <c r="S137">
        <v>0.92388062334215459</v>
      </c>
      <c r="T137" t="str">
        <v/>
      </c>
      <c r="U137">
        <v>2</v>
      </c>
      <c r="V137">
        <v>-500</v>
      </c>
      <c r="W137">
        <v>500</v>
      </c>
      <c r="X137">
        <v>-500</v>
      </c>
      <c r="Y137">
        <v>1000</v>
      </c>
      <c r="Z137">
        <v>0</v>
      </c>
      <c r="AA137">
        <v>-500</v>
      </c>
      <c r="AB137">
        <v>-684.77611122043641</v>
      </c>
      <c r="AC137">
        <v>1383.2669655701116</v>
      </c>
      <c r="AD137">
        <v>-461.94031167107732</v>
      </c>
      <c r="AE137">
        <v>99.999992722006397</v>
      </c>
      <c r="AF137">
        <v>0.95980311977097432</v>
      </c>
      <c r="AG137" t="b">
        <v>1</v>
      </c>
      <c r="AH137">
        <v>99.999992722006397</v>
      </c>
      <c r="AI137">
        <v>3</v>
      </c>
      <c r="AJ137">
        <v>-500</v>
      </c>
      <c r="AK137">
        <v>1000</v>
      </c>
      <c r="AL137">
        <v>0</v>
      </c>
      <c r="AM137">
        <v>1000</v>
      </c>
      <c r="AN137">
        <v>-500</v>
      </c>
      <c r="AO137">
        <v>0</v>
      </c>
      <c r="AP137">
        <v>-684.77611122043641</v>
      </c>
      <c r="AQ137">
        <v>883.26696557011155</v>
      </c>
      <c r="AR137">
        <v>191.34039942789906</v>
      </c>
      <c r="AS137">
        <v>152.52010916005722</v>
      </c>
      <c r="AT137">
        <v>9.7044635825577819E-2</v>
      </c>
      <c r="AU137" t="b">
        <v>1</v>
      </c>
    </row>
    <row r="138" spans="1:47" x14ac:dyDescent="0.25">
      <c r="A138">
        <v>12.399999999999972</v>
      </c>
      <c r="B138">
        <v>0.1</v>
      </c>
      <c r="C138">
        <v>-601.62683397388219</v>
      </c>
      <c r="D138">
        <v>947.80667479645888</v>
      </c>
      <c r="E138">
        <v>1.5707935398191384</v>
      </c>
      <c r="F138">
        <v>99.999965449859957</v>
      </c>
      <c r="G138">
        <v>100</v>
      </c>
      <c r="H138">
        <v>3.015068503891896E-6</v>
      </c>
      <c r="I138">
        <v>1.7275070021582906E-4</v>
      </c>
      <c r="J138">
        <v>0</v>
      </c>
      <c r="K138">
        <v>0</v>
      </c>
      <c r="L138">
        <v>0</v>
      </c>
      <c r="M138">
        <v>1.7275070021582906E-4</v>
      </c>
      <c r="N138">
        <v>-592.38802798351071</v>
      </c>
      <c r="O138">
        <v>951.63348337179627</v>
      </c>
      <c r="P138">
        <v>-499.99996807979596</v>
      </c>
      <c r="Q138">
        <v>989.90156912517057</v>
      </c>
      <c r="R138">
        <v>0.38268085753374298</v>
      </c>
      <c r="S138">
        <v>0.92388059903714781</v>
      </c>
      <c r="T138" t="str">
        <v/>
      </c>
      <c r="U138">
        <v>2</v>
      </c>
      <c r="V138">
        <v>-500</v>
      </c>
      <c r="W138">
        <v>500</v>
      </c>
      <c r="X138">
        <v>-500</v>
      </c>
      <c r="Y138">
        <v>1000</v>
      </c>
      <c r="Z138">
        <v>0</v>
      </c>
      <c r="AA138">
        <v>-500</v>
      </c>
      <c r="AB138">
        <v>-684.77605596702142</v>
      </c>
      <c r="AC138">
        <v>1403.2669667435925</v>
      </c>
      <c r="AD138">
        <v>-461.94029951857391</v>
      </c>
      <c r="AE138">
        <v>99.999965449859957</v>
      </c>
      <c r="AF138">
        <v>0.97980311180698676</v>
      </c>
      <c r="AG138" t="b">
        <v>1</v>
      </c>
      <c r="AH138">
        <v>99.999965449859957</v>
      </c>
      <c r="AI138">
        <v>3</v>
      </c>
      <c r="AJ138">
        <v>-500</v>
      </c>
      <c r="AK138">
        <v>1000</v>
      </c>
      <c r="AL138">
        <v>0</v>
      </c>
      <c r="AM138">
        <v>1000</v>
      </c>
      <c r="AN138">
        <v>-500</v>
      </c>
      <c r="AO138">
        <v>0</v>
      </c>
      <c r="AP138">
        <v>-684.77605596702142</v>
      </c>
      <c r="AQ138">
        <v>903.26696674359255</v>
      </c>
      <c r="AR138">
        <v>191.3404287668715</v>
      </c>
      <c r="AS138">
        <v>126.38864912112567</v>
      </c>
      <c r="AT138">
        <v>4.8759985756021522E-2</v>
      </c>
      <c r="AU138" t="b">
        <v>1</v>
      </c>
    </row>
    <row r="139" spans="1:47" x14ac:dyDescent="0.25">
      <c r="A139">
        <v>12.499999999999972</v>
      </c>
      <c r="B139">
        <v>0.1</v>
      </c>
      <c r="C139">
        <v>-601.62680911919313</v>
      </c>
      <c r="D139">
        <v>957.80667479642796</v>
      </c>
      <c r="E139">
        <v>1.5707938413259888</v>
      </c>
      <c r="F139">
        <v>99.999952284965104</v>
      </c>
      <c r="G139">
        <v>100</v>
      </c>
      <c r="H139">
        <v>4.1639223081650284E-6</v>
      </c>
      <c r="I139">
        <v>2.3857517447822829E-4</v>
      </c>
      <c r="J139">
        <v>0</v>
      </c>
      <c r="K139">
        <v>0</v>
      </c>
      <c r="L139">
        <v>0</v>
      </c>
      <c r="M139">
        <v>2.3857517447822829E-4</v>
      </c>
      <c r="N139">
        <v>-592.38800428263107</v>
      </c>
      <c r="O139">
        <v>961.63348615732855</v>
      </c>
      <c r="P139">
        <v>-499.99995591701048</v>
      </c>
      <c r="Q139">
        <v>999.90159976633402</v>
      </c>
      <c r="R139">
        <v>0.38268113609005511</v>
      </c>
      <c r="S139">
        <v>0.92388048365620579</v>
      </c>
      <c r="T139" t="str">
        <v/>
      </c>
      <c r="U139">
        <v>2</v>
      </c>
      <c r="V139">
        <v>-500</v>
      </c>
      <c r="W139">
        <v>500</v>
      </c>
      <c r="X139">
        <v>-500</v>
      </c>
      <c r="Y139">
        <v>1000</v>
      </c>
      <c r="Z139">
        <v>0</v>
      </c>
      <c r="AA139">
        <v>-500</v>
      </c>
      <c r="AB139">
        <v>-684.77600856526215</v>
      </c>
      <c r="AC139">
        <v>1423.2669723146571</v>
      </c>
      <c r="AD139">
        <v>-461.9402418281029</v>
      </c>
      <c r="AE139">
        <v>99.999952284965104</v>
      </c>
      <c r="AF139">
        <v>0.99980316301338068</v>
      </c>
      <c r="AG139" t="b">
        <v>1</v>
      </c>
      <c r="AH139">
        <v>99.999952284965104</v>
      </c>
      <c r="AI139">
        <v>3</v>
      </c>
      <c r="AJ139">
        <v>-500</v>
      </c>
      <c r="AK139">
        <v>1000</v>
      </c>
      <c r="AL139">
        <v>0</v>
      </c>
      <c r="AM139">
        <v>1000</v>
      </c>
      <c r="AN139">
        <v>-500</v>
      </c>
      <c r="AO139">
        <v>0</v>
      </c>
      <c r="AP139">
        <v>-684.77600856526215</v>
      </c>
      <c r="AQ139">
        <v>923.2669723146571</v>
      </c>
      <c r="AR139">
        <v>191.34056804502757</v>
      </c>
      <c r="AS139">
        <v>100.25713374500589</v>
      </c>
      <c r="AT139">
        <v>4.7520986337975266E-4</v>
      </c>
      <c r="AU139" t="b">
        <v>1</v>
      </c>
    </row>
    <row r="140" spans="1:47" x14ac:dyDescent="0.25">
      <c r="A140">
        <v>12.599999999999971</v>
      </c>
      <c r="B140">
        <v>0.1</v>
      </c>
      <c r="C140">
        <v>-601.62678842842638</v>
      </c>
      <c r="D140">
        <v>967.80667479640658</v>
      </c>
      <c r="E140">
        <v>1.5707942577182197</v>
      </c>
      <c r="F140">
        <v>25000</v>
      </c>
      <c r="G140">
        <v>100</v>
      </c>
      <c r="H140">
        <v>-2172.9349187329403</v>
      </c>
      <c r="I140">
        <v>-124500</v>
      </c>
      <c r="J140">
        <v>0</v>
      </c>
      <c r="K140">
        <v>0</v>
      </c>
      <c r="L140">
        <v>0</v>
      </c>
      <c r="M140">
        <v>-124500</v>
      </c>
      <c r="N140">
        <v>-592.38798518531962</v>
      </c>
      <c r="O140">
        <v>971.63349000427331</v>
      </c>
      <c r="P140">
        <v>-499.99995275425226</v>
      </c>
      <c r="Q140">
        <v>1009.9016420829411</v>
      </c>
      <c r="R140">
        <v>0.38268152078667766</v>
      </c>
      <c r="S140">
        <v>0.92388032431067368</v>
      </c>
      <c r="T140" t="str">
        <v/>
      </c>
      <c r="U140">
        <v>2</v>
      </c>
      <c r="V140">
        <v>-500</v>
      </c>
      <c r="W140">
        <v>500</v>
      </c>
      <c r="X140">
        <v>-500</v>
      </c>
      <c r="Y140">
        <v>1000</v>
      </c>
      <c r="Z140">
        <v>0</v>
      </c>
      <c r="AA140">
        <v>-500</v>
      </c>
      <c r="AB140">
        <v>-684.77597037063924</v>
      </c>
      <c r="AC140">
        <v>1443.2669800085466</v>
      </c>
      <c r="AD140">
        <v>-461.94016215533685</v>
      </c>
      <c r="AE140">
        <v>99.999948861614968</v>
      </c>
      <c r="AF140">
        <v>1.0198032450264523</v>
      </c>
      <c r="AG140" t="b">
        <v>0</v>
      </c>
      <c r="AH140">
        <v>25000</v>
      </c>
      <c r="AI140">
        <v>3</v>
      </c>
      <c r="AJ140">
        <v>-500</v>
      </c>
      <c r="AK140">
        <v>1000</v>
      </c>
      <c r="AL140">
        <v>0</v>
      </c>
      <c r="AM140">
        <v>1000</v>
      </c>
      <c r="AN140">
        <v>-500</v>
      </c>
      <c r="AO140">
        <v>0</v>
      </c>
      <c r="AP140">
        <v>-684.77597037063924</v>
      </c>
      <c r="AQ140">
        <v>943.26698000854662</v>
      </c>
      <c r="AR140">
        <v>191.34076039333883</v>
      </c>
      <c r="AS140">
        <v>74.125633078424343</v>
      </c>
      <c r="AT140">
        <v>-4.7809542514181888E-2</v>
      </c>
      <c r="AU140" t="b">
        <v>0</v>
      </c>
    </row>
    <row r="141" spans="1:47" x14ac:dyDescent="0.25">
      <c r="A141">
        <v>12.699999999999971</v>
      </c>
      <c r="B141">
        <v>0.1</v>
      </c>
      <c r="C141">
        <v>-606.62680634714536</v>
      </c>
      <c r="D141">
        <v>959.14643110396412</v>
      </c>
      <c r="E141">
        <v>-215.72269761557581</v>
      </c>
      <c r="F141">
        <v>25000</v>
      </c>
      <c r="G141">
        <v>100</v>
      </c>
      <c r="H141">
        <v>-2172.9349187329403</v>
      </c>
      <c r="I141">
        <v>-124500</v>
      </c>
      <c r="J141">
        <v>0</v>
      </c>
      <c r="K141">
        <v>0</v>
      </c>
      <c r="L141">
        <v>0</v>
      </c>
      <c r="M141">
        <v>-124500</v>
      </c>
      <c r="N141">
        <v>-616.54125226017527</v>
      </c>
      <c r="O141">
        <v>960.45171353991634</v>
      </c>
      <c r="P141">
        <v>-715.68571139047401</v>
      </c>
      <c r="Q141">
        <v>973.50453789943833</v>
      </c>
      <c r="R141">
        <v>0.1305282435952197</v>
      </c>
      <c r="S141">
        <v>-0.99144459130298701</v>
      </c>
      <c r="T141" t="str">
        <v/>
      </c>
      <c r="U141">
        <v>2</v>
      </c>
      <c r="V141">
        <v>-500</v>
      </c>
      <c r="W141">
        <v>500</v>
      </c>
      <c r="X141">
        <v>-500</v>
      </c>
      <c r="Y141">
        <v>1000</v>
      </c>
      <c r="Z141">
        <v>0</v>
      </c>
      <c r="AA141">
        <v>-500</v>
      </c>
      <c r="AB141">
        <v>-733.08250452035054</v>
      </c>
      <c r="AC141">
        <v>1420.9034270798327</v>
      </c>
      <c r="AD141">
        <v>495.72229565149348</v>
      </c>
      <c r="AE141">
        <v>-117.54691415181676</v>
      </c>
      <c r="AF141">
        <v>0.8902170425912832</v>
      </c>
      <c r="AG141" t="b">
        <v>0</v>
      </c>
      <c r="AH141">
        <v>25000</v>
      </c>
      <c r="AI141">
        <v>3</v>
      </c>
      <c r="AJ141">
        <v>-500</v>
      </c>
      <c r="AK141">
        <v>1000</v>
      </c>
      <c r="AL141">
        <v>0</v>
      </c>
      <c r="AM141">
        <v>1000</v>
      </c>
      <c r="AN141">
        <v>-500</v>
      </c>
      <c r="AO141">
        <v>0</v>
      </c>
      <c r="AP141">
        <v>-733.08250452035054</v>
      </c>
      <c r="AQ141">
        <v>920.90342707983268</v>
      </c>
      <c r="AR141">
        <v>65.264121797609846</v>
      </c>
      <c r="AS141">
        <v>302.98642937942691</v>
      </c>
      <c r="AT141">
        <v>-0.83387101781322492</v>
      </c>
      <c r="AU141" t="b">
        <v>0</v>
      </c>
    </row>
    <row r="142" spans="1:47" x14ac:dyDescent="0.25">
      <c r="A142">
        <v>12.799999999999971</v>
      </c>
      <c r="B142">
        <v>0.1</v>
      </c>
      <c r="C142">
        <v>-597.96654196393627</v>
      </c>
      <c r="D142">
        <v>964.14641318522388</v>
      </c>
      <c r="E142">
        <v>-433.01618948886983</v>
      </c>
      <c r="F142">
        <v>113.48431969269849</v>
      </c>
      <c r="G142">
        <v>100</v>
      </c>
      <c r="H142">
        <v>-1.1767288801454934</v>
      </c>
      <c r="I142">
        <v>-67.421598463492458</v>
      </c>
      <c r="J142">
        <v>0</v>
      </c>
      <c r="K142">
        <v>0</v>
      </c>
      <c r="L142">
        <v>0</v>
      </c>
      <c r="M142">
        <v>-67.421598463492458</v>
      </c>
      <c r="N142">
        <v>-590.03302115678161</v>
      </c>
      <c r="O142">
        <v>958.05878248006081</v>
      </c>
      <c r="P142">
        <v>-510.69781308523488</v>
      </c>
      <c r="Q142">
        <v>897.18247542843039</v>
      </c>
      <c r="R142">
        <v>-0.60876307051630441</v>
      </c>
      <c r="S142">
        <v>0.79335208071546715</v>
      </c>
      <c r="T142" t="str">
        <v/>
      </c>
      <c r="U142">
        <v>2</v>
      </c>
      <c r="V142">
        <v>-500</v>
      </c>
      <c r="W142">
        <v>500</v>
      </c>
      <c r="X142">
        <v>-500</v>
      </c>
      <c r="Y142">
        <v>1000</v>
      </c>
      <c r="Z142">
        <v>0</v>
      </c>
      <c r="AA142">
        <v>-500</v>
      </c>
      <c r="AB142">
        <v>-680.06604231356323</v>
      </c>
      <c r="AC142">
        <v>1416.1175649601216</v>
      </c>
      <c r="AD142">
        <v>-396.6760403577336</v>
      </c>
      <c r="AE142">
        <v>113.48431969269849</v>
      </c>
      <c r="AF142">
        <v>0.77794743913695941</v>
      </c>
      <c r="AG142" t="b">
        <v>1</v>
      </c>
      <c r="AH142">
        <v>113.48431969269849</v>
      </c>
      <c r="AI142">
        <v>3</v>
      </c>
      <c r="AJ142">
        <v>-500</v>
      </c>
      <c r="AK142">
        <v>1000</v>
      </c>
      <c r="AL142">
        <v>0</v>
      </c>
      <c r="AM142">
        <v>1000</v>
      </c>
      <c r="AN142">
        <v>-500</v>
      </c>
      <c r="AO142">
        <v>0</v>
      </c>
      <c r="AP142">
        <v>-680.06604231356323</v>
      </c>
      <c r="AQ142">
        <v>916.11756496012163</v>
      </c>
      <c r="AR142">
        <v>-304.38153525815221</v>
      </c>
      <c r="AS142">
        <v>-68.895797973369142</v>
      </c>
      <c r="AT142">
        <v>-0.28938329166301296</v>
      </c>
      <c r="AU142" t="b">
        <v>0</v>
      </c>
    </row>
    <row r="143" spans="1:47" x14ac:dyDescent="0.25">
      <c r="A143">
        <v>12.89999999999997</v>
      </c>
      <c r="B143">
        <v>0.1</v>
      </c>
      <c r="C143">
        <v>-588.77916193198678</v>
      </c>
      <c r="D143">
        <v>968.09508994440989</v>
      </c>
      <c r="E143">
        <v>-433.13386237688439</v>
      </c>
      <c r="F143">
        <v>113.92470765365216</v>
      </c>
      <c r="G143">
        <v>100</v>
      </c>
      <c r="H143">
        <v>-1.2151599796694224</v>
      </c>
      <c r="I143">
        <v>-69.623538268260816</v>
      </c>
      <c r="J143">
        <v>0</v>
      </c>
      <c r="K143">
        <v>0</v>
      </c>
      <c r="L143">
        <v>0</v>
      </c>
      <c r="M143">
        <v>-69.623538268260816</v>
      </c>
      <c r="N143">
        <v>-581.61520216860299</v>
      </c>
      <c r="O143">
        <v>961.11815075099435</v>
      </c>
      <c r="P143">
        <v>-509.97560453476467</v>
      </c>
      <c r="Q143">
        <v>891.34875881683922</v>
      </c>
      <c r="R143">
        <v>-0.69769391934155112</v>
      </c>
      <c r="S143">
        <v>0.71639597633838303</v>
      </c>
      <c r="T143" t="str">
        <v/>
      </c>
      <c r="U143">
        <v>2</v>
      </c>
      <c r="V143">
        <v>-500</v>
      </c>
      <c r="W143">
        <v>500</v>
      </c>
      <c r="X143">
        <v>-500</v>
      </c>
      <c r="Y143">
        <v>1000</v>
      </c>
      <c r="Z143">
        <v>0</v>
      </c>
      <c r="AA143">
        <v>-500</v>
      </c>
      <c r="AB143">
        <v>-663.23040433720598</v>
      </c>
      <c r="AC143">
        <v>1422.2363015019887</v>
      </c>
      <c r="AD143">
        <v>-358.19798816919149</v>
      </c>
      <c r="AE143">
        <v>113.92470765365216</v>
      </c>
      <c r="AF143">
        <v>0.76326714991655487</v>
      </c>
      <c r="AG143" t="b">
        <v>1</v>
      </c>
      <c r="AH143">
        <v>113.92470765365216</v>
      </c>
      <c r="AI143">
        <v>3</v>
      </c>
      <c r="AJ143">
        <v>-500</v>
      </c>
      <c r="AK143">
        <v>1000</v>
      </c>
      <c r="AL143">
        <v>0</v>
      </c>
      <c r="AM143">
        <v>1000</v>
      </c>
      <c r="AN143">
        <v>-500</v>
      </c>
      <c r="AO143">
        <v>0</v>
      </c>
      <c r="AP143">
        <v>-663.23040433720598</v>
      </c>
      <c r="AQ143">
        <v>922.23630150198869</v>
      </c>
      <c r="AR143">
        <v>-348.84695967077556</v>
      </c>
      <c r="AS143">
        <v>-55.729092903232427</v>
      </c>
      <c r="AT143">
        <v>-0.24307860017893329</v>
      </c>
      <c r="AU143" t="b">
        <v>0</v>
      </c>
    </row>
    <row r="144" spans="1:47" x14ac:dyDescent="0.25">
      <c r="A144">
        <v>12.99999999999997</v>
      </c>
      <c r="B144">
        <v>0.1</v>
      </c>
      <c r="C144">
        <v>-579.18088213148758</v>
      </c>
      <c r="D144">
        <v>970.90098104552726</v>
      </c>
      <c r="E144">
        <v>-433.25537837485132</v>
      </c>
      <c r="F144">
        <v>116.37785425728161</v>
      </c>
      <c r="G144">
        <v>100</v>
      </c>
      <c r="H144">
        <v>-1.429237406006673</v>
      </c>
      <c r="I144">
        <v>-81.889271286408061</v>
      </c>
      <c r="J144">
        <v>0</v>
      </c>
      <c r="K144">
        <v>0</v>
      </c>
      <c r="L144">
        <v>0</v>
      </c>
      <c r="M144">
        <v>-81.889271286408061</v>
      </c>
      <c r="N144">
        <v>-572.9154741138542</v>
      </c>
      <c r="O144">
        <v>963.10709482794778</v>
      </c>
      <c r="P144">
        <v>-510.26139393752032</v>
      </c>
      <c r="Q144">
        <v>885.16823265215305</v>
      </c>
      <c r="R144">
        <v>-0.77938862175794743</v>
      </c>
      <c r="S144">
        <v>0.62654080176333871</v>
      </c>
      <c r="T144" t="str">
        <v/>
      </c>
      <c r="U144">
        <v>2</v>
      </c>
      <c r="V144">
        <v>-500</v>
      </c>
      <c r="W144">
        <v>500</v>
      </c>
      <c r="X144">
        <v>-500</v>
      </c>
      <c r="Y144">
        <v>1000</v>
      </c>
      <c r="Z144">
        <v>0</v>
      </c>
      <c r="AA144">
        <v>-500</v>
      </c>
      <c r="AB144">
        <v>-645.8309482277084</v>
      </c>
      <c r="AC144">
        <v>1426.2141896558956</v>
      </c>
      <c r="AD144">
        <v>-313.27040088166933</v>
      </c>
      <c r="AE144">
        <v>116.37785425728161</v>
      </c>
      <c r="AF144">
        <v>0.74480703879043564</v>
      </c>
      <c r="AG144" t="b">
        <v>1</v>
      </c>
      <c r="AH144">
        <v>116.37785425728161</v>
      </c>
      <c r="AI144">
        <v>3</v>
      </c>
      <c r="AJ144">
        <v>-500</v>
      </c>
      <c r="AK144">
        <v>1000</v>
      </c>
      <c r="AL144">
        <v>0</v>
      </c>
      <c r="AM144">
        <v>1000</v>
      </c>
      <c r="AN144">
        <v>-500</v>
      </c>
      <c r="AO144">
        <v>0</v>
      </c>
      <c r="AP144">
        <v>-645.8309482277084</v>
      </c>
      <c r="AQ144">
        <v>926.21418965589555</v>
      </c>
      <c r="AR144">
        <v>-389.69431087897374</v>
      </c>
      <c r="AS144">
        <v>-47.335698959574948</v>
      </c>
      <c r="AT144">
        <v>-0.20514644178402863</v>
      </c>
      <c r="AU144" t="b">
        <v>0</v>
      </c>
    </row>
    <row r="145" spans="1:47" x14ac:dyDescent="0.25">
      <c r="A145">
        <v>13.099999999999969</v>
      </c>
      <c r="B145">
        <v>0.1</v>
      </c>
      <c r="C145">
        <v>-569.28080400469071</v>
      </c>
      <c r="D145">
        <v>972.31110624681878</v>
      </c>
      <c r="E145">
        <v>-433.398302115452</v>
      </c>
      <c r="F145">
        <v>126.07466150261429</v>
      </c>
      <c r="G145">
        <v>100</v>
      </c>
      <c r="H145">
        <v>-2.2754434728181567</v>
      </c>
      <c r="I145">
        <v>-130.37330751307144</v>
      </c>
      <c r="J145">
        <v>0</v>
      </c>
      <c r="K145">
        <v>0</v>
      </c>
      <c r="L145">
        <v>0</v>
      </c>
      <c r="M145">
        <v>-130.37330751307144</v>
      </c>
      <c r="N145">
        <v>-564.18942231469407</v>
      </c>
      <c r="O145">
        <v>963.70425824730319</v>
      </c>
      <c r="P145">
        <v>-513.27560541472724</v>
      </c>
      <c r="Q145">
        <v>877.63577825214679</v>
      </c>
      <c r="R145">
        <v>-0.86068479995156455</v>
      </c>
      <c r="S145">
        <v>0.50913816899966879</v>
      </c>
      <c r="T145" t="str">
        <v/>
      </c>
      <c r="U145">
        <v>2</v>
      </c>
      <c r="V145">
        <v>-500</v>
      </c>
      <c r="W145">
        <v>500</v>
      </c>
      <c r="X145">
        <v>-500</v>
      </c>
      <c r="Y145">
        <v>1000</v>
      </c>
      <c r="Z145">
        <v>0</v>
      </c>
      <c r="AA145">
        <v>-500</v>
      </c>
      <c r="AB145">
        <v>-628.37884462938814</v>
      </c>
      <c r="AC145">
        <v>1427.4085164946064</v>
      </c>
      <c r="AD145">
        <v>-254.56908449983439</v>
      </c>
      <c r="AE145">
        <v>126.07466150261429</v>
      </c>
      <c r="AF145">
        <v>0.71038742686592882</v>
      </c>
      <c r="AG145" t="b">
        <v>1</v>
      </c>
      <c r="AH145">
        <v>126.07466150261429</v>
      </c>
      <c r="AI145">
        <v>3</v>
      </c>
      <c r="AJ145">
        <v>-500</v>
      </c>
      <c r="AK145">
        <v>1000</v>
      </c>
      <c r="AL145">
        <v>0</v>
      </c>
      <c r="AM145">
        <v>1000</v>
      </c>
      <c r="AN145">
        <v>-500</v>
      </c>
      <c r="AO145">
        <v>0</v>
      </c>
      <c r="AP145">
        <v>-628.37884462938814</v>
      </c>
      <c r="AQ145">
        <v>927.40851649460637</v>
      </c>
      <c r="AR145">
        <v>-430.34239997578226</v>
      </c>
      <c r="AS145">
        <v>-42.170771175161192</v>
      </c>
      <c r="AT145">
        <v>-0.17132034307223928</v>
      </c>
      <c r="AU145" t="b">
        <v>0</v>
      </c>
    </row>
    <row r="146" spans="1:47" x14ac:dyDescent="0.25">
      <c r="A146">
        <v>13.199999999999969</v>
      </c>
      <c r="B146">
        <v>0.1</v>
      </c>
      <c r="C146">
        <v>-559.31781300244495</v>
      </c>
      <c r="D146">
        <v>971.45156550364845</v>
      </c>
      <c r="E146">
        <v>-433.62584646273382</v>
      </c>
      <c r="F146">
        <v>186.5103326020031</v>
      </c>
      <c r="G146">
        <v>100</v>
      </c>
      <c r="H146">
        <v>-7.5494507045017372</v>
      </c>
      <c r="I146">
        <v>-432.55166301001555</v>
      </c>
      <c r="J146">
        <v>0</v>
      </c>
      <c r="K146">
        <v>0</v>
      </c>
      <c r="L146">
        <v>0</v>
      </c>
      <c r="M146">
        <v>-432.55166301001555</v>
      </c>
      <c r="N146">
        <v>-556.29925350905773</v>
      </c>
      <c r="O146">
        <v>961.91803003222537</v>
      </c>
      <c r="P146">
        <v>-526.11365857518592</v>
      </c>
      <c r="Q146">
        <v>866.58267531799459</v>
      </c>
      <c r="R146">
        <v>-0.95335354714230813</v>
      </c>
      <c r="S146">
        <v>0.30185594933871823</v>
      </c>
      <c r="T146" t="str">
        <v/>
      </c>
      <c r="U146">
        <v>2</v>
      </c>
      <c r="V146">
        <v>-500</v>
      </c>
      <c r="W146">
        <v>500</v>
      </c>
      <c r="X146">
        <v>-500</v>
      </c>
      <c r="Y146">
        <v>1000</v>
      </c>
      <c r="Z146">
        <v>0</v>
      </c>
      <c r="AA146">
        <v>-500</v>
      </c>
      <c r="AB146">
        <v>-612.59850701811547</v>
      </c>
      <c r="AC146">
        <v>1423.8360600644507</v>
      </c>
      <c r="AD146">
        <v>-150.92797466935912</v>
      </c>
      <c r="AE146">
        <v>186.5103326020031</v>
      </c>
      <c r="AF146">
        <v>0.56821548573482805</v>
      </c>
      <c r="AG146" t="b">
        <v>1</v>
      </c>
      <c r="AH146">
        <v>186.5103326020031</v>
      </c>
      <c r="AI146">
        <v>3</v>
      </c>
      <c r="AJ146">
        <v>-500</v>
      </c>
      <c r="AK146">
        <v>1000</v>
      </c>
      <c r="AL146">
        <v>0</v>
      </c>
      <c r="AM146">
        <v>1000</v>
      </c>
      <c r="AN146">
        <v>-500</v>
      </c>
      <c r="AO146">
        <v>0</v>
      </c>
      <c r="AP146">
        <v>-612.59850701811547</v>
      </c>
      <c r="AQ146">
        <v>923.83606006445075</v>
      </c>
      <c r="AR146">
        <v>-476.67677357115406</v>
      </c>
      <c r="AS146">
        <v>-39.945275372316928</v>
      </c>
      <c r="AT146">
        <v>-0.13671394505632997</v>
      </c>
      <c r="AU146" t="b">
        <v>0</v>
      </c>
    </row>
    <row r="147" spans="1:47" x14ac:dyDescent="0.25">
      <c r="A147">
        <v>13.299999999999969</v>
      </c>
      <c r="B147">
        <v>0.1</v>
      </c>
      <c r="C147">
        <v>-552.65067429451199</v>
      </c>
      <c r="D147">
        <v>963.99842781209986</v>
      </c>
      <c r="E147">
        <v>-434.38079153318398</v>
      </c>
      <c r="F147">
        <v>25000</v>
      </c>
      <c r="G147">
        <v>100</v>
      </c>
      <c r="H147">
        <v>-2172.9349187329403</v>
      </c>
      <c r="I147">
        <v>-124500</v>
      </c>
      <c r="J147">
        <v>0</v>
      </c>
      <c r="K147">
        <v>0</v>
      </c>
      <c r="L147">
        <v>0</v>
      </c>
      <c r="M147">
        <v>-124500</v>
      </c>
      <c r="N147">
        <v>-556.9850721359162</v>
      </c>
      <c r="O147">
        <v>954.98660250573539</v>
      </c>
      <c r="P147">
        <v>-600.32905054995877</v>
      </c>
      <c r="Q147">
        <v>864.86834944209124</v>
      </c>
      <c r="R147">
        <v>-0.9011825306364416</v>
      </c>
      <c r="S147">
        <v>-0.43343978414042589</v>
      </c>
      <c r="T147" t="str">
        <v/>
      </c>
      <c r="U147">
        <v>2</v>
      </c>
      <c r="V147">
        <v>-500</v>
      </c>
      <c r="W147">
        <v>500</v>
      </c>
      <c r="X147">
        <v>-500</v>
      </c>
      <c r="Y147">
        <v>1000</v>
      </c>
      <c r="Z147">
        <v>0</v>
      </c>
      <c r="AA147">
        <v>-500</v>
      </c>
      <c r="AB147">
        <v>-613.9701442718324</v>
      </c>
      <c r="AC147">
        <v>1409.9732050114708</v>
      </c>
      <c r="AD147">
        <v>216.71989207021295</v>
      </c>
      <c r="AE147">
        <v>-131.47171584381871</v>
      </c>
      <c r="AF147">
        <v>1.1469332321939663</v>
      </c>
      <c r="AG147" t="b">
        <v>0</v>
      </c>
      <c r="AH147">
        <v>25000</v>
      </c>
      <c r="AI147">
        <v>3</v>
      </c>
      <c r="AJ147">
        <v>-500</v>
      </c>
      <c r="AK147">
        <v>1000</v>
      </c>
      <c r="AL147">
        <v>0</v>
      </c>
      <c r="AM147">
        <v>1000</v>
      </c>
      <c r="AN147">
        <v>-500</v>
      </c>
      <c r="AO147">
        <v>0</v>
      </c>
      <c r="AP147">
        <v>-613.9701442718324</v>
      </c>
      <c r="AQ147">
        <v>909.97320501147078</v>
      </c>
      <c r="AR147">
        <v>-450.59126531822079</v>
      </c>
      <c r="AS147">
        <v>-49.949256631145332</v>
      </c>
      <c r="AT147">
        <v>-7.0670154247475664E-2</v>
      </c>
      <c r="AU147" t="b">
        <v>0</v>
      </c>
    </row>
    <row r="148" spans="1:47" x14ac:dyDescent="0.25">
      <c r="A148">
        <v>13.399999999999968</v>
      </c>
      <c r="B148">
        <v>0.1</v>
      </c>
      <c r="C148">
        <v>-554.69801694036209</v>
      </c>
      <c r="D148">
        <v>973.78660374485071</v>
      </c>
      <c r="E148">
        <v>-651.67428340647803</v>
      </c>
      <c r="F148">
        <v>25000</v>
      </c>
      <c r="G148">
        <v>100</v>
      </c>
      <c r="H148">
        <v>-2172.9349187329403</v>
      </c>
      <c r="I148">
        <v>-124500</v>
      </c>
      <c r="J148">
        <v>0</v>
      </c>
      <c r="K148">
        <v>0</v>
      </c>
      <c r="L148">
        <v>0</v>
      </c>
      <c r="M148">
        <v>-124500</v>
      </c>
      <c r="N148">
        <v>-546.43840564641528</v>
      </c>
      <c r="O148">
        <v>979.42387447392753</v>
      </c>
      <c r="P148">
        <v>-463.84229270694732</v>
      </c>
      <c r="Q148">
        <v>1035.7965817646959</v>
      </c>
      <c r="R148">
        <v>0.56372707290768354</v>
      </c>
      <c r="S148">
        <v>0.82596112939467992</v>
      </c>
      <c r="T148" t="str">
        <v/>
      </c>
      <c r="U148">
        <v>2</v>
      </c>
      <c r="V148">
        <v>-500</v>
      </c>
      <c r="W148">
        <v>500</v>
      </c>
      <c r="X148">
        <v>-500</v>
      </c>
      <c r="Y148">
        <v>1000</v>
      </c>
      <c r="Z148">
        <v>0</v>
      </c>
      <c r="AA148">
        <v>-500</v>
      </c>
      <c r="AB148">
        <v>-592.87681129283055</v>
      </c>
      <c r="AC148">
        <v>1458.8477489478551</v>
      </c>
      <c r="AD148">
        <v>-412.98056469733996</v>
      </c>
      <c r="AE148">
        <v>56.223475892199033</v>
      </c>
      <c r="AF148">
        <v>1.0222371399346653</v>
      </c>
      <c r="AG148" t="b">
        <v>0</v>
      </c>
      <c r="AH148">
        <v>25000</v>
      </c>
      <c r="AI148">
        <v>3</v>
      </c>
      <c r="AJ148">
        <v>-500</v>
      </c>
      <c r="AK148">
        <v>1000</v>
      </c>
      <c r="AL148">
        <v>0</v>
      </c>
      <c r="AM148">
        <v>1000</v>
      </c>
      <c r="AN148">
        <v>-500</v>
      </c>
      <c r="AO148">
        <v>0</v>
      </c>
      <c r="AP148">
        <v>-592.87681129283055</v>
      </c>
      <c r="AQ148">
        <v>958.84774894785505</v>
      </c>
      <c r="AR148">
        <v>281.86353645384179</v>
      </c>
      <c r="AS148">
        <v>36.500154977375082</v>
      </c>
      <c r="AT148">
        <v>-3.2581392836443408E-2</v>
      </c>
      <c r="AU148" t="b">
        <v>0</v>
      </c>
    </row>
    <row r="149" spans="1:47" x14ac:dyDescent="0.25">
      <c r="A149">
        <v>13.499999999999968</v>
      </c>
      <c r="B149">
        <v>0.1</v>
      </c>
      <c r="C149">
        <v>-557.81905416517964</v>
      </c>
      <c r="D149">
        <v>964.28612340745178</v>
      </c>
      <c r="E149">
        <v>-868.96777527977201</v>
      </c>
      <c r="F149">
        <v>25000</v>
      </c>
      <c r="G149">
        <v>100</v>
      </c>
      <c r="H149">
        <v>-2172.9349187329403</v>
      </c>
      <c r="I149">
        <v>-124500</v>
      </c>
      <c r="J149">
        <v>0</v>
      </c>
      <c r="K149">
        <v>0</v>
      </c>
      <c r="L149">
        <v>0</v>
      </c>
      <c r="M149">
        <v>-124500</v>
      </c>
      <c r="N149">
        <v>-567.79072273566078</v>
      </c>
      <c r="O149">
        <v>963.53390939503379</v>
      </c>
      <c r="P149">
        <v>-667.50740844047255</v>
      </c>
      <c r="Q149">
        <v>956.01176927085373</v>
      </c>
      <c r="R149">
        <v>-7.5221401241800823E-2</v>
      </c>
      <c r="S149">
        <v>-0.99716685704811714</v>
      </c>
      <c r="T149" t="str">
        <v/>
      </c>
      <c r="U149">
        <v>2</v>
      </c>
      <c r="V149">
        <v>-500</v>
      </c>
      <c r="W149">
        <v>500</v>
      </c>
      <c r="X149">
        <v>-500</v>
      </c>
      <c r="Y149">
        <v>1000</v>
      </c>
      <c r="Z149">
        <v>0</v>
      </c>
      <c r="AA149">
        <v>-500</v>
      </c>
      <c r="AB149">
        <v>-635.58144547132156</v>
      </c>
      <c r="AC149">
        <v>1427.0678187900676</v>
      </c>
      <c r="AD149">
        <v>498.58342852405855</v>
      </c>
      <c r="AE149">
        <v>-67.983329225702107</v>
      </c>
      <c r="AF149">
        <v>0.93729542136094757</v>
      </c>
      <c r="AG149" t="b">
        <v>0</v>
      </c>
      <c r="AH149">
        <v>25000</v>
      </c>
      <c r="AI149">
        <v>3</v>
      </c>
      <c r="AJ149">
        <v>-500</v>
      </c>
      <c r="AK149">
        <v>1000</v>
      </c>
      <c r="AL149">
        <v>0</v>
      </c>
      <c r="AM149">
        <v>1000</v>
      </c>
      <c r="AN149">
        <v>-500</v>
      </c>
      <c r="AO149">
        <v>0</v>
      </c>
      <c r="AP149">
        <v>-635.58144547132156</v>
      </c>
      <c r="AQ149">
        <v>927.06781879006758</v>
      </c>
      <c r="AR149">
        <v>-37.61070062090041</v>
      </c>
      <c r="AS149">
        <v>-484.78345262068677</v>
      </c>
      <c r="AT149">
        <v>0.8312385381260885</v>
      </c>
      <c r="AU149" t="b">
        <v>0</v>
      </c>
    </row>
    <row r="150" spans="1:47" x14ac:dyDescent="0.25">
      <c r="A150">
        <v>13.599999999999968</v>
      </c>
      <c r="B150">
        <v>0.1</v>
      </c>
      <c r="C150">
        <v>-550.36591647363161</v>
      </c>
      <c r="D150">
        <v>970.95326211538531</v>
      </c>
      <c r="E150">
        <v>-1086.261267153066</v>
      </c>
      <c r="F150">
        <v>45.888695976005089</v>
      </c>
      <c r="G150">
        <v>100</v>
      </c>
      <c r="H150">
        <v>4.7221020888318392</v>
      </c>
      <c r="I150">
        <v>270.55652011997455</v>
      </c>
      <c r="J150">
        <v>0</v>
      </c>
      <c r="K150">
        <v>0</v>
      </c>
      <c r="L150">
        <v>0</v>
      </c>
      <c r="M150">
        <v>270.55652011997455</v>
      </c>
      <c r="N150">
        <v>-541.35409116726635</v>
      </c>
      <c r="O150">
        <v>966.61886427398281</v>
      </c>
      <c r="P150">
        <v>-451.2358381036139</v>
      </c>
      <c r="Q150">
        <v>923.27488585995741</v>
      </c>
      <c r="R150">
        <v>-0.43343978414025408</v>
      </c>
      <c r="S150">
        <v>0.9011825306365242</v>
      </c>
      <c r="T150" t="str">
        <v/>
      </c>
      <c r="U150">
        <v>2</v>
      </c>
      <c r="V150">
        <v>-500</v>
      </c>
      <c r="W150">
        <v>500</v>
      </c>
      <c r="X150">
        <v>-500</v>
      </c>
      <c r="Y150">
        <v>1000</v>
      </c>
      <c r="Z150">
        <v>0</v>
      </c>
      <c r="AA150">
        <v>-500</v>
      </c>
      <c r="AB150">
        <v>-582.70818233453269</v>
      </c>
      <c r="AC150">
        <v>1433.2377285479656</v>
      </c>
      <c r="AD150">
        <v>-450.59126531826212</v>
      </c>
      <c r="AE150">
        <v>45.888695976005089</v>
      </c>
      <c r="AF150">
        <v>0.89345775559133089</v>
      </c>
      <c r="AG150" t="b">
        <v>1</v>
      </c>
      <c r="AH150">
        <v>45.888695976005089</v>
      </c>
      <c r="AI150">
        <v>3</v>
      </c>
      <c r="AJ150">
        <v>-500</v>
      </c>
      <c r="AK150">
        <v>1000</v>
      </c>
      <c r="AL150">
        <v>0</v>
      </c>
      <c r="AM150">
        <v>1000</v>
      </c>
      <c r="AN150">
        <v>-500</v>
      </c>
      <c r="AO150">
        <v>0</v>
      </c>
      <c r="AP150">
        <v>-582.70818233453269</v>
      </c>
      <c r="AQ150">
        <v>933.23772854796562</v>
      </c>
      <c r="AR150">
        <v>-216.71989207012703</v>
      </c>
      <c r="AS150">
        <v>-77.014471092518818</v>
      </c>
      <c r="AT150">
        <v>-0.22151637424411177</v>
      </c>
      <c r="AU150" t="b">
        <v>0</v>
      </c>
    </row>
    <row r="151" spans="1:47" x14ac:dyDescent="0.25">
      <c r="A151">
        <v>13.699999999999967</v>
      </c>
      <c r="B151">
        <v>0.1</v>
      </c>
      <c r="C151">
        <v>-546.7609981187328</v>
      </c>
      <c r="D151">
        <v>980.28088580282645</v>
      </c>
      <c r="E151">
        <v>-1085.7890569441829</v>
      </c>
      <c r="F151">
        <v>36.774360892985243</v>
      </c>
      <c r="G151">
        <v>100</v>
      </c>
      <c r="H151">
        <v>5.5174778704754752</v>
      </c>
      <c r="I151">
        <v>316.12819553507381</v>
      </c>
      <c r="J151">
        <v>0</v>
      </c>
      <c r="K151">
        <v>0</v>
      </c>
      <c r="L151">
        <v>0</v>
      </c>
      <c r="M151">
        <v>316.12819553507381</v>
      </c>
      <c r="N151">
        <v>-536.76385497748993</v>
      </c>
      <c r="O151">
        <v>980.51990256688214</v>
      </c>
      <c r="P151">
        <v>-436.79242356506074</v>
      </c>
      <c r="Q151">
        <v>982.91007020743905</v>
      </c>
      <c r="R151">
        <v>2.3901676405569273E-2</v>
      </c>
      <c r="S151">
        <v>0.9997143141242919</v>
      </c>
      <c r="T151" t="str">
        <v/>
      </c>
      <c r="U151">
        <v>2</v>
      </c>
      <c r="V151">
        <v>-500</v>
      </c>
      <c r="W151">
        <v>500</v>
      </c>
      <c r="X151">
        <v>-500</v>
      </c>
      <c r="Y151">
        <v>1000</v>
      </c>
      <c r="Z151">
        <v>0</v>
      </c>
      <c r="AA151">
        <v>-500</v>
      </c>
      <c r="AB151">
        <v>-573.52770995497985</v>
      </c>
      <c r="AC151">
        <v>1461.0398051337643</v>
      </c>
      <c r="AD151">
        <v>-499.85715706214597</v>
      </c>
      <c r="AE151">
        <v>36.774360892985243</v>
      </c>
      <c r="AF151">
        <v>0.96279774288193576</v>
      </c>
      <c r="AG151" t="b">
        <v>1</v>
      </c>
      <c r="AH151">
        <v>36.774360892985243</v>
      </c>
      <c r="AI151">
        <v>3</v>
      </c>
      <c r="AJ151">
        <v>-500</v>
      </c>
      <c r="AK151">
        <v>1000</v>
      </c>
      <c r="AL151">
        <v>0</v>
      </c>
      <c r="AM151">
        <v>1000</v>
      </c>
      <c r="AN151">
        <v>-500</v>
      </c>
      <c r="AO151">
        <v>0</v>
      </c>
      <c r="AP151">
        <v>-573.52770995497985</v>
      </c>
      <c r="AQ151">
        <v>961.03980513376428</v>
      </c>
      <c r="AR151">
        <v>11.950838202784636</v>
      </c>
      <c r="AS151">
        <v>815.0096713960553</v>
      </c>
      <c r="AT151">
        <v>1.556025959333764</v>
      </c>
      <c r="AU151" t="b">
        <v>0</v>
      </c>
    </row>
    <row r="152" spans="1:47" x14ac:dyDescent="0.25">
      <c r="A152">
        <v>13.799999999999967</v>
      </c>
      <c r="B152">
        <v>0.1</v>
      </c>
      <c r="C152">
        <v>-548.58033554758038</v>
      </c>
      <c r="D152">
        <v>990.11399372046844</v>
      </c>
      <c r="E152">
        <v>-1085.2373091571353</v>
      </c>
      <c r="F152">
        <v>25000</v>
      </c>
      <c r="G152">
        <v>100</v>
      </c>
      <c r="H152">
        <v>-2172.9349187329403</v>
      </c>
      <c r="I152">
        <v>-124500</v>
      </c>
      <c r="J152">
        <v>0</v>
      </c>
      <c r="K152">
        <v>0</v>
      </c>
      <c r="L152">
        <v>0</v>
      </c>
      <c r="M152">
        <v>-124500</v>
      </c>
      <c r="N152">
        <v>-540.19195869339842</v>
      </c>
      <c r="O152">
        <v>995.5578098224529</v>
      </c>
      <c r="P152">
        <v>-456.30819015157903</v>
      </c>
      <c r="Q152">
        <v>1049.9959708422971</v>
      </c>
      <c r="R152">
        <v>0.54438161019844078</v>
      </c>
      <c r="S152">
        <v>0.83883768541819392</v>
      </c>
      <c r="T152" t="str">
        <v/>
      </c>
      <c r="U152">
        <v>2</v>
      </c>
      <c r="V152">
        <v>-500</v>
      </c>
      <c r="W152">
        <v>500</v>
      </c>
      <c r="X152">
        <v>-500</v>
      </c>
      <c r="Y152">
        <v>1000</v>
      </c>
      <c r="Z152">
        <v>0</v>
      </c>
      <c r="AA152">
        <v>-500</v>
      </c>
      <c r="AB152">
        <v>-580.38391738679684</v>
      </c>
      <c r="AC152">
        <v>1491.1156196449058</v>
      </c>
      <c r="AD152">
        <v>-419.41884270909696</v>
      </c>
      <c r="AE152">
        <v>47.913868668598418</v>
      </c>
      <c r="AF152">
        <v>1.0432824775982021</v>
      </c>
      <c r="AG152" t="b">
        <v>0</v>
      </c>
      <c r="AH152">
        <v>25000</v>
      </c>
      <c r="AI152">
        <v>3</v>
      </c>
      <c r="AJ152">
        <v>-500</v>
      </c>
      <c r="AK152">
        <v>1000</v>
      </c>
      <c r="AL152">
        <v>0</v>
      </c>
      <c r="AM152">
        <v>1000</v>
      </c>
      <c r="AN152">
        <v>-500</v>
      </c>
      <c r="AO152">
        <v>0</v>
      </c>
      <c r="AP152">
        <v>-580.38391738679684</v>
      </c>
      <c r="AQ152">
        <v>991.11561964490579</v>
      </c>
      <c r="AR152">
        <v>272.19080509922037</v>
      </c>
      <c r="AS152">
        <v>8.1600665678765569</v>
      </c>
      <c r="AT152">
        <v>-6.6693974681484927E-2</v>
      </c>
      <c r="AU152" t="b">
        <v>0</v>
      </c>
    </row>
    <row r="153" spans="1:47" x14ac:dyDescent="0.25">
      <c r="A153">
        <v>13.899999999999967</v>
      </c>
      <c r="B153">
        <v>0.1</v>
      </c>
      <c r="C153">
        <v>-551.92129707496315</v>
      </c>
      <c r="D153">
        <v>980.68860375121267</v>
      </c>
      <c r="E153">
        <v>-1302.5308010304293</v>
      </c>
      <c r="F153">
        <v>25000</v>
      </c>
      <c r="G153">
        <v>100</v>
      </c>
      <c r="H153">
        <v>-2172.9349187329403</v>
      </c>
      <c r="I153">
        <v>-124500</v>
      </c>
      <c r="J153">
        <v>0</v>
      </c>
      <c r="K153">
        <v>0</v>
      </c>
      <c r="L153">
        <v>0</v>
      </c>
      <c r="M153">
        <v>-124500</v>
      </c>
      <c r="N153">
        <v>-561.90775257819428</v>
      </c>
      <c r="O153">
        <v>980.16830914045397</v>
      </c>
      <c r="P153">
        <v>-661.77230761050566</v>
      </c>
      <c r="Q153">
        <v>974.96536303286643</v>
      </c>
      <c r="R153">
        <v>-5.2029461075875194E-2</v>
      </c>
      <c r="S153">
        <v>-0.99864555032311342</v>
      </c>
      <c r="T153" t="str">
        <v/>
      </c>
      <c r="U153">
        <v>2</v>
      </c>
      <c r="V153">
        <v>-500</v>
      </c>
      <c r="W153">
        <v>500</v>
      </c>
      <c r="X153">
        <v>-500</v>
      </c>
      <c r="Y153">
        <v>1000</v>
      </c>
      <c r="Z153">
        <v>0</v>
      </c>
      <c r="AA153">
        <v>-500</v>
      </c>
      <c r="AB153">
        <v>-623.81550515638855</v>
      </c>
      <c r="AC153">
        <v>1460.3366182809079</v>
      </c>
      <c r="AD153">
        <v>499.32277516155671</v>
      </c>
      <c r="AE153">
        <v>-61.991717239579067</v>
      </c>
      <c r="AF153">
        <v>0.96678740955919462</v>
      </c>
      <c r="AG153" t="b">
        <v>0</v>
      </c>
      <c r="AH153">
        <v>25000</v>
      </c>
      <c r="AI153">
        <v>3</v>
      </c>
      <c r="AJ153">
        <v>-500</v>
      </c>
      <c r="AK153">
        <v>1000</v>
      </c>
      <c r="AL153">
        <v>0</v>
      </c>
      <c r="AM153">
        <v>1000</v>
      </c>
      <c r="AN153">
        <v>-500</v>
      </c>
      <c r="AO153">
        <v>0</v>
      </c>
      <c r="AP153">
        <v>-623.81550515638855</v>
      </c>
      <c r="AQ153">
        <v>960.33661828090794</v>
      </c>
      <c r="AR153">
        <v>-26.014730537937599</v>
      </c>
      <c r="AS153">
        <v>-381.16271914916115</v>
      </c>
      <c r="AT153">
        <v>0.6374774016983481</v>
      </c>
      <c r="AU153" t="b">
        <v>0</v>
      </c>
    </row>
    <row r="154" spans="1:47" x14ac:dyDescent="0.25">
      <c r="A154">
        <v>13.999999999999966</v>
      </c>
      <c r="B154">
        <v>0.1</v>
      </c>
      <c r="C154">
        <v>-544.31524453455563</v>
      </c>
      <c r="D154">
        <v>987.18075014147223</v>
      </c>
      <c r="E154">
        <v>-1519.8242929037233</v>
      </c>
      <c r="F154">
        <v>39.743942976182986</v>
      </c>
      <c r="G154">
        <v>100</v>
      </c>
      <c r="H154">
        <v>5.2583329466753108</v>
      </c>
      <c r="I154">
        <v>301.28028511908508</v>
      </c>
      <c r="J154">
        <v>0</v>
      </c>
      <c r="K154">
        <v>0</v>
      </c>
      <c r="L154">
        <v>0</v>
      </c>
      <c r="M154">
        <v>301.28028511908508</v>
      </c>
      <c r="N154">
        <v>-535.40657306961498</v>
      </c>
      <c r="O154">
        <v>982.63811074022624</v>
      </c>
      <c r="P154">
        <v>-446.31985842020845</v>
      </c>
      <c r="Q154">
        <v>937.21171672776666</v>
      </c>
      <c r="R154">
        <v>-0.45426394012459542</v>
      </c>
      <c r="S154">
        <v>0.89086714649406507</v>
      </c>
      <c r="T154" t="str">
        <v/>
      </c>
      <c r="U154">
        <v>2</v>
      </c>
      <c r="V154">
        <v>-500</v>
      </c>
      <c r="W154">
        <v>500</v>
      </c>
      <c r="X154">
        <v>-500</v>
      </c>
      <c r="Y154">
        <v>1000</v>
      </c>
      <c r="Z154">
        <v>0</v>
      </c>
      <c r="AA154">
        <v>-500</v>
      </c>
      <c r="AB154">
        <v>-570.81314613922996</v>
      </c>
      <c r="AC154">
        <v>1465.2762214804525</v>
      </c>
      <c r="AD154">
        <v>-445.43357324703254</v>
      </c>
      <c r="AE154">
        <v>39.743942976182986</v>
      </c>
      <c r="AF154">
        <v>0.92916774121555634</v>
      </c>
      <c r="AG154" t="b">
        <v>1</v>
      </c>
      <c r="AH154">
        <v>39.743942976182986</v>
      </c>
      <c r="AI154">
        <v>3</v>
      </c>
      <c r="AJ154">
        <v>-500</v>
      </c>
      <c r="AK154">
        <v>1000</v>
      </c>
      <c r="AL154">
        <v>0</v>
      </c>
      <c r="AM154">
        <v>1000</v>
      </c>
      <c r="AN154">
        <v>-500</v>
      </c>
      <c r="AO154">
        <v>0</v>
      </c>
      <c r="AP154">
        <v>-570.81314613922996</v>
      </c>
      <c r="AQ154">
        <v>965.27622148045248</v>
      </c>
      <c r="AR154">
        <v>-227.13197006229771</v>
      </c>
      <c r="AS154">
        <v>-38.219827122997579</v>
      </c>
      <c r="AT154">
        <v>-0.13891072279635261</v>
      </c>
      <c r="AU154" t="b">
        <v>0</v>
      </c>
    </row>
    <row r="155" spans="1:47" x14ac:dyDescent="0.25">
      <c r="A155">
        <v>14.099999999999966</v>
      </c>
      <c r="B155">
        <v>0.1</v>
      </c>
      <c r="C155">
        <v>-540.99535254410125</v>
      </c>
      <c r="D155">
        <v>996.61358201592634</v>
      </c>
      <c r="E155">
        <v>-1519.2984596090557</v>
      </c>
      <c r="F155">
        <v>31.055836148005113</v>
      </c>
      <c r="G155">
        <v>100</v>
      </c>
      <c r="H155">
        <v>6.0165132962588359</v>
      </c>
      <c r="I155">
        <v>344.72081925997441</v>
      </c>
      <c r="J155">
        <v>0</v>
      </c>
      <c r="K155">
        <v>0</v>
      </c>
      <c r="L155">
        <v>0</v>
      </c>
      <c r="M155">
        <v>344.72081925997441</v>
      </c>
      <c r="N155">
        <v>-531.01008457968464</v>
      </c>
      <c r="O155">
        <v>997.1561902344373</v>
      </c>
      <c r="P155">
        <v>-431.15740493551868</v>
      </c>
      <c r="Q155">
        <v>1002.5822724195466</v>
      </c>
      <c r="R155">
        <v>5.4260821851092975E-2</v>
      </c>
      <c r="S155">
        <v>0.99852679644165987</v>
      </c>
      <c r="T155" t="str">
        <v/>
      </c>
      <c r="U155">
        <v>2</v>
      </c>
      <c r="V155">
        <v>-500</v>
      </c>
      <c r="W155">
        <v>500</v>
      </c>
      <c r="X155">
        <v>-500</v>
      </c>
      <c r="Y155">
        <v>1000</v>
      </c>
      <c r="Z155">
        <v>0</v>
      </c>
      <c r="AA155">
        <v>-500</v>
      </c>
      <c r="AB155">
        <v>-562.02016915936929</v>
      </c>
      <c r="AC155">
        <v>1494.3123804688746</v>
      </c>
      <c r="AD155">
        <v>-499.26339822082991</v>
      </c>
      <c r="AE155">
        <v>31.055836148005113</v>
      </c>
      <c r="AF155">
        <v>0.99768261085420185</v>
      </c>
      <c r="AG155" t="b">
        <v>1</v>
      </c>
      <c r="AH155">
        <v>31.055836148005113</v>
      </c>
      <c r="AI155">
        <v>3</v>
      </c>
      <c r="AJ155">
        <v>-500</v>
      </c>
      <c r="AK155">
        <v>1000</v>
      </c>
      <c r="AL155">
        <v>0</v>
      </c>
      <c r="AM155">
        <v>1000</v>
      </c>
      <c r="AN155">
        <v>-500</v>
      </c>
      <c r="AO155">
        <v>0</v>
      </c>
      <c r="AP155">
        <v>-562.02016915936929</v>
      </c>
      <c r="AQ155">
        <v>994.31238046887461</v>
      </c>
      <c r="AR155">
        <v>27.130410925546489</v>
      </c>
      <c r="AS155">
        <v>52.410001701907753</v>
      </c>
      <c r="AT155">
        <v>4.2645413042446491E-2</v>
      </c>
      <c r="AU155" t="b">
        <v>1</v>
      </c>
    </row>
    <row r="156" spans="1:47" x14ac:dyDescent="0.25">
      <c r="A156">
        <v>14.199999999999966</v>
      </c>
      <c r="B156">
        <v>0.1</v>
      </c>
      <c r="C156">
        <v>-543.59745295483594</v>
      </c>
      <c r="D156">
        <v>1006.2691023774839</v>
      </c>
      <c r="E156">
        <v>-1518.6968082794299</v>
      </c>
      <c r="F156">
        <v>25000</v>
      </c>
      <c r="G156">
        <v>100</v>
      </c>
      <c r="H156">
        <v>-2172.9349187329403</v>
      </c>
      <c r="I156">
        <v>-124500</v>
      </c>
      <c r="J156">
        <v>0</v>
      </c>
      <c r="K156">
        <v>0</v>
      </c>
      <c r="L156">
        <v>0</v>
      </c>
      <c r="M156">
        <v>-124500</v>
      </c>
      <c r="N156">
        <v>-535.67269603358602</v>
      </c>
      <c r="O156">
        <v>1012.3681373617336</v>
      </c>
      <c r="P156">
        <v>-456.42512682108702</v>
      </c>
      <c r="Q156">
        <v>1073.3584872042306</v>
      </c>
      <c r="R156">
        <v>0.60990349842497071</v>
      </c>
      <c r="S156">
        <v>0.79247569212498992</v>
      </c>
      <c r="T156" t="str">
        <v/>
      </c>
      <c r="U156">
        <v>2</v>
      </c>
      <c r="V156">
        <v>-500</v>
      </c>
      <c r="W156">
        <v>500</v>
      </c>
      <c r="X156">
        <v>-500</v>
      </c>
      <c r="Y156">
        <v>1000</v>
      </c>
      <c r="Z156">
        <v>0</v>
      </c>
      <c r="AA156">
        <v>-500</v>
      </c>
      <c r="AB156">
        <v>-571.34539206717204</v>
      </c>
      <c r="AC156">
        <v>1524.7362747234672</v>
      </c>
      <c r="AD156">
        <v>-396.23784606249495</v>
      </c>
      <c r="AE156">
        <v>45.014246352378585</v>
      </c>
      <c r="AF156">
        <v>1.0796449673820254</v>
      </c>
      <c r="AG156" t="b">
        <v>0</v>
      </c>
      <c r="AH156">
        <v>25000</v>
      </c>
      <c r="AI156">
        <v>3</v>
      </c>
      <c r="AJ156">
        <v>-500</v>
      </c>
      <c r="AK156">
        <v>1000</v>
      </c>
      <c r="AL156">
        <v>0</v>
      </c>
      <c r="AM156">
        <v>1000</v>
      </c>
      <c r="AN156">
        <v>-500</v>
      </c>
      <c r="AO156">
        <v>0</v>
      </c>
      <c r="AP156">
        <v>-571.34539206717204</v>
      </c>
      <c r="AQ156">
        <v>1024.7362747234672</v>
      </c>
      <c r="AR156">
        <v>304.95174921248537</v>
      </c>
      <c r="AS156">
        <v>-20.278843118088968</v>
      </c>
      <c r="AT156">
        <v>-0.10348637253817533</v>
      </c>
      <c r="AU156" t="b">
        <v>0</v>
      </c>
    </row>
    <row r="157" spans="1:47" x14ac:dyDescent="0.25">
      <c r="A157">
        <v>14.299999999999965</v>
      </c>
      <c r="B157">
        <v>0.1</v>
      </c>
      <c r="C157">
        <v>-546.17172807672023</v>
      </c>
      <c r="D157">
        <v>996.60612625224962</v>
      </c>
      <c r="E157">
        <v>-1735.9903001527239</v>
      </c>
      <c r="F157">
        <v>25000</v>
      </c>
      <c r="G157">
        <v>100</v>
      </c>
      <c r="H157">
        <v>-2172.9349187329403</v>
      </c>
      <c r="I157">
        <v>-124500</v>
      </c>
      <c r="J157">
        <v>0</v>
      </c>
      <c r="K157">
        <v>0</v>
      </c>
      <c r="L157">
        <v>0</v>
      </c>
      <c r="M157">
        <v>-124500</v>
      </c>
      <c r="N157">
        <v>-556.08428638146404</v>
      </c>
      <c r="O157">
        <v>995.28658547794385</v>
      </c>
      <c r="P157">
        <v>-655.2098694289017</v>
      </c>
      <c r="Q157">
        <v>982.09117773488617</v>
      </c>
      <c r="R157">
        <v>-0.13195407743057624</v>
      </c>
      <c r="S157">
        <v>-0.99125583047437638</v>
      </c>
      <c r="T157" t="str">
        <v/>
      </c>
      <c r="U157">
        <v>2</v>
      </c>
      <c r="V157">
        <v>-500</v>
      </c>
      <c r="W157">
        <v>500</v>
      </c>
      <c r="X157">
        <v>-500</v>
      </c>
      <c r="Y157">
        <v>1000</v>
      </c>
      <c r="Z157">
        <v>0</v>
      </c>
      <c r="AA157">
        <v>-500</v>
      </c>
      <c r="AB157">
        <v>-612.16857276292808</v>
      </c>
      <c r="AC157">
        <v>1490.5731709558877</v>
      </c>
      <c r="AD157">
        <v>495.62791523718818</v>
      </c>
      <c r="AE157">
        <v>-56.579022949730636</v>
      </c>
      <c r="AF157">
        <v>1.0055048365063979</v>
      </c>
      <c r="AG157" t="b">
        <v>0</v>
      </c>
      <c r="AH157">
        <v>25000</v>
      </c>
      <c r="AI157">
        <v>3</v>
      </c>
      <c r="AJ157">
        <v>-500</v>
      </c>
      <c r="AK157">
        <v>1000</v>
      </c>
      <c r="AL157">
        <v>0</v>
      </c>
      <c r="AM157">
        <v>1000</v>
      </c>
      <c r="AN157">
        <v>-500</v>
      </c>
      <c r="AO157">
        <v>0</v>
      </c>
      <c r="AP157">
        <v>-612.16857276292808</v>
      </c>
      <c r="AQ157">
        <v>990.57317095588769</v>
      </c>
      <c r="AR157">
        <v>-65.977038715288117</v>
      </c>
      <c r="AS157">
        <v>-35.72011273797871</v>
      </c>
      <c r="AT157">
        <v>-4.1353032729481216E-2</v>
      </c>
      <c r="AU157" t="b">
        <v>0</v>
      </c>
    </row>
    <row r="158" spans="1:47" x14ac:dyDescent="0.25">
      <c r="A158">
        <v>14.399999999999965</v>
      </c>
      <c r="B158">
        <v>0.1</v>
      </c>
      <c r="C158">
        <v>-539.11085236222141</v>
      </c>
      <c r="D158">
        <v>1003.6873714919233</v>
      </c>
      <c r="E158">
        <v>-1953.2837920260179</v>
      </c>
      <c r="F158">
        <v>32.308084021379962</v>
      </c>
      <c r="G158">
        <v>100</v>
      </c>
      <c r="H158">
        <v>5.9072340540513961</v>
      </c>
      <c r="I158">
        <v>338.45957989310023</v>
      </c>
      <c r="J158">
        <v>0</v>
      </c>
      <c r="K158">
        <v>0</v>
      </c>
      <c r="L158">
        <v>0</v>
      </c>
      <c r="M158">
        <v>338.45957989310023</v>
      </c>
      <c r="N158">
        <v>-529.86655466666582</v>
      </c>
      <c r="O158">
        <v>999.87384817142993</v>
      </c>
      <c r="P158">
        <v>-437.42357771111023</v>
      </c>
      <c r="Q158">
        <v>961.73861496649704</v>
      </c>
      <c r="R158">
        <v>-0.38135233204932906</v>
      </c>
      <c r="S158">
        <v>0.924429769555556</v>
      </c>
      <c r="T158" t="str">
        <v/>
      </c>
      <c r="U158">
        <v>2</v>
      </c>
      <c r="V158">
        <v>-500</v>
      </c>
      <c r="W158">
        <v>500</v>
      </c>
      <c r="X158">
        <v>-500</v>
      </c>
      <c r="Y158">
        <v>1000</v>
      </c>
      <c r="Z158">
        <v>0</v>
      </c>
      <c r="AA158">
        <v>-500</v>
      </c>
      <c r="AB158">
        <v>-559.73310933333164</v>
      </c>
      <c r="AC158">
        <v>1499.7476963428599</v>
      </c>
      <c r="AD158">
        <v>-462.21488477777802</v>
      </c>
      <c r="AE158">
        <v>32.308084021379962</v>
      </c>
      <c r="AF158">
        <v>0.97510616997166188</v>
      </c>
      <c r="AG158" t="b">
        <v>1</v>
      </c>
      <c r="AH158">
        <v>32.308084021379962</v>
      </c>
      <c r="AI158">
        <v>3</v>
      </c>
      <c r="AJ158">
        <v>-500</v>
      </c>
      <c r="AK158">
        <v>1000</v>
      </c>
      <c r="AL158">
        <v>0</v>
      </c>
      <c r="AM158">
        <v>1000</v>
      </c>
      <c r="AN158">
        <v>-500</v>
      </c>
      <c r="AO158">
        <v>0</v>
      </c>
      <c r="AP158">
        <v>-559.73310933333164</v>
      </c>
      <c r="AQ158">
        <v>999.74769634285985</v>
      </c>
      <c r="AR158">
        <v>-190.67616602466452</v>
      </c>
      <c r="AS158">
        <v>-0.33080125114786241</v>
      </c>
      <c r="AT158">
        <v>-6.0344714382066254E-2</v>
      </c>
      <c r="AU158" t="b">
        <v>0</v>
      </c>
    </row>
    <row r="159" spans="1:47" x14ac:dyDescent="0.25">
      <c r="A159">
        <v>14.499999999999964</v>
      </c>
      <c r="B159">
        <v>0.1</v>
      </c>
      <c r="C159">
        <v>-537.19051125858255</v>
      </c>
      <c r="D159">
        <v>1013.5012540083219</v>
      </c>
      <c r="E159">
        <v>-1952.6930686206126</v>
      </c>
      <c r="F159">
        <v>25000</v>
      </c>
      <c r="G159">
        <v>100</v>
      </c>
      <c r="H159">
        <v>-2172.9349187329403</v>
      </c>
      <c r="I159">
        <v>-124500</v>
      </c>
      <c r="J159">
        <v>0</v>
      </c>
      <c r="K159">
        <v>0</v>
      </c>
      <c r="L159">
        <v>0</v>
      </c>
      <c r="M159">
        <v>-124500</v>
      </c>
      <c r="N159">
        <v>-527.38878334235937</v>
      </c>
      <c r="O159">
        <v>1015.482700413434</v>
      </c>
      <c r="P159">
        <v>-429.37150418012783</v>
      </c>
      <c r="Q159">
        <v>1035.2971644645552</v>
      </c>
      <c r="R159">
        <v>0.19814464051121147</v>
      </c>
      <c r="S159">
        <v>0.9801727916223153</v>
      </c>
      <c r="T159" t="str">
        <v/>
      </c>
      <c r="U159">
        <v>2</v>
      </c>
      <c r="V159">
        <v>-500</v>
      </c>
      <c r="W159">
        <v>500</v>
      </c>
      <c r="X159">
        <v>-500</v>
      </c>
      <c r="Y159">
        <v>1000</v>
      </c>
      <c r="Z159">
        <v>0</v>
      </c>
      <c r="AA159">
        <v>-500</v>
      </c>
      <c r="AB159">
        <v>-554.77756668471875</v>
      </c>
      <c r="AC159">
        <v>1530.9654008268681</v>
      </c>
      <c r="AD159">
        <v>-490.08639581115767</v>
      </c>
      <c r="AE159">
        <v>27.942811284352551</v>
      </c>
      <c r="AF159">
        <v>1.0420388374204894</v>
      </c>
      <c r="AG159" t="b">
        <v>0</v>
      </c>
      <c r="AH159">
        <v>25000</v>
      </c>
      <c r="AI159">
        <v>3</v>
      </c>
      <c r="AJ159">
        <v>-500</v>
      </c>
      <c r="AK159">
        <v>1000</v>
      </c>
      <c r="AL159">
        <v>0</v>
      </c>
      <c r="AM159">
        <v>1000</v>
      </c>
      <c r="AN159">
        <v>-500</v>
      </c>
      <c r="AO159">
        <v>0</v>
      </c>
      <c r="AP159">
        <v>-554.77756668471875</v>
      </c>
      <c r="AQ159">
        <v>1030.9654008268681</v>
      </c>
      <c r="AR159">
        <v>99.072320255605732</v>
      </c>
      <c r="AS159">
        <v>-78.138375953489316</v>
      </c>
      <c r="AT159">
        <v>-0.20795578686704999</v>
      </c>
      <c r="AU159" t="b">
        <v>0</v>
      </c>
    </row>
    <row r="160" spans="1:47" x14ac:dyDescent="0.25">
      <c r="A160">
        <v>14.599999999999964</v>
      </c>
      <c r="B160">
        <v>0.1</v>
      </c>
      <c r="C160">
        <v>-543.76051669646597</v>
      </c>
      <c r="D160">
        <v>1005.9623529911853</v>
      </c>
      <c r="E160">
        <v>-2169.9865604939068</v>
      </c>
      <c r="F160">
        <v>25000</v>
      </c>
      <c r="G160">
        <v>100</v>
      </c>
      <c r="H160">
        <v>-2172.9349187329403</v>
      </c>
      <c r="I160">
        <v>-124500</v>
      </c>
      <c r="J160">
        <v>0</v>
      </c>
      <c r="K160">
        <v>0</v>
      </c>
      <c r="L160">
        <v>0</v>
      </c>
      <c r="M160">
        <v>-124500</v>
      </c>
      <c r="N160">
        <v>-553.23978527545376</v>
      </c>
      <c r="O160">
        <v>1009.1472340262342</v>
      </c>
      <c r="P160">
        <v>-648.03247106533217</v>
      </c>
      <c r="Q160">
        <v>1040.9960443767229</v>
      </c>
      <c r="R160">
        <v>0.31848810350488654</v>
      </c>
      <c r="S160">
        <v>-0.94792685789878361</v>
      </c>
      <c r="T160" t="str">
        <v/>
      </c>
      <c r="U160">
        <v>2</v>
      </c>
      <c r="V160">
        <v>-500</v>
      </c>
      <c r="W160">
        <v>500</v>
      </c>
      <c r="X160">
        <v>-500</v>
      </c>
      <c r="Y160">
        <v>1000</v>
      </c>
      <c r="Z160">
        <v>0</v>
      </c>
      <c r="AA160">
        <v>-500</v>
      </c>
      <c r="AB160">
        <v>-606.47957055090751</v>
      </c>
      <c r="AC160">
        <v>1518.2944680524683</v>
      </c>
      <c r="AD160">
        <v>473.96342894939181</v>
      </c>
      <c r="AE160">
        <v>-56.164444368068018</v>
      </c>
      <c r="AF160">
        <v>0.98251905331008493</v>
      </c>
      <c r="AG160" t="b">
        <v>0</v>
      </c>
      <c r="AH160">
        <v>25000</v>
      </c>
      <c r="AI160">
        <v>3</v>
      </c>
      <c r="AJ160">
        <v>-500</v>
      </c>
      <c r="AK160">
        <v>1000</v>
      </c>
      <c r="AL160">
        <v>0</v>
      </c>
      <c r="AM160">
        <v>1000</v>
      </c>
      <c r="AN160">
        <v>-500</v>
      </c>
      <c r="AO160">
        <v>0</v>
      </c>
      <c r="AP160">
        <v>-606.47957055090751</v>
      </c>
      <c r="AQ160">
        <v>1018.2944680524683</v>
      </c>
      <c r="AR160">
        <v>159.24405175244328</v>
      </c>
      <c r="AS160">
        <v>-28.720802835556547</v>
      </c>
      <c r="AT160">
        <v>-5.202912977442832E-2</v>
      </c>
      <c r="AU160" t="b">
        <v>0</v>
      </c>
    </row>
    <row r="161" spans="1:47" x14ac:dyDescent="0.25">
      <c r="A161">
        <v>14.699999999999964</v>
      </c>
      <c r="B161">
        <v>0.1</v>
      </c>
      <c r="C161">
        <v>-534.30127457568892</v>
      </c>
      <c r="D161">
        <v>1009.2062300697006</v>
      </c>
      <c r="E161">
        <v>-2387.2800523672008</v>
      </c>
      <c r="F161">
        <v>41.83930532422702</v>
      </c>
      <c r="G161">
        <v>100</v>
      </c>
      <c r="H161">
        <v>5.0754780866968723</v>
      </c>
      <c r="I161">
        <v>290.80347337886491</v>
      </c>
      <c r="J161">
        <v>0</v>
      </c>
      <c r="K161">
        <v>0</v>
      </c>
      <c r="L161">
        <v>0</v>
      </c>
      <c r="M161">
        <v>290.80347337886491</v>
      </c>
      <c r="N161">
        <v>-527.68442769451394</v>
      </c>
      <c r="O161">
        <v>1001.7084078958234</v>
      </c>
      <c r="P161">
        <v>-461.5159588827641</v>
      </c>
      <c r="Q161">
        <v>926.73018615705121</v>
      </c>
      <c r="R161">
        <v>-0.74978221738772177</v>
      </c>
      <c r="S161">
        <v>0.66168468811749837</v>
      </c>
      <c r="T161" t="str">
        <v/>
      </c>
      <c r="U161">
        <v>2</v>
      </c>
      <c r="V161">
        <v>-500</v>
      </c>
      <c r="W161">
        <v>500</v>
      </c>
      <c r="X161">
        <v>-500</v>
      </c>
      <c r="Y161">
        <v>1000</v>
      </c>
      <c r="Z161">
        <v>0</v>
      </c>
      <c r="AA161">
        <v>-500</v>
      </c>
      <c r="AB161">
        <v>-555.36885538902789</v>
      </c>
      <c r="AC161">
        <v>1503.4168157916467</v>
      </c>
      <c r="AD161">
        <v>-330.84234405874918</v>
      </c>
      <c r="AE161">
        <v>41.83930532422702</v>
      </c>
      <c r="AF161">
        <v>0.94067608155172511</v>
      </c>
      <c r="AG161" t="b">
        <v>1</v>
      </c>
      <c r="AH161">
        <v>41.83930532422702</v>
      </c>
      <c r="AI161">
        <v>3</v>
      </c>
      <c r="AJ161">
        <v>-500</v>
      </c>
      <c r="AK161">
        <v>1000</v>
      </c>
      <c r="AL161">
        <v>0</v>
      </c>
      <c r="AM161">
        <v>1000</v>
      </c>
      <c r="AN161">
        <v>-500</v>
      </c>
      <c r="AO161">
        <v>0</v>
      </c>
      <c r="AP161">
        <v>-555.36885538902789</v>
      </c>
      <c r="AQ161">
        <v>1003.4168157916467</v>
      </c>
      <c r="AR161">
        <v>-374.89110869386087</v>
      </c>
      <c r="AS161">
        <v>2.2785388292823852</v>
      </c>
      <c r="AT161">
        <v>-5.2353506879793232E-2</v>
      </c>
      <c r="AU161" t="b">
        <v>0</v>
      </c>
    </row>
    <row r="162" spans="1:47" x14ac:dyDescent="0.25">
      <c r="A162">
        <v>14.799999999999963</v>
      </c>
      <c r="B162">
        <v>0.1</v>
      </c>
      <c r="C162">
        <v>-527.61111399143692</v>
      </c>
      <c r="D162">
        <v>1016.6387095588699</v>
      </c>
      <c r="E162">
        <v>-2386.7725045585312</v>
      </c>
      <c r="F162">
        <v>39.86702455113992</v>
      </c>
      <c r="G162">
        <v>100</v>
      </c>
      <c r="H162">
        <v>5.247592053017617</v>
      </c>
      <c r="I162">
        <v>300.66487724430038</v>
      </c>
      <c r="J162">
        <v>0</v>
      </c>
      <c r="K162">
        <v>0</v>
      </c>
      <c r="L162">
        <v>0</v>
      </c>
      <c r="M162">
        <v>300.66487724430038</v>
      </c>
      <c r="N162">
        <v>-518.18418470012796</v>
      </c>
      <c r="O162">
        <v>1013.3020938877652</v>
      </c>
      <c r="P162">
        <v>-423.91489178703875</v>
      </c>
      <c r="Q162">
        <v>979.93593717671752</v>
      </c>
      <c r="R162">
        <v>-0.33366156711047634</v>
      </c>
      <c r="S162">
        <v>0.94269292913089209</v>
      </c>
      <c r="T162" t="str">
        <v/>
      </c>
      <c r="U162">
        <v>2</v>
      </c>
      <c r="V162">
        <v>-500</v>
      </c>
      <c r="W162">
        <v>500</v>
      </c>
      <c r="X162">
        <v>-500</v>
      </c>
      <c r="Y162">
        <v>1000</v>
      </c>
      <c r="Z162">
        <v>0</v>
      </c>
      <c r="AA162">
        <v>-500</v>
      </c>
      <c r="AB162">
        <v>-536.36836940025592</v>
      </c>
      <c r="AC162">
        <v>1526.6041877755304</v>
      </c>
      <c r="AD162">
        <v>-471.34646456544607</v>
      </c>
      <c r="AE162">
        <v>19.289616096826688</v>
      </c>
      <c r="AF162">
        <v>1.0137317807038768</v>
      </c>
      <c r="AG162" t="b">
        <v>0</v>
      </c>
      <c r="AH162">
        <v>25000</v>
      </c>
      <c r="AI162">
        <v>3</v>
      </c>
      <c r="AJ162">
        <v>-500</v>
      </c>
      <c r="AK162">
        <v>1000</v>
      </c>
      <c r="AL162">
        <v>0</v>
      </c>
      <c r="AM162">
        <v>1000</v>
      </c>
      <c r="AN162">
        <v>-500</v>
      </c>
      <c r="AO162">
        <v>0</v>
      </c>
      <c r="AP162">
        <v>-536.36836940025592</v>
      </c>
      <c r="AQ162">
        <v>1026.6041877755304</v>
      </c>
      <c r="AR162">
        <v>-166.83078355523818</v>
      </c>
      <c r="AS162">
        <v>39.86702455113992</v>
      </c>
      <c r="AT162">
        <v>3.8796354899438647E-2</v>
      </c>
      <c r="AU162" t="b">
        <v>1</v>
      </c>
    </row>
    <row r="163" spans="1:47" x14ac:dyDescent="0.25">
      <c r="A163">
        <v>14.899999999999963</v>
      </c>
      <c r="B163">
        <v>0.1</v>
      </c>
      <c r="C163">
        <v>-525.54485719799698</v>
      </c>
      <c r="D163">
        <v>1026.422910234631</v>
      </c>
      <c r="E163">
        <v>-2386.2477453532292</v>
      </c>
      <c r="F163">
        <v>25000</v>
      </c>
      <c r="G163">
        <v>100</v>
      </c>
      <c r="H163">
        <v>-2172.9349187329403</v>
      </c>
      <c r="I163">
        <v>-124500</v>
      </c>
      <c r="J163">
        <v>0</v>
      </c>
      <c r="K163">
        <v>0</v>
      </c>
      <c r="L163">
        <v>0</v>
      </c>
      <c r="M163">
        <v>-124500</v>
      </c>
      <c r="N163">
        <v>-515.71471220981709</v>
      </c>
      <c r="O163">
        <v>1028.2581893718095</v>
      </c>
      <c r="P163">
        <v>-417.41326232801873</v>
      </c>
      <c r="Q163">
        <v>1046.6109807435951</v>
      </c>
      <c r="R163">
        <v>0.18352791371785596</v>
      </c>
      <c r="S163">
        <v>0.98301449881798342</v>
      </c>
      <c r="T163" t="str">
        <v/>
      </c>
      <c r="U163">
        <v>2</v>
      </c>
      <c r="V163">
        <v>-500</v>
      </c>
      <c r="W163">
        <v>500</v>
      </c>
      <c r="X163">
        <v>-500</v>
      </c>
      <c r="Y163">
        <v>1000</v>
      </c>
      <c r="Z163">
        <v>0</v>
      </c>
      <c r="AA163">
        <v>-500</v>
      </c>
      <c r="AB163">
        <v>-531.42942441963419</v>
      </c>
      <c r="AC163">
        <v>1556.516378743619</v>
      </c>
      <c r="AD163">
        <v>-491.5072494089917</v>
      </c>
      <c r="AE163">
        <v>15.986246620688814</v>
      </c>
      <c r="AF163">
        <v>1.0623842237245673</v>
      </c>
      <c r="AG163" t="b">
        <v>0</v>
      </c>
      <c r="AH163">
        <v>25000</v>
      </c>
      <c r="AI163">
        <v>3</v>
      </c>
      <c r="AJ163">
        <v>-500</v>
      </c>
      <c r="AK163">
        <v>1000</v>
      </c>
      <c r="AL163">
        <v>0</v>
      </c>
      <c r="AM163">
        <v>1000</v>
      </c>
      <c r="AN163">
        <v>-500</v>
      </c>
      <c r="AO163">
        <v>0</v>
      </c>
      <c r="AP163">
        <v>-531.42942441963419</v>
      </c>
      <c r="AQ163">
        <v>1056.516378743619</v>
      </c>
      <c r="AR163">
        <v>91.763956858927983</v>
      </c>
      <c r="AS163">
        <v>-153.97216041616346</v>
      </c>
      <c r="AT163">
        <v>-0.33414315662646826</v>
      </c>
      <c r="AU163" t="b">
        <v>0</v>
      </c>
    </row>
    <row r="164" spans="1:47" x14ac:dyDescent="0.25">
      <c r="A164">
        <v>14.999999999999963</v>
      </c>
      <c r="B164">
        <v>0.1</v>
      </c>
      <c r="C164">
        <v>-532.22638840973832</v>
      </c>
      <c r="D164">
        <v>1018.9826722904166</v>
      </c>
      <c r="E164">
        <v>-2603.5412372265232</v>
      </c>
      <c r="F164">
        <v>25000</v>
      </c>
      <c r="G164">
        <v>100</v>
      </c>
      <c r="H164">
        <v>-2172.9349187329403</v>
      </c>
      <c r="I164">
        <v>-124500</v>
      </c>
      <c r="J164">
        <v>0</v>
      </c>
      <c r="K164">
        <v>0</v>
      </c>
      <c r="L164">
        <v>0</v>
      </c>
      <c r="M164">
        <v>-124500</v>
      </c>
      <c r="N164">
        <v>-541.65718326097578</v>
      </c>
      <c r="O164">
        <v>1022.3083464286739</v>
      </c>
      <c r="P164">
        <v>-635.96513177335021</v>
      </c>
      <c r="Q164">
        <v>1055.5650878112467</v>
      </c>
      <c r="R164">
        <v>0.33256741382572785</v>
      </c>
      <c r="S164">
        <v>-0.94307948512374451</v>
      </c>
      <c r="T164" t="str">
        <v/>
      </c>
      <c r="U164">
        <v>2</v>
      </c>
      <c r="V164">
        <v>-500</v>
      </c>
      <c r="W164">
        <v>500</v>
      </c>
      <c r="X164">
        <v>-500</v>
      </c>
      <c r="Y164">
        <v>1000</v>
      </c>
      <c r="Z164">
        <v>0</v>
      </c>
      <c r="AA164">
        <v>-500</v>
      </c>
      <c r="AB164">
        <v>-583.31436652195157</v>
      </c>
      <c r="AC164">
        <v>1544.6166928573477</v>
      </c>
      <c r="AD164">
        <v>471.53974256187223</v>
      </c>
      <c r="AE164">
        <v>-44.171444632272767</v>
      </c>
      <c r="AF164">
        <v>1.0152367266447451</v>
      </c>
      <c r="AG164" t="b">
        <v>0</v>
      </c>
      <c r="AH164">
        <v>25000</v>
      </c>
      <c r="AI164">
        <v>3</v>
      </c>
      <c r="AJ164">
        <v>-500</v>
      </c>
      <c r="AK164">
        <v>1000</v>
      </c>
      <c r="AL164">
        <v>0</v>
      </c>
      <c r="AM164">
        <v>1000</v>
      </c>
      <c r="AN164">
        <v>-500</v>
      </c>
      <c r="AO164">
        <v>0</v>
      </c>
      <c r="AP164">
        <v>-583.31436652195157</v>
      </c>
      <c r="AQ164">
        <v>1044.6166928573477</v>
      </c>
      <c r="AR164">
        <v>166.28370691286392</v>
      </c>
      <c r="AS164">
        <v>-67.079171022943044</v>
      </c>
      <c r="AT164">
        <v>4.3207613619737892E-2</v>
      </c>
      <c r="AU164" t="b">
        <v>0</v>
      </c>
    </row>
    <row r="165" spans="1:47" x14ac:dyDescent="0.25">
      <c r="A165">
        <v>15.099999999999962</v>
      </c>
      <c r="B165">
        <v>0.1</v>
      </c>
      <c r="C165">
        <v>-522.71989367208471</v>
      </c>
      <c r="D165">
        <v>1022.0853417544369</v>
      </c>
      <c r="E165">
        <v>-2820.8347290998172</v>
      </c>
      <c r="F165">
        <v>24.929657148597052</v>
      </c>
      <c r="G165">
        <v>100</v>
      </c>
      <c r="H165">
        <v>6.5511232667898494</v>
      </c>
      <c r="I165">
        <v>375.35171425701481</v>
      </c>
      <c r="J165">
        <v>0</v>
      </c>
      <c r="K165">
        <v>0</v>
      </c>
      <c r="L165">
        <v>0</v>
      </c>
      <c r="M165">
        <v>375.35171425701481</v>
      </c>
      <c r="N165">
        <v>-516.21542282216194</v>
      </c>
      <c r="O165">
        <v>1014.4898260403787</v>
      </c>
      <c r="P165">
        <v>-451.1707143229338</v>
      </c>
      <c r="Q165">
        <v>938.53466889979711</v>
      </c>
      <c r="R165">
        <v>-0.75955157140581575</v>
      </c>
      <c r="S165">
        <v>0.65044708499228132</v>
      </c>
      <c r="T165" t="str">
        <v/>
      </c>
      <c r="U165">
        <v>2</v>
      </c>
      <c r="V165">
        <v>-500</v>
      </c>
      <c r="W165">
        <v>500</v>
      </c>
      <c r="X165">
        <v>-500</v>
      </c>
      <c r="Y165">
        <v>1000</v>
      </c>
      <c r="Z165">
        <v>0</v>
      </c>
      <c r="AA165">
        <v>-500</v>
      </c>
      <c r="AB165">
        <v>-532.43084564432388</v>
      </c>
      <c r="AC165">
        <v>1528.9796520807574</v>
      </c>
      <c r="AD165">
        <v>-325.22354249614068</v>
      </c>
      <c r="AE165">
        <v>24.929657148597052</v>
      </c>
      <c r="AF165">
        <v>0.99110893155710722</v>
      </c>
      <c r="AG165" t="b">
        <v>1</v>
      </c>
      <c r="AH165">
        <v>24.929657148597052</v>
      </c>
      <c r="AI165">
        <v>3</v>
      </c>
      <c r="AJ165">
        <v>-500</v>
      </c>
      <c r="AK165">
        <v>1000</v>
      </c>
      <c r="AL165">
        <v>0</v>
      </c>
      <c r="AM165">
        <v>1000</v>
      </c>
      <c r="AN165">
        <v>-500</v>
      </c>
      <c r="AO165">
        <v>0</v>
      </c>
      <c r="AP165">
        <v>-532.43084564432388</v>
      </c>
      <c r="AQ165">
        <v>1028.9796520807574</v>
      </c>
      <c r="AR165">
        <v>-379.77578570290785</v>
      </c>
      <c r="AS165">
        <v>19.07681661899564</v>
      </c>
      <c r="AT165">
        <v>-7.6139261228078412E-3</v>
      </c>
      <c r="AU165" t="b">
        <v>0</v>
      </c>
    </row>
    <row r="166" spans="1:47" x14ac:dyDescent="0.25">
      <c r="A166">
        <v>15.199999999999962</v>
      </c>
      <c r="B166">
        <v>0.1</v>
      </c>
      <c r="C166">
        <v>-517.07173440301256</v>
      </c>
      <c r="D166">
        <v>1030.3375109765987</v>
      </c>
      <c r="E166">
        <v>-2820.1796167731382</v>
      </c>
      <c r="F166">
        <v>137.25157878810353</v>
      </c>
      <c r="G166">
        <v>100</v>
      </c>
      <c r="H166">
        <v>-3.2508135070924284</v>
      </c>
      <c r="I166">
        <v>-186.25789394051765</v>
      </c>
      <c r="J166">
        <v>0</v>
      </c>
      <c r="K166">
        <v>0</v>
      </c>
      <c r="L166">
        <v>0</v>
      </c>
      <c r="M166">
        <v>-186.25789394051765</v>
      </c>
      <c r="N166">
        <v>-507.28626718420429</v>
      </c>
      <c r="O166">
        <v>1028.2772606739343</v>
      </c>
      <c r="P166">
        <v>-409.43159499612136</v>
      </c>
      <c r="Q166">
        <v>1007.6747576472914</v>
      </c>
      <c r="R166">
        <v>-0.20602503026642963</v>
      </c>
      <c r="S166">
        <v>0.97854672188082914</v>
      </c>
      <c r="T166" t="str">
        <v/>
      </c>
      <c r="U166">
        <v>2</v>
      </c>
      <c r="V166">
        <v>-500</v>
      </c>
      <c r="W166">
        <v>500</v>
      </c>
      <c r="X166">
        <v>-500</v>
      </c>
      <c r="Y166">
        <v>1000</v>
      </c>
      <c r="Z166">
        <v>0</v>
      </c>
      <c r="AA166">
        <v>-500</v>
      </c>
      <c r="AB166">
        <v>-514.57253436840858</v>
      </c>
      <c r="AC166">
        <v>1556.5545213478686</v>
      </c>
      <c r="AD166">
        <v>-489.27336094041459</v>
      </c>
      <c r="AE166">
        <v>7.4460084748938922</v>
      </c>
      <c r="AF166">
        <v>1.0534863931050602</v>
      </c>
      <c r="AG166" t="b">
        <v>0</v>
      </c>
      <c r="AH166">
        <v>25000</v>
      </c>
      <c r="AI166">
        <v>3</v>
      </c>
      <c r="AJ166">
        <v>-500</v>
      </c>
      <c r="AK166">
        <v>1000</v>
      </c>
      <c r="AL166">
        <v>0</v>
      </c>
      <c r="AM166">
        <v>1000</v>
      </c>
      <c r="AN166">
        <v>-500</v>
      </c>
      <c r="AO166">
        <v>0</v>
      </c>
      <c r="AP166">
        <v>-514.57253436840858</v>
      </c>
      <c r="AQ166">
        <v>1056.5545213478686</v>
      </c>
      <c r="AR166">
        <v>-103.01251513321482</v>
      </c>
      <c r="AS166">
        <v>137.25157878810353</v>
      </c>
      <c r="AT166">
        <v>0.25404163062372553</v>
      </c>
      <c r="AU166" t="b">
        <v>1</v>
      </c>
    </row>
    <row r="167" spans="1:47" x14ac:dyDescent="0.25">
      <c r="A167">
        <v>15.299999999999962</v>
      </c>
      <c r="B167">
        <v>0.1</v>
      </c>
      <c r="C167">
        <v>-509.08377260003476</v>
      </c>
      <c r="D167">
        <v>1036.3535284494928</v>
      </c>
      <c r="E167">
        <v>-2820.5046981238474</v>
      </c>
      <c r="F167">
        <v>61.594701469435677</v>
      </c>
      <c r="G167">
        <v>100</v>
      </c>
      <c r="H167">
        <v>3.3514945478484379</v>
      </c>
      <c r="I167">
        <v>192.02649265282162</v>
      </c>
      <c r="J167">
        <v>0</v>
      </c>
      <c r="K167">
        <v>0</v>
      </c>
      <c r="L167">
        <v>0</v>
      </c>
      <c r="M167">
        <v>192.02649265282162</v>
      </c>
      <c r="N167">
        <v>-500.46883654923226</v>
      </c>
      <c r="O167">
        <v>1031.2758442489362</v>
      </c>
      <c r="P167">
        <v>-414.31947604120728</v>
      </c>
      <c r="Q167">
        <v>980.49900224336886</v>
      </c>
      <c r="R167">
        <v>-0.50776842005567324</v>
      </c>
      <c r="S167">
        <v>0.86149360508024986</v>
      </c>
      <c r="T167" t="str">
        <v/>
      </c>
      <c r="U167">
        <v>2</v>
      </c>
      <c r="V167">
        <v>-500</v>
      </c>
      <c r="W167">
        <v>500</v>
      </c>
      <c r="X167">
        <v>-500</v>
      </c>
      <c r="Y167">
        <v>1000</v>
      </c>
      <c r="Z167">
        <v>0</v>
      </c>
      <c r="AA167">
        <v>-500</v>
      </c>
      <c r="AB167">
        <v>-500.93767309846453</v>
      </c>
      <c r="AC167">
        <v>1562.5516884978724</v>
      </c>
      <c r="AD167">
        <v>-430.74680254012492</v>
      </c>
      <c r="AE167">
        <v>0.54421361513019184</v>
      </c>
      <c r="AF167">
        <v>1.0619990195228175</v>
      </c>
      <c r="AG167" t="b">
        <v>0</v>
      </c>
      <c r="AH167">
        <v>25000</v>
      </c>
      <c r="AI167">
        <v>3</v>
      </c>
      <c r="AJ167">
        <v>-500</v>
      </c>
      <c r="AK167">
        <v>1000</v>
      </c>
      <c r="AL167">
        <v>0</v>
      </c>
      <c r="AM167">
        <v>1000</v>
      </c>
      <c r="AN167">
        <v>-500</v>
      </c>
      <c r="AO167">
        <v>0</v>
      </c>
      <c r="AP167">
        <v>-500.93767309846453</v>
      </c>
      <c r="AQ167">
        <v>1062.5516884978724</v>
      </c>
      <c r="AR167">
        <v>-253.88421002783662</v>
      </c>
      <c r="AS167">
        <v>61.594701469435677</v>
      </c>
      <c r="AT167">
        <v>0.10518920974702728</v>
      </c>
      <c r="AU167" t="b">
        <v>1</v>
      </c>
    </row>
    <row r="168" spans="1:47" x14ac:dyDescent="0.25">
      <c r="A168">
        <v>15.399999999999961</v>
      </c>
      <c r="B168">
        <v>0.1</v>
      </c>
      <c r="C168">
        <v>-503.51898189116258</v>
      </c>
      <c r="D168">
        <v>1044.6621447221612</v>
      </c>
      <c r="E168">
        <v>-2820.1695486690628</v>
      </c>
      <c r="F168">
        <v>217.67915283419487</v>
      </c>
      <c r="G168">
        <v>100</v>
      </c>
      <c r="H168">
        <v>-10.269443389571585</v>
      </c>
      <c r="I168">
        <v>-588.3957641709743</v>
      </c>
      <c r="J168">
        <v>0</v>
      </c>
      <c r="K168">
        <v>0</v>
      </c>
      <c r="L168">
        <v>0</v>
      </c>
      <c r="M168">
        <v>-588.3957641709743</v>
      </c>
      <c r="N168">
        <v>-493.71326816448925</v>
      </c>
      <c r="O168">
        <v>1042.7005182769553</v>
      </c>
      <c r="P168">
        <v>-395.65613089775621</v>
      </c>
      <c r="Q168">
        <v>1023.0842538248972</v>
      </c>
      <c r="R168">
        <v>-0.19616264452058074</v>
      </c>
      <c r="S168">
        <v>0.9805713726673303</v>
      </c>
      <c r="T168" t="str">
        <v/>
      </c>
      <c r="U168">
        <v>2</v>
      </c>
      <c r="V168">
        <v>-500</v>
      </c>
      <c r="W168">
        <v>500</v>
      </c>
      <c r="X168">
        <v>-500</v>
      </c>
      <c r="Y168">
        <v>1000</v>
      </c>
      <c r="Z168">
        <v>0</v>
      </c>
      <c r="AA168">
        <v>-500</v>
      </c>
      <c r="AB168">
        <v>-487.4265363289785</v>
      </c>
      <c r="AC168">
        <v>1585.4010365539107</v>
      </c>
      <c r="AD168">
        <v>-490.28568633366513</v>
      </c>
      <c r="AE168">
        <v>-6.4112944868150805</v>
      </c>
      <c r="AF168">
        <v>1.0879163495165785</v>
      </c>
      <c r="AG168" t="b">
        <v>0</v>
      </c>
      <c r="AH168">
        <v>25000</v>
      </c>
      <c r="AI168">
        <v>3</v>
      </c>
      <c r="AJ168">
        <v>-500</v>
      </c>
      <c r="AK168">
        <v>1000</v>
      </c>
      <c r="AL168">
        <v>0</v>
      </c>
      <c r="AM168">
        <v>1000</v>
      </c>
      <c r="AN168">
        <v>-500</v>
      </c>
      <c r="AO168">
        <v>0</v>
      </c>
      <c r="AP168">
        <v>-487.4265363289785</v>
      </c>
      <c r="AQ168">
        <v>1085.4010365539107</v>
      </c>
      <c r="AR168">
        <v>-98.081322260290378</v>
      </c>
      <c r="AS168">
        <v>217.67915283419487</v>
      </c>
      <c r="AT168">
        <v>0.4394733550623976</v>
      </c>
      <c r="AU168" t="b">
        <v>1</v>
      </c>
    </row>
    <row r="169" spans="1:47" x14ac:dyDescent="0.25">
      <c r="A169">
        <v>15.499999999999961</v>
      </c>
      <c r="B169">
        <v>0.1</v>
      </c>
      <c r="C169">
        <v>-493.5296938377482</v>
      </c>
      <c r="D169">
        <v>1044.1994091757497</v>
      </c>
      <c r="E169">
        <v>-2821.1964930080198</v>
      </c>
      <c r="F169">
        <v>36.990753920958305</v>
      </c>
      <c r="G169">
        <v>100</v>
      </c>
      <c r="H169">
        <v>5.4985940163930236</v>
      </c>
      <c r="I169">
        <v>315.04623039520845</v>
      </c>
      <c r="J169">
        <v>0</v>
      </c>
      <c r="K169">
        <v>0</v>
      </c>
      <c r="L169">
        <v>0</v>
      </c>
      <c r="M169">
        <v>315.04623039520845</v>
      </c>
      <c r="N169">
        <v>-490.13447069887798</v>
      </c>
      <c r="O169">
        <v>1034.7934291716629</v>
      </c>
      <c r="P169">
        <v>-456.18223931017604</v>
      </c>
      <c r="Q169">
        <v>940.73362913079507</v>
      </c>
      <c r="R169">
        <v>-0.94059800040867847</v>
      </c>
      <c r="S169">
        <v>0.33952231388701931</v>
      </c>
      <c r="T169" t="str">
        <v/>
      </c>
      <c r="U169">
        <v>2</v>
      </c>
      <c r="V169">
        <v>-500</v>
      </c>
      <c r="W169">
        <v>500</v>
      </c>
      <c r="X169">
        <v>-500</v>
      </c>
      <c r="Y169">
        <v>1000</v>
      </c>
      <c r="Z169">
        <v>0</v>
      </c>
      <c r="AA169">
        <v>-500</v>
      </c>
      <c r="AB169">
        <v>-480.26894139775595</v>
      </c>
      <c r="AC169">
        <v>1569.5868583433257</v>
      </c>
      <c r="AD169">
        <v>-169.76115694350966</v>
      </c>
      <c r="AE169">
        <v>-29.057086670317972</v>
      </c>
      <c r="AF169">
        <v>1.1242489335829311</v>
      </c>
      <c r="AG169" t="b">
        <v>0</v>
      </c>
      <c r="AH169">
        <v>25000</v>
      </c>
      <c r="AI169">
        <v>3</v>
      </c>
      <c r="AJ169">
        <v>-500</v>
      </c>
      <c r="AK169">
        <v>1000</v>
      </c>
      <c r="AL169">
        <v>0</v>
      </c>
      <c r="AM169">
        <v>1000</v>
      </c>
      <c r="AN169">
        <v>-500</v>
      </c>
      <c r="AO169">
        <v>0</v>
      </c>
      <c r="AP169">
        <v>-480.26894139775595</v>
      </c>
      <c r="AQ169">
        <v>1069.5868583433257</v>
      </c>
      <c r="AR169">
        <v>-470.29900020433922</v>
      </c>
      <c r="AS169">
        <v>36.990753920958305</v>
      </c>
      <c r="AT169">
        <v>4.4849431329582246E-2</v>
      </c>
      <c r="AU169" t="b">
        <v>1</v>
      </c>
    </row>
    <row r="170" spans="1:47" x14ac:dyDescent="0.25">
      <c r="A170">
        <v>15.599999999999961</v>
      </c>
      <c r="B170">
        <v>0.1</v>
      </c>
      <c r="C170">
        <v>-484.77103630304094</v>
      </c>
      <c r="D170">
        <v>1049.0249576616438</v>
      </c>
      <c r="E170">
        <v>-2820.6466336063804</v>
      </c>
      <c r="F170">
        <v>68.4991272451811</v>
      </c>
      <c r="G170">
        <v>100</v>
      </c>
      <c r="H170">
        <v>2.7489697341168311</v>
      </c>
      <c r="I170">
        <v>157.50436377409449</v>
      </c>
      <c r="J170">
        <v>0</v>
      </c>
      <c r="K170">
        <v>0</v>
      </c>
      <c r="L170">
        <v>0</v>
      </c>
      <c r="M170">
        <v>157.50436377409449</v>
      </c>
      <c r="N170">
        <v>-476.96101769548966</v>
      </c>
      <c r="O170">
        <v>1042.779670690679</v>
      </c>
      <c r="P170">
        <v>-398.86083161997692</v>
      </c>
      <c r="Q170">
        <v>980.32680098103094</v>
      </c>
      <c r="R170">
        <v>-0.6245286970964814</v>
      </c>
      <c r="S170">
        <v>0.78100186075512734</v>
      </c>
      <c r="T170" t="str">
        <v/>
      </c>
      <c r="U170">
        <v>2</v>
      </c>
      <c r="V170">
        <v>-500</v>
      </c>
      <c r="W170">
        <v>500</v>
      </c>
      <c r="X170">
        <v>-500</v>
      </c>
      <c r="Y170">
        <v>1000</v>
      </c>
      <c r="Z170">
        <v>0</v>
      </c>
      <c r="AA170">
        <v>-500</v>
      </c>
      <c r="AB170">
        <v>-453.92203539097932</v>
      </c>
      <c r="AC170">
        <v>1585.5593413813581</v>
      </c>
      <c r="AD170">
        <v>-390.50093037756369</v>
      </c>
      <c r="AE170">
        <v>-29.499266854799341</v>
      </c>
      <c r="AF170">
        <v>1.1224056187696165</v>
      </c>
      <c r="AG170" t="b">
        <v>0</v>
      </c>
      <c r="AH170">
        <v>25000</v>
      </c>
      <c r="AI170">
        <v>3</v>
      </c>
      <c r="AJ170">
        <v>-500</v>
      </c>
      <c r="AK170">
        <v>1000</v>
      </c>
      <c r="AL170">
        <v>0</v>
      </c>
      <c r="AM170">
        <v>1000</v>
      </c>
      <c r="AN170">
        <v>-500</v>
      </c>
      <c r="AO170">
        <v>0</v>
      </c>
      <c r="AP170">
        <v>-453.92203539097932</v>
      </c>
      <c r="AQ170">
        <v>1085.5593413813581</v>
      </c>
      <c r="AR170">
        <v>-312.26434854824072</v>
      </c>
      <c r="AS170">
        <v>68.4991272451811</v>
      </c>
      <c r="AT170">
        <v>0.15307385628619805</v>
      </c>
      <c r="AU170" t="b">
        <v>1</v>
      </c>
    </row>
    <row r="171" spans="1:47" x14ac:dyDescent="0.25">
      <c r="A171">
        <v>15.69999999999996</v>
      </c>
      <c r="B171">
        <v>0.1</v>
      </c>
      <c r="C171">
        <v>-477.65112302632826</v>
      </c>
      <c r="D171">
        <v>1056.0468402391361</v>
      </c>
      <c r="E171">
        <v>-2820.3717366329688</v>
      </c>
      <c r="F171">
        <v>134.05024772664171</v>
      </c>
      <c r="G171">
        <v>100</v>
      </c>
      <c r="H171">
        <v>-2.9714446697480601</v>
      </c>
      <c r="I171">
        <v>-170.25123863320857</v>
      </c>
      <c r="J171">
        <v>0</v>
      </c>
      <c r="K171">
        <v>0</v>
      </c>
      <c r="L171">
        <v>0</v>
      </c>
      <c r="M171">
        <v>-170.25123863320857</v>
      </c>
      <c r="N171">
        <v>-468.43907658241091</v>
      </c>
      <c r="O171">
        <v>1052.1560562159464</v>
      </c>
      <c r="P171">
        <v>-376.31861214323737</v>
      </c>
      <c r="Q171">
        <v>1013.2482159840475</v>
      </c>
      <c r="R171">
        <v>-0.38907840231898844</v>
      </c>
      <c r="S171">
        <v>0.92120464439173522</v>
      </c>
      <c r="T171" t="str">
        <v/>
      </c>
      <c r="U171">
        <v>2</v>
      </c>
      <c r="V171">
        <v>-500</v>
      </c>
      <c r="W171">
        <v>500</v>
      </c>
      <c r="X171">
        <v>-500</v>
      </c>
      <c r="Y171">
        <v>1000</v>
      </c>
      <c r="Z171">
        <v>0</v>
      </c>
      <c r="AA171">
        <v>-500</v>
      </c>
      <c r="AB171">
        <v>-436.87815316482181</v>
      </c>
      <c r="AC171">
        <v>1604.3121124318927</v>
      </c>
      <c r="AD171">
        <v>-460.6023221958676</v>
      </c>
      <c r="AE171">
        <v>-34.260490988328165</v>
      </c>
      <c r="AF171">
        <v>1.1309721466246985</v>
      </c>
      <c r="AG171" t="b">
        <v>0</v>
      </c>
      <c r="AH171">
        <v>25000</v>
      </c>
      <c r="AI171">
        <v>3</v>
      </c>
      <c r="AJ171">
        <v>-500</v>
      </c>
      <c r="AK171">
        <v>1000</v>
      </c>
      <c r="AL171">
        <v>0</v>
      </c>
      <c r="AM171">
        <v>1000</v>
      </c>
      <c r="AN171">
        <v>-500</v>
      </c>
      <c r="AO171">
        <v>0</v>
      </c>
      <c r="AP171">
        <v>-436.87815316482181</v>
      </c>
      <c r="AQ171">
        <v>1104.3121124318927</v>
      </c>
      <c r="AR171">
        <v>-194.53920115949421</v>
      </c>
      <c r="AS171">
        <v>134.05024772664171</v>
      </c>
      <c r="AT171">
        <v>0.31009726841046814</v>
      </c>
      <c r="AU171" t="b">
        <v>1</v>
      </c>
    </row>
    <row r="172" spans="1:47" x14ac:dyDescent="0.25">
      <c r="A172">
        <v>15.79999999999996</v>
      </c>
      <c r="B172">
        <v>0.1</v>
      </c>
      <c r="C172">
        <v>-468.78728545216524</v>
      </c>
      <c r="D172">
        <v>1060.6763524660187</v>
      </c>
      <c r="E172">
        <v>-2820.6688810999435</v>
      </c>
      <c r="F172">
        <v>84.548557812945489</v>
      </c>
      <c r="G172">
        <v>100</v>
      </c>
      <c r="H172">
        <v>1.3483927017282737</v>
      </c>
      <c r="I172">
        <v>77.257210935272553</v>
      </c>
      <c r="J172">
        <v>0</v>
      </c>
      <c r="K172">
        <v>0</v>
      </c>
      <c r="L172">
        <v>0</v>
      </c>
      <c r="M172">
        <v>77.257210935272553</v>
      </c>
      <c r="N172">
        <v>-461.1181300734296</v>
      </c>
      <c r="O172">
        <v>1054.2588719809053</v>
      </c>
      <c r="P172">
        <v>-384.42657628607321</v>
      </c>
      <c r="Q172">
        <v>990.08406712977217</v>
      </c>
      <c r="R172">
        <v>-0.6417480485113316</v>
      </c>
      <c r="S172">
        <v>0.76691553787356381</v>
      </c>
      <c r="T172" t="str">
        <v/>
      </c>
      <c r="U172">
        <v>2</v>
      </c>
      <c r="V172">
        <v>-500</v>
      </c>
      <c r="W172">
        <v>500</v>
      </c>
      <c r="X172">
        <v>-500</v>
      </c>
      <c r="Y172">
        <v>1000</v>
      </c>
      <c r="Z172">
        <v>0</v>
      </c>
      <c r="AA172">
        <v>-500</v>
      </c>
      <c r="AB172">
        <v>-422.23626014685919</v>
      </c>
      <c r="AC172">
        <v>1608.5177439618105</v>
      </c>
      <c r="AD172">
        <v>-383.45776893678192</v>
      </c>
      <c r="AE172">
        <v>-50.699024868342924</v>
      </c>
      <c r="AF172">
        <v>1.1735897445031835</v>
      </c>
      <c r="AG172" t="b">
        <v>0</v>
      </c>
      <c r="AH172">
        <v>25000</v>
      </c>
      <c r="AI172">
        <v>3</v>
      </c>
      <c r="AJ172">
        <v>-500</v>
      </c>
      <c r="AK172">
        <v>1000</v>
      </c>
      <c r="AL172">
        <v>0</v>
      </c>
      <c r="AM172">
        <v>1000</v>
      </c>
      <c r="AN172">
        <v>-500</v>
      </c>
      <c r="AO172">
        <v>0</v>
      </c>
      <c r="AP172">
        <v>-422.23626014685919</v>
      </c>
      <c r="AQ172">
        <v>1108.5177439618105</v>
      </c>
      <c r="AR172">
        <v>-320.8740242556658</v>
      </c>
      <c r="AS172">
        <v>84.548557812945489</v>
      </c>
      <c r="AT172">
        <v>0.20744694523623922</v>
      </c>
      <c r="AU172" t="b">
        <v>1</v>
      </c>
    </row>
    <row r="173" spans="1:47" x14ac:dyDescent="0.25">
      <c r="A173">
        <v>15.899999999999959</v>
      </c>
      <c r="B173">
        <v>0.1</v>
      </c>
      <c r="C173">
        <v>-460.62625551727047</v>
      </c>
      <c r="D173">
        <v>1066.4554173040137</v>
      </c>
      <c r="E173">
        <v>-2820.5340418297706</v>
      </c>
      <c r="F173">
        <v>114.72263982024874</v>
      </c>
      <c r="G173">
        <v>100</v>
      </c>
      <c r="H173">
        <v>-1.2847926972428336</v>
      </c>
      <c r="I173">
        <v>-73.613199101243723</v>
      </c>
      <c r="J173">
        <v>0</v>
      </c>
      <c r="K173">
        <v>0</v>
      </c>
      <c r="L173">
        <v>0</v>
      </c>
      <c r="M173">
        <v>-73.613199101243723</v>
      </c>
      <c r="N173">
        <v>-452.16400484927078</v>
      </c>
      <c r="O173">
        <v>1061.1271611510178</v>
      </c>
      <c r="P173">
        <v>-367.54149816927412</v>
      </c>
      <c r="Q173">
        <v>1007.8445996210584</v>
      </c>
      <c r="R173">
        <v>-0.53282561529959493</v>
      </c>
      <c r="S173">
        <v>0.84622506679996667</v>
      </c>
      <c r="T173" t="str">
        <v/>
      </c>
      <c r="U173">
        <v>2</v>
      </c>
      <c r="V173">
        <v>-500</v>
      </c>
      <c r="W173">
        <v>500</v>
      </c>
      <c r="X173">
        <v>-500</v>
      </c>
      <c r="Y173">
        <v>1000</v>
      </c>
      <c r="Z173">
        <v>0</v>
      </c>
      <c r="AA173">
        <v>-500</v>
      </c>
      <c r="AB173">
        <v>-404.32800969854156</v>
      </c>
      <c r="AC173">
        <v>1622.2543223020357</v>
      </c>
      <c r="AD173">
        <v>-423.11253339998336</v>
      </c>
      <c r="AE173">
        <v>-56.528690802817877</v>
      </c>
      <c r="AF173">
        <v>1.1824941912202196</v>
      </c>
      <c r="AG173" t="b">
        <v>0</v>
      </c>
      <c r="AH173">
        <v>25000</v>
      </c>
      <c r="AI173">
        <v>3</v>
      </c>
      <c r="AJ173">
        <v>-500</v>
      </c>
      <c r="AK173">
        <v>1000</v>
      </c>
      <c r="AL173">
        <v>0</v>
      </c>
      <c r="AM173">
        <v>1000</v>
      </c>
      <c r="AN173">
        <v>-500</v>
      </c>
      <c r="AO173">
        <v>0</v>
      </c>
      <c r="AP173">
        <v>-404.32800969854156</v>
      </c>
      <c r="AQ173">
        <v>1122.2543223020357</v>
      </c>
      <c r="AR173">
        <v>-266.41280764979746</v>
      </c>
      <c r="AS173">
        <v>114.72263982024874</v>
      </c>
      <c r="AT173">
        <v>0.2898343373921754</v>
      </c>
      <c r="AU173" t="b">
        <v>1</v>
      </c>
    </row>
    <row r="174" spans="1:47" x14ac:dyDescent="0.25">
      <c r="A174">
        <v>15.999999999999959</v>
      </c>
      <c r="B174">
        <v>0.1</v>
      </c>
      <c r="C174">
        <v>-451.79204071321357</v>
      </c>
      <c r="D174">
        <v>1071.1412095311384</v>
      </c>
      <c r="E174">
        <v>-2820.6625210994948</v>
      </c>
      <c r="F174">
        <v>101.70663359336639</v>
      </c>
      <c r="G174">
        <v>100</v>
      </c>
      <c r="H174">
        <v>-0.14893187664692789</v>
      </c>
      <c r="I174">
        <v>-8.5331679668319538</v>
      </c>
      <c r="J174">
        <v>0</v>
      </c>
      <c r="K174">
        <v>0</v>
      </c>
      <c r="L174">
        <v>0</v>
      </c>
      <c r="M174">
        <v>-8.5331679668319538</v>
      </c>
      <c r="N174">
        <v>-444.08222553750494</v>
      </c>
      <c r="O174">
        <v>1064.7726343406887</v>
      </c>
      <c r="P174">
        <v>-366.98407378041895</v>
      </c>
      <c r="Q174">
        <v>1001.0868824361902</v>
      </c>
      <c r="R174">
        <v>-0.63685751904498533</v>
      </c>
      <c r="S174">
        <v>0.77098151757085998</v>
      </c>
      <c r="T174" t="str">
        <v/>
      </c>
      <c r="U174">
        <v>2</v>
      </c>
      <c r="V174">
        <v>-500</v>
      </c>
      <c r="W174">
        <v>500</v>
      </c>
      <c r="X174">
        <v>-500</v>
      </c>
      <c r="Y174">
        <v>1000</v>
      </c>
      <c r="Z174">
        <v>0</v>
      </c>
      <c r="AA174">
        <v>-500</v>
      </c>
      <c r="AB174">
        <v>-388.16445107500988</v>
      </c>
      <c r="AC174">
        <v>1629.5452686813774</v>
      </c>
      <c r="AD174">
        <v>-385.49075878542999</v>
      </c>
      <c r="AE174">
        <v>-72.528034963374751</v>
      </c>
      <c r="AF174">
        <v>1.221925317497343</v>
      </c>
      <c r="AG174" t="b">
        <v>0</v>
      </c>
      <c r="AH174">
        <v>25000</v>
      </c>
      <c r="AI174">
        <v>3</v>
      </c>
      <c r="AJ174">
        <v>-500</v>
      </c>
      <c r="AK174">
        <v>1000</v>
      </c>
      <c r="AL174">
        <v>0</v>
      </c>
      <c r="AM174">
        <v>1000</v>
      </c>
      <c r="AN174">
        <v>-500</v>
      </c>
      <c r="AO174">
        <v>0</v>
      </c>
      <c r="AP174">
        <v>-388.16445107500988</v>
      </c>
      <c r="AQ174">
        <v>1129.5452686813774</v>
      </c>
      <c r="AR174">
        <v>-318.42875952249267</v>
      </c>
      <c r="AS174">
        <v>101.70663359336639</v>
      </c>
      <c r="AT174">
        <v>0.26866341835466417</v>
      </c>
      <c r="AU174" t="b">
        <v>1</v>
      </c>
    </row>
    <row r="175" spans="1:47" x14ac:dyDescent="0.25">
      <c r="A175">
        <v>16.099999999999959</v>
      </c>
      <c r="B175">
        <v>0.1</v>
      </c>
      <c r="C175">
        <v>-442.88902183338706</v>
      </c>
      <c r="D175">
        <v>1075.6949173418629</v>
      </c>
      <c r="E175">
        <v>-2820.6774142871595</v>
      </c>
      <c r="F175">
        <v>106.76470136922656</v>
      </c>
      <c r="G175">
        <v>100</v>
      </c>
      <c r="H175">
        <v>-0.59033155903586021</v>
      </c>
      <c r="I175">
        <v>-33.823506846132787</v>
      </c>
      <c r="J175">
        <v>0</v>
      </c>
      <c r="K175">
        <v>0</v>
      </c>
      <c r="L175">
        <v>0</v>
      </c>
      <c r="M175">
        <v>-33.823506846132787</v>
      </c>
      <c r="N175">
        <v>-435.27490656667811</v>
      </c>
      <c r="O175">
        <v>1069.2122289562262</v>
      </c>
      <c r="P175">
        <v>-359.13375389958867</v>
      </c>
      <c r="Q175">
        <v>1004.3853450998586</v>
      </c>
      <c r="R175">
        <v>-0.64826883856367623</v>
      </c>
      <c r="S175">
        <v>0.76141152667089451</v>
      </c>
      <c r="T175" t="str">
        <v/>
      </c>
      <c r="U175">
        <v>2</v>
      </c>
      <c r="V175">
        <v>-500</v>
      </c>
      <c r="W175">
        <v>500</v>
      </c>
      <c r="X175">
        <v>-500</v>
      </c>
      <c r="Y175">
        <v>1000</v>
      </c>
      <c r="Z175">
        <v>0</v>
      </c>
      <c r="AA175">
        <v>-500</v>
      </c>
      <c r="AB175">
        <v>-370.54981313335622</v>
      </c>
      <c r="AC175">
        <v>1638.4244579124525</v>
      </c>
      <c r="AD175">
        <v>-380.70576333544727</v>
      </c>
      <c r="AE175">
        <v>-85.006716034781107</v>
      </c>
      <c r="AF175">
        <v>1.2486388680604119</v>
      </c>
      <c r="AG175" t="b">
        <v>0</v>
      </c>
      <c r="AH175">
        <v>25000</v>
      </c>
      <c r="AI175">
        <v>3</v>
      </c>
      <c r="AJ175">
        <v>-500</v>
      </c>
      <c r="AK175">
        <v>1000</v>
      </c>
      <c r="AL175">
        <v>0</v>
      </c>
      <c r="AM175">
        <v>1000</v>
      </c>
      <c r="AN175">
        <v>-500</v>
      </c>
      <c r="AO175">
        <v>0</v>
      </c>
      <c r="AP175">
        <v>-370.54981313335622</v>
      </c>
      <c r="AQ175">
        <v>1138.4244579124525</v>
      </c>
      <c r="AR175">
        <v>-324.13441928183812</v>
      </c>
      <c r="AS175">
        <v>106.76470136922656</v>
      </c>
      <c r="AT175">
        <v>0.29203393539485362</v>
      </c>
      <c r="AU175" t="b">
        <v>1</v>
      </c>
    </row>
    <row r="176" spans="1:47" x14ac:dyDescent="0.25">
      <c r="A176">
        <v>16.19999999999996</v>
      </c>
      <c r="B176">
        <v>0.1</v>
      </c>
      <c r="C176">
        <v>-433.73284793950751</v>
      </c>
      <c r="D176">
        <v>1079.7154247258927</v>
      </c>
      <c r="E176">
        <v>-2820.7364474430633</v>
      </c>
      <c r="F176">
        <v>105.18537887727571</v>
      </c>
      <c r="G176">
        <v>100</v>
      </c>
      <c r="H176">
        <v>-0.45250967185914054</v>
      </c>
      <c r="I176">
        <v>-25.926894386378549</v>
      </c>
      <c r="J176">
        <v>0</v>
      </c>
      <c r="K176">
        <v>0</v>
      </c>
      <c r="L176">
        <v>0</v>
      </c>
      <c r="M176">
        <v>-25.926894386378549</v>
      </c>
      <c r="N176">
        <v>-426.5144674040497</v>
      </c>
      <c r="O176">
        <v>1072.7948046347938</v>
      </c>
      <c r="P176">
        <v>-354.33066204947141</v>
      </c>
      <c r="Q176">
        <v>1003.5886037238034</v>
      </c>
      <c r="R176">
        <v>-0.6920620091099029</v>
      </c>
      <c r="S176">
        <v>0.7218380535457829</v>
      </c>
      <c r="T176" t="str">
        <v/>
      </c>
      <c r="U176">
        <v>2</v>
      </c>
      <c r="V176">
        <v>-500</v>
      </c>
      <c r="W176">
        <v>500</v>
      </c>
      <c r="X176">
        <v>-500</v>
      </c>
      <c r="Y176">
        <v>1000</v>
      </c>
      <c r="Z176">
        <v>0</v>
      </c>
      <c r="AA176">
        <v>-500</v>
      </c>
      <c r="AB176">
        <v>-353.02893480809939</v>
      </c>
      <c r="AC176">
        <v>1645.5896092695875</v>
      </c>
      <c r="AD176">
        <v>-360.91902677289147</v>
      </c>
      <c r="AE176">
        <v>-101.80335081390864</v>
      </c>
      <c r="AF176">
        <v>1.2864980722663752</v>
      </c>
      <c r="AG176" t="b">
        <v>0</v>
      </c>
      <c r="AH176">
        <v>25000</v>
      </c>
      <c r="AI176">
        <v>3</v>
      </c>
      <c r="AJ176">
        <v>-500</v>
      </c>
      <c r="AK176">
        <v>1000</v>
      </c>
      <c r="AL176">
        <v>0</v>
      </c>
      <c r="AM176">
        <v>1000</v>
      </c>
      <c r="AN176">
        <v>-500</v>
      </c>
      <c r="AO176">
        <v>0</v>
      </c>
      <c r="AP176">
        <v>-353.02893480809939</v>
      </c>
      <c r="AQ176">
        <v>1145.5896092695875</v>
      </c>
      <c r="AR176">
        <v>-346.03100455495144</v>
      </c>
      <c r="AS176">
        <v>105.18537887727571</v>
      </c>
      <c r="AT176">
        <v>0.29882468349239744</v>
      </c>
      <c r="AU176" t="b">
        <v>1</v>
      </c>
    </row>
    <row r="177" spans="1:47" x14ac:dyDescent="0.25">
      <c r="A177">
        <v>16.299999999999962</v>
      </c>
      <c r="B177">
        <v>0.1</v>
      </c>
      <c r="C177">
        <v>-424.40417700073698</v>
      </c>
      <c r="D177">
        <v>1083.3176321763513</v>
      </c>
      <c r="E177">
        <v>-2820.7816984102492</v>
      </c>
      <c r="F177">
        <v>105.07860052852847</v>
      </c>
      <c r="G177">
        <v>100</v>
      </c>
      <c r="H177">
        <v>-0.44319150308172994</v>
      </c>
      <c r="I177">
        <v>-25.393002642642344</v>
      </c>
      <c r="J177">
        <v>0</v>
      </c>
      <c r="K177">
        <v>0</v>
      </c>
      <c r="L177">
        <v>0</v>
      </c>
      <c r="M177">
        <v>-25.393002642642344</v>
      </c>
      <c r="N177">
        <v>-417.50624345114483</v>
      </c>
      <c r="O177">
        <v>1076.0775691417216</v>
      </c>
      <c r="P177">
        <v>-348.52690795522324</v>
      </c>
      <c r="Q177">
        <v>1003.6769387954249</v>
      </c>
      <c r="R177">
        <v>-0.72400630346296635</v>
      </c>
      <c r="S177">
        <v>0.68979335495921601</v>
      </c>
      <c r="T177" t="str">
        <v/>
      </c>
      <c r="U177">
        <v>2</v>
      </c>
      <c r="V177">
        <v>-500</v>
      </c>
      <c r="W177">
        <v>500</v>
      </c>
      <c r="X177">
        <v>-500</v>
      </c>
      <c r="Y177">
        <v>1000</v>
      </c>
      <c r="Z177">
        <v>0</v>
      </c>
      <c r="AA177">
        <v>-500</v>
      </c>
      <c r="AB177">
        <v>-335.01248690228965</v>
      </c>
      <c r="AC177">
        <v>1652.1551382834432</v>
      </c>
      <c r="AD177">
        <v>-344.896677479608</v>
      </c>
      <c r="AE177">
        <v>-119.59198498473883</v>
      </c>
      <c r="AF177">
        <v>1.3253258402286416</v>
      </c>
      <c r="AG177" t="b">
        <v>0</v>
      </c>
      <c r="AH177">
        <v>25000</v>
      </c>
      <c r="AI177">
        <v>3</v>
      </c>
      <c r="AJ177">
        <v>-500</v>
      </c>
      <c r="AK177">
        <v>1000</v>
      </c>
      <c r="AL177">
        <v>0</v>
      </c>
      <c r="AM177">
        <v>1000</v>
      </c>
      <c r="AN177">
        <v>-500</v>
      </c>
      <c r="AO177">
        <v>0</v>
      </c>
      <c r="AP177">
        <v>-335.01248690228965</v>
      </c>
      <c r="AQ177">
        <v>1152.1551382834432</v>
      </c>
      <c r="AR177">
        <v>-362.00315173148317</v>
      </c>
      <c r="AS177">
        <v>105.07860052852847</v>
      </c>
      <c r="AT177">
        <v>0.30995255388369614</v>
      </c>
      <c r="AU177" t="b">
        <v>1</v>
      </c>
    </row>
    <row r="178" spans="1:47" x14ac:dyDescent="0.25">
      <c r="A178">
        <v>16.399999999999963</v>
      </c>
      <c r="B178">
        <v>0.1</v>
      </c>
      <c r="C178">
        <v>-414.92507167407121</v>
      </c>
      <c r="D178">
        <v>1086.5029990635364</v>
      </c>
      <c r="E178">
        <v>-2820.8260175605574</v>
      </c>
      <c r="F178">
        <v>104.74731266209901</v>
      </c>
      <c r="G178">
        <v>100</v>
      </c>
      <c r="H178">
        <v>-0.41428118287622334</v>
      </c>
      <c r="I178">
        <v>-23.736563310495029</v>
      </c>
      <c r="J178">
        <v>0</v>
      </c>
      <c r="K178">
        <v>0</v>
      </c>
      <c r="L178">
        <v>0</v>
      </c>
      <c r="M178">
        <v>-23.736563310495029</v>
      </c>
      <c r="N178">
        <v>-408.35467984130207</v>
      </c>
      <c r="O178">
        <v>1078.964434799442</v>
      </c>
      <c r="P178">
        <v>-342.6507615136108</v>
      </c>
      <c r="Q178">
        <v>1003.5787921584982</v>
      </c>
      <c r="R178">
        <v>-0.7538564264094374</v>
      </c>
      <c r="S178">
        <v>0.65703918327691269</v>
      </c>
      <c r="T178" t="str">
        <v/>
      </c>
      <c r="U178">
        <v>2</v>
      </c>
      <c r="V178">
        <v>-500</v>
      </c>
      <c r="W178">
        <v>500</v>
      </c>
      <c r="X178">
        <v>-500</v>
      </c>
      <c r="Y178">
        <v>1000</v>
      </c>
      <c r="Z178">
        <v>0</v>
      </c>
      <c r="AA178">
        <v>-500</v>
      </c>
      <c r="AB178">
        <v>-316.70935968260414</v>
      </c>
      <c r="AC178">
        <v>1657.9288695988839</v>
      </c>
      <c r="AD178">
        <v>-328.51959163845635</v>
      </c>
      <c r="AE178">
        <v>-139.48227516908</v>
      </c>
      <c r="AF178">
        <v>1.3682280886117248</v>
      </c>
      <c r="AG178" t="b">
        <v>0</v>
      </c>
      <c r="AH178">
        <v>25000</v>
      </c>
      <c r="AI178">
        <v>3</v>
      </c>
      <c r="AJ178">
        <v>-500</v>
      </c>
      <c r="AK178">
        <v>1000</v>
      </c>
      <c r="AL178">
        <v>0</v>
      </c>
      <c r="AM178">
        <v>1000</v>
      </c>
      <c r="AN178">
        <v>-500</v>
      </c>
      <c r="AO178">
        <v>0</v>
      </c>
      <c r="AP178">
        <v>-316.70935968260414</v>
      </c>
      <c r="AQ178">
        <v>1157.9288695988839</v>
      </c>
      <c r="AR178">
        <v>-376.9282132047187</v>
      </c>
      <c r="AS178">
        <v>104.74731266209901</v>
      </c>
      <c r="AT178">
        <v>0.32093681784130973</v>
      </c>
      <c r="AU178" t="b">
        <v>1</v>
      </c>
    </row>
    <row r="179" spans="1:47" x14ac:dyDescent="0.25">
      <c r="A179">
        <v>16.499999999999964</v>
      </c>
      <c r="B179">
        <v>0.1</v>
      </c>
      <c r="C179">
        <v>-405.32217361463961</v>
      </c>
      <c r="D179">
        <v>1089.2930436617758</v>
      </c>
      <c r="E179">
        <v>-2820.8674456788449</v>
      </c>
      <c r="F179">
        <v>104.41640104744086</v>
      </c>
      <c r="G179">
        <v>100</v>
      </c>
      <c r="H179">
        <v>-0.38540369683184622</v>
      </c>
      <c r="I179">
        <v>-22.082005237204285</v>
      </c>
      <c r="J179">
        <v>0</v>
      </c>
      <c r="K179">
        <v>0</v>
      </c>
      <c r="L179">
        <v>0</v>
      </c>
      <c r="M179">
        <v>-22.082005237204285</v>
      </c>
      <c r="N179">
        <v>-399.06963852549637</v>
      </c>
      <c r="O179">
        <v>1081.488826535181</v>
      </c>
      <c r="P179">
        <v>-336.54428763406418</v>
      </c>
      <c r="Q179">
        <v>1003.4466552692348</v>
      </c>
      <c r="R179">
        <v>-0.78042171265946192</v>
      </c>
      <c r="S179">
        <v>0.62525350891432208</v>
      </c>
      <c r="T179" t="str">
        <v/>
      </c>
      <c r="U179">
        <v>2</v>
      </c>
      <c r="V179">
        <v>-500</v>
      </c>
      <c r="W179">
        <v>500</v>
      </c>
      <c r="X179">
        <v>-500</v>
      </c>
      <c r="Y179">
        <v>1000</v>
      </c>
      <c r="Z179">
        <v>0</v>
      </c>
      <c r="AA179">
        <v>-500</v>
      </c>
      <c r="AB179">
        <v>-298.13927705099275</v>
      </c>
      <c r="AC179">
        <v>1662.9776530703621</v>
      </c>
      <c r="AD179">
        <v>-312.62675445716104</v>
      </c>
      <c r="AE179">
        <v>-161.42310284632728</v>
      </c>
      <c r="AF179">
        <v>1.4149338418426325</v>
      </c>
      <c r="AG179" t="b">
        <v>0</v>
      </c>
      <c r="AH179">
        <v>25000</v>
      </c>
      <c r="AI179">
        <v>3</v>
      </c>
      <c r="AJ179">
        <v>-500</v>
      </c>
      <c r="AK179">
        <v>1000</v>
      </c>
      <c r="AL179">
        <v>0</v>
      </c>
      <c r="AM179">
        <v>1000</v>
      </c>
      <c r="AN179">
        <v>-500</v>
      </c>
      <c r="AO179">
        <v>0</v>
      </c>
      <c r="AP179">
        <v>-298.13927705099275</v>
      </c>
      <c r="AQ179">
        <v>1162.9776530703621</v>
      </c>
      <c r="AR179">
        <v>-390.21085632973097</v>
      </c>
      <c r="AS179">
        <v>104.41640104744086</v>
      </c>
      <c r="AT179">
        <v>0.33243416523524222</v>
      </c>
      <c r="AU179" t="b">
        <v>1</v>
      </c>
    </row>
    <row r="180" spans="1:47" x14ac:dyDescent="0.25">
      <c r="A180">
        <v>16.599999999999966</v>
      </c>
      <c r="B180">
        <v>0.1</v>
      </c>
      <c r="C180">
        <v>-395.61890382099779</v>
      </c>
      <c r="D180">
        <v>1091.7110087797619</v>
      </c>
      <c r="E180">
        <v>-2820.9059860485281</v>
      </c>
      <c r="F180">
        <v>104.07782363074391</v>
      </c>
      <c r="G180">
        <v>100</v>
      </c>
      <c r="H180">
        <v>-0.35585724336055324</v>
      </c>
      <c r="I180">
        <v>-20.389118153719537</v>
      </c>
      <c r="J180">
        <v>0</v>
      </c>
      <c r="K180">
        <v>0</v>
      </c>
      <c r="L180">
        <v>0</v>
      </c>
      <c r="M180">
        <v>-20.389118153719537</v>
      </c>
      <c r="N180">
        <v>-389.67171474836789</v>
      </c>
      <c r="O180">
        <v>1083.6716716096719</v>
      </c>
      <c r="P180">
        <v>-330.19982402206921</v>
      </c>
      <c r="Q180">
        <v>1003.2782999087711</v>
      </c>
      <c r="R180">
        <v>-0.80393371700900751</v>
      </c>
      <c r="S180">
        <v>0.59471890726298682</v>
      </c>
      <c r="T180" t="str">
        <v/>
      </c>
      <c r="U180">
        <v>2</v>
      </c>
      <c r="V180">
        <v>-500</v>
      </c>
      <c r="W180">
        <v>500</v>
      </c>
      <c r="X180">
        <v>-500</v>
      </c>
      <c r="Y180">
        <v>1000</v>
      </c>
      <c r="Z180">
        <v>0</v>
      </c>
      <c r="AA180">
        <v>-500</v>
      </c>
      <c r="AB180">
        <v>-279.34342949673578</v>
      </c>
      <c r="AC180">
        <v>1667.3433432193438</v>
      </c>
      <c r="AD180">
        <v>-297.35945363149341</v>
      </c>
      <c r="AE180">
        <v>-185.51333059072317</v>
      </c>
      <c r="AF180">
        <v>1.4656241860523855</v>
      </c>
      <c r="AG180" t="b">
        <v>0</v>
      </c>
      <c r="AH180">
        <v>25000</v>
      </c>
      <c r="AI180">
        <v>3</v>
      </c>
      <c r="AJ180">
        <v>-500</v>
      </c>
      <c r="AK180">
        <v>1000</v>
      </c>
      <c r="AL180">
        <v>0</v>
      </c>
      <c r="AM180">
        <v>1000</v>
      </c>
      <c r="AN180">
        <v>-500</v>
      </c>
      <c r="AO180">
        <v>0</v>
      </c>
      <c r="AP180">
        <v>-279.34342949673578</v>
      </c>
      <c r="AQ180">
        <v>1167.3433432193438</v>
      </c>
      <c r="AR180">
        <v>-401.96685850450376</v>
      </c>
      <c r="AS180">
        <v>104.07782363074391</v>
      </c>
      <c r="AT180">
        <v>0.344450669583236</v>
      </c>
      <c r="AU180" t="b">
        <v>1</v>
      </c>
    </row>
    <row r="181" spans="1:47" x14ac:dyDescent="0.25">
      <c r="A181">
        <v>16.699999999999967</v>
      </c>
      <c r="B181">
        <v>0.1</v>
      </c>
      <c r="C181">
        <v>-385.83575033583048</v>
      </c>
      <c r="D181">
        <v>1093.7822180607518</v>
      </c>
      <c r="E181">
        <v>-2820.9415717728643</v>
      </c>
      <c r="F181">
        <v>103.73279517658058</v>
      </c>
      <c r="G181">
        <v>100</v>
      </c>
      <c r="H181">
        <v>-0.32574783066947133</v>
      </c>
      <c r="I181">
        <v>-18.663975882902903</v>
      </c>
      <c r="J181">
        <v>0</v>
      </c>
      <c r="K181">
        <v>0</v>
      </c>
      <c r="L181">
        <v>0</v>
      </c>
      <c r="M181">
        <v>-18.663975882902903</v>
      </c>
      <c r="N181">
        <v>-380.17835171851732</v>
      </c>
      <c r="O181">
        <v>1085.5363802691854</v>
      </c>
      <c r="P181">
        <v>-323.60436554538558</v>
      </c>
      <c r="Q181">
        <v>1003.0780023535225</v>
      </c>
      <c r="R181">
        <v>-0.82458377915662984</v>
      </c>
      <c r="S181">
        <v>0.56573986173131752</v>
      </c>
      <c r="T181" t="str">
        <v/>
      </c>
      <c r="U181">
        <v>2</v>
      </c>
      <c r="V181">
        <v>-500</v>
      </c>
      <c r="W181">
        <v>500</v>
      </c>
      <c r="X181">
        <v>-500</v>
      </c>
      <c r="Y181">
        <v>1000</v>
      </c>
      <c r="Z181">
        <v>0</v>
      </c>
      <c r="AA181">
        <v>-500</v>
      </c>
      <c r="AB181">
        <v>-260.35670343703464</v>
      </c>
      <c r="AC181">
        <v>1671.0727605383709</v>
      </c>
      <c r="AD181">
        <v>-282.86993086565877</v>
      </c>
      <c r="AE181">
        <v>-211.79636859031976</v>
      </c>
      <c r="AF181">
        <v>1.5203604605860837</v>
      </c>
      <c r="AG181" t="b">
        <v>0</v>
      </c>
      <c r="AH181">
        <v>25000</v>
      </c>
      <c r="AI181">
        <v>3</v>
      </c>
      <c r="AJ181">
        <v>-500</v>
      </c>
      <c r="AK181">
        <v>1000</v>
      </c>
      <c r="AL181">
        <v>0</v>
      </c>
      <c r="AM181">
        <v>1000</v>
      </c>
      <c r="AN181">
        <v>-500</v>
      </c>
      <c r="AO181">
        <v>0</v>
      </c>
      <c r="AP181">
        <v>-260.35670343703464</v>
      </c>
      <c r="AQ181">
        <v>1171.0727605383709</v>
      </c>
      <c r="AR181">
        <v>-412.29188957831491</v>
      </c>
      <c r="AS181">
        <v>103.73279517658058</v>
      </c>
      <c r="AT181">
        <v>0.35701485096336893</v>
      </c>
      <c r="AU181" t="b">
        <v>1</v>
      </c>
    </row>
    <row r="182" spans="1:47" x14ac:dyDescent="0.25">
      <c r="A182">
        <v>16.799999999999969</v>
      </c>
      <c r="B182">
        <v>0.1</v>
      </c>
      <c r="C182">
        <v>-375.99032966291668</v>
      </c>
      <c r="D182">
        <v>1095.5337007964251</v>
      </c>
      <c r="E182">
        <v>-2820.9741465559314</v>
      </c>
      <c r="F182">
        <v>103.38343737855217</v>
      </c>
      <c r="G182">
        <v>100</v>
      </c>
      <c r="H182">
        <v>-0.29526061145390603</v>
      </c>
      <c r="I182">
        <v>-16.917186892760867</v>
      </c>
      <c r="J182">
        <v>0</v>
      </c>
      <c r="K182">
        <v>0</v>
      </c>
      <c r="L182">
        <v>0</v>
      </c>
      <c r="M182">
        <v>-16.917186892760867</v>
      </c>
      <c r="N182">
        <v>-370.60449123569157</v>
      </c>
      <c r="O182">
        <v>1087.1079815727728</v>
      </c>
      <c r="P182">
        <v>-316.74610696344024</v>
      </c>
      <c r="Q182">
        <v>1002.8507893362491</v>
      </c>
      <c r="R182">
        <v>-0.84257192236523715</v>
      </c>
      <c r="S182">
        <v>0.53858384272251325</v>
      </c>
      <c r="T182" t="str">
        <v/>
      </c>
      <c r="U182">
        <v>2</v>
      </c>
      <c r="V182">
        <v>-500</v>
      </c>
      <c r="W182">
        <v>500</v>
      </c>
      <c r="X182">
        <v>-500</v>
      </c>
      <c r="Y182">
        <v>1000</v>
      </c>
      <c r="Z182">
        <v>0</v>
      </c>
      <c r="AA182">
        <v>-500</v>
      </c>
      <c r="AB182">
        <v>-241.20898247138314</v>
      </c>
      <c r="AC182">
        <v>1674.2159631455456</v>
      </c>
      <c r="AD182">
        <v>-269.29192136125664</v>
      </c>
      <c r="AE182">
        <v>-240.2513749952484</v>
      </c>
      <c r="AF182">
        <v>1.5790740889068213</v>
      </c>
      <c r="AG182" t="b">
        <v>0</v>
      </c>
      <c r="AH182">
        <v>25000</v>
      </c>
      <c r="AI182">
        <v>3</v>
      </c>
      <c r="AJ182">
        <v>-500</v>
      </c>
      <c r="AK182">
        <v>1000</v>
      </c>
      <c r="AL182">
        <v>0</v>
      </c>
      <c r="AM182">
        <v>1000</v>
      </c>
      <c r="AN182">
        <v>-500</v>
      </c>
      <c r="AO182">
        <v>0</v>
      </c>
      <c r="AP182">
        <v>-241.20898247138314</v>
      </c>
      <c r="AQ182">
        <v>1174.2159631455456</v>
      </c>
      <c r="AR182">
        <v>-421.28596118261856</v>
      </c>
      <c r="AS182">
        <v>103.38343737855217</v>
      </c>
      <c r="AT182">
        <v>0.3701523154830228</v>
      </c>
      <c r="AU182" t="b">
        <v>1</v>
      </c>
    </row>
    <row r="183" spans="1:47" x14ac:dyDescent="0.25">
      <c r="A183">
        <v>16.89999999999997</v>
      </c>
      <c r="B183">
        <v>0.1</v>
      </c>
      <c r="C183">
        <v>-366.09749336676759</v>
      </c>
      <c r="D183">
        <v>1096.9937658694942</v>
      </c>
      <c r="E183">
        <v>-2821.003672617077</v>
      </c>
      <c r="F183">
        <v>103.03256379648421</v>
      </c>
      <c r="G183">
        <v>100</v>
      </c>
      <c r="H183">
        <v>-0.26464111512714367</v>
      </c>
      <c r="I183">
        <v>-15.162818982421058</v>
      </c>
      <c r="J183">
        <v>0</v>
      </c>
      <c r="K183">
        <v>0</v>
      </c>
      <c r="L183">
        <v>0</v>
      </c>
      <c r="M183">
        <v>-15.162818982421058</v>
      </c>
      <c r="N183">
        <v>-360.96274457998743</v>
      </c>
      <c r="O183">
        <v>1088.4127196106363</v>
      </c>
      <c r="P183">
        <v>-309.61525671218595</v>
      </c>
      <c r="Q183">
        <v>1002.6022570220568</v>
      </c>
      <c r="R183">
        <v>-0.85810462588579361</v>
      </c>
      <c r="S183">
        <v>0.513474878678015</v>
      </c>
      <c r="T183" t="str">
        <v/>
      </c>
      <c r="U183">
        <v>2</v>
      </c>
      <c r="V183">
        <v>-500</v>
      </c>
      <c r="W183">
        <v>500</v>
      </c>
      <c r="X183">
        <v>-500</v>
      </c>
      <c r="Y183">
        <v>1000</v>
      </c>
      <c r="Z183">
        <v>0</v>
      </c>
      <c r="AA183">
        <v>-500</v>
      </c>
      <c r="AB183">
        <v>-221.92548915997486</v>
      </c>
      <c r="AC183">
        <v>1676.8254392212725</v>
      </c>
      <c r="AD183">
        <v>-256.73743933900749</v>
      </c>
      <c r="AE183">
        <v>-270.77713281314925</v>
      </c>
      <c r="AF183">
        <v>1.6415356597233832</v>
      </c>
      <c r="AG183" t="b">
        <v>0</v>
      </c>
      <c r="AH183">
        <v>25000</v>
      </c>
      <c r="AI183">
        <v>3</v>
      </c>
      <c r="AJ183">
        <v>-500</v>
      </c>
      <c r="AK183">
        <v>1000</v>
      </c>
      <c r="AL183">
        <v>0</v>
      </c>
      <c r="AM183">
        <v>1000</v>
      </c>
      <c r="AN183">
        <v>-500</v>
      </c>
      <c r="AO183">
        <v>0</v>
      </c>
      <c r="AP183">
        <v>-221.92548915997486</v>
      </c>
      <c r="AQ183">
        <v>1176.8254392212725</v>
      </c>
      <c r="AR183">
        <v>-429.05231294289683</v>
      </c>
      <c r="AS183">
        <v>103.03256379648421</v>
      </c>
      <c r="AT183">
        <v>0.38388377723059425</v>
      </c>
      <c r="AU183" t="b">
        <v>1</v>
      </c>
    </row>
    <row r="184" spans="1:47" x14ac:dyDescent="0.25">
      <c r="A184">
        <v>16.999999999999972</v>
      </c>
      <c r="B184">
        <v>0.1</v>
      </c>
      <c r="C184">
        <v>-356.16948627352929</v>
      </c>
      <c r="D184">
        <v>1098.1915451298796</v>
      </c>
      <c r="E184">
        <v>-2821.0301367285897</v>
      </c>
      <c r="F184">
        <v>102.68365120981693</v>
      </c>
      <c r="G184">
        <v>100</v>
      </c>
      <c r="H184">
        <v>-0.23419274793217296</v>
      </c>
      <c r="I184">
        <v>-13.418256049084647</v>
      </c>
      <c r="J184">
        <v>0</v>
      </c>
      <c r="K184">
        <v>0</v>
      </c>
      <c r="L184">
        <v>0</v>
      </c>
      <c r="M184">
        <v>-13.418256049084647</v>
      </c>
      <c r="N184">
        <v>-351.26359869940626</v>
      </c>
      <c r="O184">
        <v>1089.4776328563905</v>
      </c>
      <c r="P184">
        <v>-302.20472295817598</v>
      </c>
      <c r="Q184">
        <v>1002.3385101214988</v>
      </c>
      <c r="R184">
        <v>-0.8713912273489175</v>
      </c>
      <c r="S184">
        <v>0.49058875741230279</v>
      </c>
      <c r="T184" t="str">
        <v/>
      </c>
      <c r="U184">
        <v>2</v>
      </c>
      <c r="V184">
        <v>-500</v>
      </c>
      <c r="W184">
        <v>500</v>
      </c>
      <c r="X184">
        <v>-500</v>
      </c>
      <c r="Y184">
        <v>1000</v>
      </c>
      <c r="Z184">
        <v>0</v>
      </c>
      <c r="AA184">
        <v>-500</v>
      </c>
      <c r="AB184">
        <v>-202.52719739881252</v>
      </c>
      <c r="AC184">
        <v>1678.9552657127811</v>
      </c>
      <c r="AD184">
        <v>-245.29437870615141</v>
      </c>
      <c r="AE184">
        <v>-303.17939221667086</v>
      </c>
      <c r="AF184">
        <v>1.7073309910939485</v>
      </c>
      <c r="AG184" t="b">
        <v>0</v>
      </c>
      <c r="AH184">
        <v>25000</v>
      </c>
      <c r="AI184">
        <v>3</v>
      </c>
      <c r="AJ184">
        <v>-500</v>
      </c>
      <c r="AK184">
        <v>1000</v>
      </c>
      <c r="AL184">
        <v>0</v>
      </c>
      <c r="AM184">
        <v>1000</v>
      </c>
      <c r="AN184">
        <v>-500</v>
      </c>
      <c r="AO184">
        <v>0</v>
      </c>
      <c r="AP184">
        <v>-202.52719739881252</v>
      </c>
      <c r="AQ184">
        <v>1178.9552657127811</v>
      </c>
      <c r="AR184">
        <v>-435.69561367445874</v>
      </c>
      <c r="AS184">
        <v>102.68365120981693</v>
      </c>
      <c r="AT184">
        <v>0.39822369230835225</v>
      </c>
      <c r="AU184" t="b">
        <v>1</v>
      </c>
    </row>
    <row r="185" spans="1:47" x14ac:dyDescent="0.25">
      <c r="A185">
        <v>17.099999999999973</v>
      </c>
      <c r="B185">
        <v>0.1</v>
      </c>
      <c r="C185">
        <v>-346.21615306776818</v>
      </c>
      <c r="D185">
        <v>1099.1565104635024</v>
      </c>
      <c r="E185">
        <v>-2821.0535560033827</v>
      </c>
      <c r="F185">
        <v>102.34077197588313</v>
      </c>
      <c r="G185">
        <v>100</v>
      </c>
      <c r="H185">
        <v>-0.20427089008786953</v>
      </c>
      <c r="I185">
        <v>-11.703859879415646</v>
      </c>
      <c r="J185">
        <v>0</v>
      </c>
      <c r="K185">
        <v>0</v>
      </c>
      <c r="L185">
        <v>0</v>
      </c>
      <c r="M185">
        <v>-11.703859879415646</v>
      </c>
      <c r="N185">
        <v>-341.5156656317962</v>
      </c>
      <c r="O185">
        <v>1090.3301058804193</v>
      </c>
      <c r="P185">
        <v>-294.51079127207646</v>
      </c>
      <c r="Q185">
        <v>1002.0660600495887</v>
      </c>
      <c r="R185">
        <v>-0.88264045830830584</v>
      </c>
      <c r="S185">
        <v>0.47004874359719745</v>
      </c>
      <c r="T185" t="str">
        <v/>
      </c>
      <c r="U185">
        <v>2</v>
      </c>
      <c r="V185">
        <v>-500</v>
      </c>
      <c r="W185">
        <v>500</v>
      </c>
      <c r="X185">
        <v>-500</v>
      </c>
      <c r="Y185">
        <v>1000</v>
      </c>
      <c r="Z185">
        <v>0</v>
      </c>
      <c r="AA185">
        <v>-500</v>
      </c>
      <c r="AB185">
        <v>-183.03133126359239</v>
      </c>
      <c r="AC185">
        <v>1680.6602117608386</v>
      </c>
      <c r="AD185">
        <v>-235.02437179859874</v>
      </c>
      <c r="AE185">
        <v>-337.16574403614408</v>
      </c>
      <c r="AF185">
        <v>1.7758524654446848</v>
      </c>
      <c r="AG185" t="b">
        <v>0</v>
      </c>
      <c r="AH185">
        <v>25000</v>
      </c>
      <c r="AI185">
        <v>3</v>
      </c>
      <c r="AJ185">
        <v>-500</v>
      </c>
      <c r="AK185">
        <v>1000</v>
      </c>
      <c r="AL185">
        <v>0</v>
      </c>
      <c r="AM185">
        <v>1000</v>
      </c>
      <c r="AN185">
        <v>-500</v>
      </c>
      <c r="AO185">
        <v>0</v>
      </c>
      <c r="AP185">
        <v>-183.03133126359239</v>
      </c>
      <c r="AQ185">
        <v>1180.6602117608386</v>
      </c>
      <c r="AR185">
        <v>-441.32022915415291</v>
      </c>
      <c r="AS185">
        <v>102.34077197588313</v>
      </c>
      <c r="AT185">
        <v>0.41317897130846987</v>
      </c>
      <c r="AU185" t="b">
        <v>1</v>
      </c>
    </row>
    <row r="186" spans="1:47" x14ac:dyDescent="0.25">
      <c r="A186">
        <v>17.199999999999974</v>
      </c>
      <c r="B186">
        <v>0.1</v>
      </c>
      <c r="C186">
        <v>-336.24518632142411</v>
      </c>
      <c r="D186">
        <v>1099.9179709964919</v>
      </c>
      <c r="E186">
        <v>-2821.0739830923917</v>
      </c>
      <c r="F186">
        <v>102.00845777228919</v>
      </c>
      <c r="G186">
        <v>100</v>
      </c>
      <c r="H186">
        <v>-0.17527100506858453</v>
      </c>
      <c r="I186">
        <v>-10.042288861445954</v>
      </c>
      <c r="J186">
        <v>0</v>
      </c>
      <c r="K186">
        <v>0</v>
      </c>
      <c r="L186">
        <v>0</v>
      </c>
      <c r="M186">
        <v>-10.042288861445954</v>
      </c>
      <c r="N186">
        <v>-331.72596474168989</v>
      </c>
      <c r="O186">
        <v>1090.9973972305695</v>
      </c>
      <c r="P186">
        <v>-286.53374894434768</v>
      </c>
      <c r="Q186">
        <v>1001.7916595713446</v>
      </c>
      <c r="R186">
        <v>-0.89205737659224893</v>
      </c>
      <c r="S186">
        <v>0.45192215797342206</v>
      </c>
      <c r="T186" t="str">
        <v/>
      </c>
      <c r="U186">
        <v>2</v>
      </c>
      <c r="V186">
        <v>-500</v>
      </c>
      <c r="W186">
        <v>500</v>
      </c>
      <c r="X186">
        <v>-500</v>
      </c>
      <c r="Y186">
        <v>1000</v>
      </c>
      <c r="Z186">
        <v>0</v>
      </c>
      <c r="AA186">
        <v>-500</v>
      </c>
      <c r="AB186">
        <v>-163.45192948337979</v>
      </c>
      <c r="AC186">
        <v>1681.994794461139</v>
      </c>
      <c r="AD186">
        <v>-225.96107898671102</v>
      </c>
      <c r="AE186">
        <v>-372.35181388960899</v>
      </c>
      <c r="AF186">
        <v>1.8463131589965989</v>
      </c>
      <c r="AG186" t="b">
        <v>0</v>
      </c>
      <c r="AH186">
        <v>25000</v>
      </c>
      <c r="AI186">
        <v>3</v>
      </c>
      <c r="AJ186">
        <v>-500</v>
      </c>
      <c r="AK186">
        <v>1000</v>
      </c>
      <c r="AL186">
        <v>0</v>
      </c>
      <c r="AM186">
        <v>1000</v>
      </c>
      <c r="AN186">
        <v>-500</v>
      </c>
      <c r="AO186">
        <v>0</v>
      </c>
      <c r="AP186">
        <v>-163.45192948337979</v>
      </c>
      <c r="AQ186">
        <v>1181.994794461139</v>
      </c>
      <c r="AR186">
        <v>-446.02868829612447</v>
      </c>
      <c r="AS186">
        <v>102.00845777228919</v>
      </c>
      <c r="AT186">
        <v>0.42874783525260746</v>
      </c>
      <c r="AU186" t="b">
        <v>1</v>
      </c>
    </row>
    <row r="187" spans="1:47" x14ac:dyDescent="0.25">
      <c r="A187">
        <v>17.299999999999976</v>
      </c>
      <c r="B187">
        <v>0.1</v>
      </c>
      <c r="C187">
        <v>-326.26240556065648</v>
      </c>
      <c r="D187">
        <v>1100.5045613837708</v>
      </c>
      <c r="E187">
        <v>-2821.0915101928986</v>
      </c>
      <c r="F187">
        <v>101.69148689447236</v>
      </c>
      <c r="G187">
        <v>100</v>
      </c>
      <c r="H187">
        <v>-0.14761007781438296</v>
      </c>
      <c r="I187">
        <v>-8.4574344723618111</v>
      </c>
      <c r="J187">
        <v>0</v>
      </c>
      <c r="K187">
        <v>0</v>
      </c>
      <c r="L187">
        <v>0</v>
      </c>
      <c r="M187">
        <v>-8.4574344723618111</v>
      </c>
      <c r="N187">
        <v>-321.90022190180196</v>
      </c>
      <c r="O187">
        <v>1091.5061529841469</v>
      </c>
      <c r="P187">
        <v>-278.27838531325699</v>
      </c>
      <c r="Q187">
        <v>1001.5220689879073</v>
      </c>
      <c r="R187">
        <v>-0.89984083996239472</v>
      </c>
      <c r="S187">
        <v>0.43621836588544954</v>
      </c>
      <c r="T187" t="str">
        <v/>
      </c>
      <c r="U187">
        <v>2</v>
      </c>
      <c r="V187">
        <v>-500</v>
      </c>
      <c r="W187">
        <v>500</v>
      </c>
      <c r="X187">
        <v>-500</v>
      </c>
      <c r="Y187">
        <v>1000</v>
      </c>
      <c r="Z187">
        <v>0</v>
      </c>
      <c r="AA187">
        <v>-500</v>
      </c>
      <c r="AB187">
        <v>-143.80044380360391</v>
      </c>
      <c r="AC187">
        <v>1683.0123059682937</v>
      </c>
      <c r="AD187">
        <v>-218.10918294272477</v>
      </c>
      <c r="AE187">
        <v>-408.28124633561816</v>
      </c>
      <c r="AF187">
        <v>1.9177885852553658</v>
      </c>
      <c r="AG187" t="b">
        <v>0</v>
      </c>
      <c r="AH187">
        <v>25000</v>
      </c>
      <c r="AI187">
        <v>3</v>
      </c>
      <c r="AJ187">
        <v>-500</v>
      </c>
      <c r="AK187">
        <v>1000</v>
      </c>
      <c r="AL187">
        <v>0</v>
      </c>
      <c r="AM187">
        <v>1000</v>
      </c>
      <c r="AN187">
        <v>-500</v>
      </c>
      <c r="AO187">
        <v>0</v>
      </c>
      <c r="AP187">
        <v>-143.80044380360391</v>
      </c>
      <c r="AQ187">
        <v>1183.0123059682937</v>
      </c>
      <c r="AR187">
        <v>-449.92041998119737</v>
      </c>
      <c r="AS187">
        <v>101.69148689447236</v>
      </c>
      <c r="AT187">
        <v>0.44491894467153276</v>
      </c>
      <c r="AU187" t="b">
        <v>1</v>
      </c>
    </row>
    <row r="188" spans="1:47" x14ac:dyDescent="0.25">
      <c r="A188">
        <v>17.399999999999977</v>
      </c>
      <c r="B188">
        <v>0.1</v>
      </c>
      <c r="C188">
        <v>-316.27205399012928</v>
      </c>
      <c r="D188">
        <v>1100.9437373135124</v>
      </c>
      <c r="E188">
        <v>-2821.1062712006801</v>
      </c>
      <c r="F188">
        <v>101.39460066840248</v>
      </c>
      <c r="G188">
        <v>100</v>
      </c>
      <c r="H188">
        <v>-0.1217018670706842</v>
      </c>
      <c r="I188">
        <v>-6.973003342012376</v>
      </c>
      <c r="J188">
        <v>0</v>
      </c>
      <c r="K188">
        <v>0</v>
      </c>
      <c r="L188">
        <v>0</v>
      </c>
      <c r="M188">
        <v>-6.973003342012376</v>
      </c>
      <c r="N188">
        <v>-312.04316630792511</v>
      </c>
      <c r="O188">
        <v>1091.8819213271165</v>
      </c>
      <c r="P188">
        <v>-269.75428948588308</v>
      </c>
      <c r="Q188">
        <v>1001.2637614631568</v>
      </c>
      <c r="R188">
        <v>-0.90618159863959713</v>
      </c>
      <c r="S188">
        <v>0.42288876822041999</v>
      </c>
      <c r="T188" t="str">
        <v/>
      </c>
      <c r="U188">
        <v>2</v>
      </c>
      <c r="V188">
        <v>-500</v>
      </c>
      <c r="W188">
        <v>500</v>
      </c>
      <c r="X188">
        <v>-500</v>
      </c>
      <c r="Y188">
        <v>1000</v>
      </c>
      <c r="Z188">
        <v>0</v>
      </c>
      <c r="AA188">
        <v>-500</v>
      </c>
      <c r="AB188">
        <v>-124.08633261585021</v>
      </c>
      <c r="AC188">
        <v>1683.763842654233</v>
      </c>
      <c r="AD188">
        <v>-211.44438411021</v>
      </c>
      <c r="AE188">
        <v>-444.45927112944082</v>
      </c>
      <c r="AF188">
        <v>1.9892854683387664</v>
      </c>
      <c r="AG188" t="b">
        <v>0</v>
      </c>
      <c r="AH188">
        <v>25000</v>
      </c>
      <c r="AI188">
        <v>3</v>
      </c>
      <c r="AJ188">
        <v>-500</v>
      </c>
      <c r="AK188">
        <v>1000</v>
      </c>
      <c r="AL188">
        <v>0</v>
      </c>
      <c r="AM188">
        <v>1000</v>
      </c>
      <c r="AN188">
        <v>-500</v>
      </c>
      <c r="AO188">
        <v>0</v>
      </c>
      <c r="AP188">
        <v>-124.08633261585021</v>
      </c>
      <c r="AQ188">
        <v>1183.763842654233</v>
      </c>
      <c r="AR188">
        <v>-453.09079931979858</v>
      </c>
      <c r="AS188">
        <v>101.39460066840248</v>
      </c>
      <c r="AT188">
        <v>0.46167094294587391</v>
      </c>
      <c r="AU188" t="b">
        <v>1</v>
      </c>
    </row>
    <row r="189" spans="1:47" x14ac:dyDescent="0.25">
      <c r="A189">
        <v>17.499999999999979</v>
      </c>
      <c r="B189">
        <v>0.1</v>
      </c>
      <c r="C189">
        <v>-306.27709754203926</v>
      </c>
      <c r="D189">
        <v>1101.2612992772038</v>
      </c>
      <c r="E189">
        <v>-2821.1184413873871</v>
      </c>
      <c r="F189">
        <v>101.12216961467975</v>
      </c>
      <c r="G189">
        <v>100</v>
      </c>
      <c r="H189">
        <v>-9.7927772709988509E-2</v>
      </c>
      <c r="I189">
        <v>-5.610848073398742</v>
      </c>
      <c r="J189">
        <v>0</v>
      </c>
      <c r="K189">
        <v>0</v>
      </c>
      <c r="L189">
        <v>0</v>
      </c>
      <c r="M189">
        <v>-5.610848073398742</v>
      </c>
      <c r="N189">
        <v>-302.15880430358504</v>
      </c>
      <c r="O189">
        <v>1092.148689288726</v>
      </c>
      <c r="P189">
        <v>-260.97587191904296</v>
      </c>
      <c r="Q189">
        <v>1001.0225894039497</v>
      </c>
      <c r="R189">
        <v>-0.91126099884776346</v>
      </c>
      <c r="S189">
        <v>0.4118293238454207</v>
      </c>
      <c r="T189" t="str">
        <v/>
      </c>
      <c r="U189">
        <v>2</v>
      </c>
      <c r="V189">
        <v>-500</v>
      </c>
      <c r="W189">
        <v>500</v>
      </c>
      <c r="X189">
        <v>-500</v>
      </c>
      <c r="Y189">
        <v>1000</v>
      </c>
      <c r="Z189">
        <v>0</v>
      </c>
      <c r="AA189">
        <v>-500</v>
      </c>
      <c r="AB189">
        <v>-104.31760860717009</v>
      </c>
      <c r="AC189">
        <v>1684.297378577452</v>
      </c>
      <c r="AD189">
        <v>-205.91466192271037</v>
      </c>
      <c r="AE189">
        <v>-480.39608702238559</v>
      </c>
      <c r="AF189">
        <v>2.0598298147826046</v>
      </c>
      <c r="AG189" t="b">
        <v>0</v>
      </c>
      <c r="AH189">
        <v>25000</v>
      </c>
      <c r="AI189">
        <v>3</v>
      </c>
      <c r="AJ189">
        <v>-500</v>
      </c>
      <c r="AK189">
        <v>1000</v>
      </c>
      <c r="AL189">
        <v>0</v>
      </c>
      <c r="AM189">
        <v>1000</v>
      </c>
      <c r="AN189">
        <v>-500</v>
      </c>
      <c r="AO189">
        <v>0</v>
      </c>
      <c r="AP189">
        <v>-104.31760860717009</v>
      </c>
      <c r="AQ189">
        <v>1184.297378577452</v>
      </c>
      <c r="AR189">
        <v>-455.6304994238817</v>
      </c>
      <c r="AS189">
        <v>101.12216961467975</v>
      </c>
      <c r="AT189">
        <v>0.47897254086922098</v>
      </c>
      <c r="AU189" t="b">
        <v>1</v>
      </c>
    </row>
    <row r="190" spans="1:47" x14ac:dyDescent="0.25">
      <c r="A190">
        <v>17.59999999999998</v>
      </c>
      <c r="B190">
        <v>0.1</v>
      </c>
      <c r="C190">
        <v>-296.2795105768422</v>
      </c>
      <c r="D190">
        <v>1101.4809691962239</v>
      </c>
      <c r="E190">
        <v>-2821.1282341646579</v>
      </c>
      <c r="F190">
        <v>100.87784513848156</v>
      </c>
      <c r="G190">
        <v>100</v>
      </c>
      <c r="H190">
        <v>-7.6606439945644089E-2</v>
      </c>
      <c r="I190">
        <v>-4.3892256924078055</v>
      </c>
      <c r="J190">
        <v>0</v>
      </c>
      <c r="K190">
        <v>0</v>
      </c>
      <c r="L190">
        <v>0</v>
      </c>
      <c r="M190">
        <v>-4.3892256924078055</v>
      </c>
      <c r="N190">
        <v>-292.25065113954014</v>
      </c>
      <c r="O190">
        <v>1092.3284672631751</v>
      </c>
      <c r="P190">
        <v>-251.96205676651959</v>
      </c>
      <c r="Q190">
        <v>1000.803447932687</v>
      </c>
      <c r="R190">
        <v>-0.91525019330488078</v>
      </c>
      <c r="S190">
        <v>0.40288594373020548</v>
      </c>
      <c r="T190" t="str">
        <v/>
      </c>
      <c r="U190">
        <v>2</v>
      </c>
      <c r="V190">
        <v>-500</v>
      </c>
      <c r="W190">
        <v>500</v>
      </c>
      <c r="X190">
        <v>-500</v>
      </c>
      <c r="Y190">
        <v>1000</v>
      </c>
      <c r="Z190">
        <v>0</v>
      </c>
      <c r="AA190">
        <v>-500</v>
      </c>
      <c r="AB190">
        <v>-84.501302279080278</v>
      </c>
      <c r="AC190">
        <v>1684.6569345263501</v>
      </c>
      <c r="AD190">
        <v>-201.44297186510275</v>
      </c>
      <c r="AE190">
        <v>-515.6530082359493</v>
      </c>
      <c r="AF190">
        <v>2.1285599654587419</v>
      </c>
      <c r="AG190" t="b">
        <v>0</v>
      </c>
      <c r="AH190">
        <v>25000</v>
      </c>
      <c r="AI190">
        <v>3</v>
      </c>
      <c r="AJ190">
        <v>-500</v>
      </c>
      <c r="AK190">
        <v>1000</v>
      </c>
      <c r="AL190">
        <v>0</v>
      </c>
      <c r="AM190">
        <v>1000</v>
      </c>
      <c r="AN190">
        <v>-500</v>
      </c>
      <c r="AO190">
        <v>0</v>
      </c>
      <c r="AP190">
        <v>-84.501302279080278</v>
      </c>
      <c r="AQ190">
        <v>1184.6569345263501</v>
      </c>
      <c r="AR190">
        <v>-457.62509665244039</v>
      </c>
      <c r="AS190">
        <v>100.87784513848156</v>
      </c>
      <c r="AT190">
        <v>0.4967832294010931</v>
      </c>
      <c r="AU190" t="b">
        <v>1</v>
      </c>
    </row>
    <row r="191" spans="1:47" x14ac:dyDescent="0.25">
      <c r="A191">
        <v>17.699999999999982</v>
      </c>
      <c r="B191">
        <v>0.1</v>
      </c>
      <c r="C191">
        <v>-286.28053417015099</v>
      </c>
      <c r="D191">
        <v>1101.6240454641104</v>
      </c>
      <c r="E191">
        <v>-2821.1358948086527</v>
      </c>
      <c r="F191">
        <v>100.66424370978831</v>
      </c>
      <c r="G191">
        <v>100</v>
      </c>
      <c r="H191">
        <v>-5.7966198857338384E-2</v>
      </c>
      <c r="I191">
        <v>-3.3212185489415447</v>
      </c>
      <c r="J191">
        <v>0</v>
      </c>
      <c r="K191">
        <v>0</v>
      </c>
      <c r="L191">
        <v>0</v>
      </c>
      <c r="M191">
        <v>-3.3212185489415447</v>
      </c>
      <c r="N191">
        <v>-282.32190632321152</v>
      </c>
      <c r="O191">
        <v>1092.4409487331902</v>
      </c>
      <c r="P191">
        <v>-242.73562785381711</v>
      </c>
      <c r="Q191">
        <v>1000.6099814239891</v>
      </c>
      <c r="R191">
        <v>-0.91830967309201095</v>
      </c>
      <c r="S191">
        <v>0.39586278469394426</v>
      </c>
      <c r="T191" t="str">
        <v/>
      </c>
      <c r="U191">
        <v>2</v>
      </c>
      <c r="V191">
        <v>-500</v>
      </c>
      <c r="W191">
        <v>500</v>
      </c>
      <c r="X191">
        <v>-500</v>
      </c>
      <c r="Y191">
        <v>1000</v>
      </c>
      <c r="Z191">
        <v>0</v>
      </c>
      <c r="AA191">
        <v>-500</v>
      </c>
      <c r="AB191">
        <v>-64.643812646423044</v>
      </c>
      <c r="AC191">
        <v>1684.8818974663805</v>
      </c>
      <c r="AD191">
        <v>-197.93139234697213</v>
      </c>
      <c r="AE191">
        <v>-549.88269191579411</v>
      </c>
      <c r="AF191">
        <v>2.194807087570676</v>
      </c>
      <c r="AG191" t="b">
        <v>0</v>
      </c>
      <c r="AH191">
        <v>25000</v>
      </c>
      <c r="AI191">
        <v>3</v>
      </c>
      <c r="AJ191">
        <v>-500</v>
      </c>
      <c r="AK191">
        <v>1000</v>
      </c>
      <c r="AL191">
        <v>0</v>
      </c>
      <c r="AM191">
        <v>1000</v>
      </c>
      <c r="AN191">
        <v>-500</v>
      </c>
      <c r="AO191">
        <v>0</v>
      </c>
      <c r="AP191">
        <v>-64.643812646423044</v>
      </c>
      <c r="AQ191">
        <v>1184.8818974663805</v>
      </c>
      <c r="AR191">
        <v>-459.15483654600547</v>
      </c>
      <c r="AS191">
        <v>100.66424370978831</v>
      </c>
      <c r="AT191">
        <v>0.51505464302171022</v>
      </c>
      <c r="AU191" t="b">
        <v>1</v>
      </c>
    </row>
    <row r="192" spans="1:47" x14ac:dyDescent="0.25">
      <c r="A192">
        <v>17.799999999999983</v>
      </c>
      <c r="B192">
        <v>0.1</v>
      </c>
      <c r="C192">
        <v>-276.28089639570806</v>
      </c>
      <c r="D192">
        <v>1101.7091593873749</v>
      </c>
      <c r="E192">
        <v>-2821.1416914285383</v>
      </c>
      <c r="F192">
        <v>100.48271336286604</v>
      </c>
      <c r="G192">
        <v>100</v>
      </c>
      <c r="H192">
        <v>-4.2124687626932326E-2</v>
      </c>
      <c r="I192">
        <v>-2.4135668143301814</v>
      </c>
      <c r="J192">
        <v>0</v>
      </c>
      <c r="K192">
        <v>0</v>
      </c>
      <c r="L192">
        <v>0</v>
      </c>
      <c r="M192">
        <v>-2.4135668143301814</v>
      </c>
      <c r="N192">
        <v>-272.37556567813976</v>
      </c>
      <c r="O192">
        <v>1092.5032704033376</v>
      </c>
      <c r="P192">
        <v>-233.32225850245686</v>
      </c>
      <c r="Q192">
        <v>1000.4443805629656</v>
      </c>
      <c r="R192">
        <v>-0.92058889840372038</v>
      </c>
      <c r="S192">
        <v>0.390533071756829</v>
      </c>
      <c r="T192" t="str">
        <v/>
      </c>
      <c r="U192">
        <v>2</v>
      </c>
      <c r="V192">
        <v>-500</v>
      </c>
      <c r="W192">
        <v>500</v>
      </c>
      <c r="X192">
        <v>-500</v>
      </c>
      <c r="Y192">
        <v>1000</v>
      </c>
      <c r="Z192">
        <v>0</v>
      </c>
      <c r="AA192">
        <v>-500</v>
      </c>
      <c r="AB192">
        <v>-44.751131356279529</v>
      </c>
      <c r="AC192">
        <v>1685.0065408066753</v>
      </c>
      <c r="AD192">
        <v>-195.26653587841449</v>
      </c>
      <c r="AE192">
        <v>-582.8557189737669</v>
      </c>
      <c r="AF192">
        <v>2.2581475493234122</v>
      </c>
      <c r="AG192" t="b">
        <v>0</v>
      </c>
      <c r="AH192">
        <v>25000</v>
      </c>
      <c r="AI192">
        <v>3</v>
      </c>
      <c r="AJ192">
        <v>-500</v>
      </c>
      <c r="AK192">
        <v>1000</v>
      </c>
      <c r="AL192">
        <v>0</v>
      </c>
      <c r="AM192">
        <v>1000</v>
      </c>
      <c r="AN192">
        <v>-500</v>
      </c>
      <c r="AO192">
        <v>0</v>
      </c>
      <c r="AP192">
        <v>-44.751131356279529</v>
      </c>
      <c r="AQ192">
        <v>1185.0065408066753</v>
      </c>
      <c r="AR192">
        <v>-460.29444920186017</v>
      </c>
      <c r="AS192">
        <v>100.48271336286604</v>
      </c>
      <c r="AT192">
        <v>0.53373251405984257</v>
      </c>
      <c r="AU192" t="b">
        <v>1</v>
      </c>
    </row>
    <row r="193" spans="1:47" x14ac:dyDescent="0.25">
      <c r="A193">
        <v>17.899999999999984</v>
      </c>
      <c r="B193">
        <v>0.1</v>
      </c>
      <c r="C193">
        <v>-266.28098880370283</v>
      </c>
      <c r="D193">
        <v>1101.7521495182893</v>
      </c>
      <c r="E193">
        <v>-2821.1459038973007</v>
      </c>
      <c r="F193">
        <v>100.33322399192423</v>
      </c>
      <c r="G193">
        <v>100</v>
      </c>
      <c r="H193">
        <v>-2.9079279028583899E-2</v>
      </c>
      <c r="I193">
        <v>-1.6661199596211418</v>
      </c>
      <c r="J193">
        <v>0</v>
      </c>
      <c r="K193">
        <v>0</v>
      </c>
      <c r="L193">
        <v>0</v>
      </c>
      <c r="M193">
        <v>-1.6661199596211418</v>
      </c>
      <c r="N193">
        <v>-262.41447214100788</v>
      </c>
      <c r="O193">
        <v>1092.529891177888</v>
      </c>
      <c r="P193">
        <v>-223.74930551405825</v>
      </c>
      <c r="Q193">
        <v>1000.3073077738745</v>
      </c>
      <c r="R193">
        <v>-0.9222258340401347</v>
      </c>
      <c r="S193">
        <v>0.38665166626949621</v>
      </c>
      <c r="T193" t="str">
        <v/>
      </c>
      <c r="U193">
        <v>2</v>
      </c>
      <c r="V193">
        <v>-500</v>
      </c>
      <c r="W193">
        <v>500</v>
      </c>
      <c r="X193">
        <v>-500</v>
      </c>
      <c r="Y193">
        <v>1000</v>
      </c>
      <c r="Z193">
        <v>0</v>
      </c>
      <c r="AA193">
        <v>-500</v>
      </c>
      <c r="AB193">
        <v>-24.828944282015755</v>
      </c>
      <c r="AC193">
        <v>1685.059782355776</v>
      </c>
      <c r="AD193">
        <v>-193.32583313474811</v>
      </c>
      <c r="AE193">
        <v>-614.46916846698662</v>
      </c>
      <c r="AF193">
        <v>2.3184184651186053</v>
      </c>
      <c r="AG193" t="b">
        <v>0</v>
      </c>
      <c r="AH193">
        <v>25000</v>
      </c>
      <c r="AI193">
        <v>3</v>
      </c>
      <c r="AJ193">
        <v>-500</v>
      </c>
      <c r="AK193">
        <v>1000</v>
      </c>
      <c r="AL193">
        <v>0</v>
      </c>
      <c r="AM193">
        <v>1000</v>
      </c>
      <c r="AN193">
        <v>-500</v>
      </c>
      <c r="AO193">
        <v>0</v>
      </c>
      <c r="AP193">
        <v>-24.828944282015755</v>
      </c>
      <c r="AQ193">
        <v>1185.059782355776</v>
      </c>
      <c r="AR193">
        <v>-461.11291702006736</v>
      </c>
      <c r="AS193">
        <v>100.33322399192423</v>
      </c>
      <c r="AT193">
        <v>0.5527590721953205</v>
      </c>
      <c r="AU193" t="b">
        <v>1</v>
      </c>
    </row>
    <row r="194" spans="1:47" x14ac:dyDescent="0.25">
      <c r="A194">
        <v>17.999999999999986</v>
      </c>
      <c r="B194">
        <v>0.1</v>
      </c>
      <c r="C194">
        <v>-256.2809984794755</v>
      </c>
      <c r="D194">
        <v>1101.7660604981093</v>
      </c>
      <c r="E194">
        <v>-2821.1488118252037</v>
      </c>
      <c r="F194">
        <v>100.21440360202742</v>
      </c>
      <c r="G194">
        <v>100</v>
      </c>
      <c r="H194">
        <v>-1.8710243917570094E-2</v>
      </c>
      <c r="I194">
        <v>-1.0720180101370858</v>
      </c>
      <c r="J194">
        <v>0</v>
      </c>
      <c r="K194">
        <v>0</v>
      </c>
      <c r="L194">
        <v>0</v>
      </c>
      <c r="M194">
        <v>-1.0720180101370858</v>
      </c>
      <c r="N194">
        <v>-252.44131578904867</v>
      </c>
      <c r="O194">
        <v>1092.5325976137501</v>
      </c>
      <c r="P194">
        <v>-214.04448888478055</v>
      </c>
      <c r="Q194">
        <v>1000.1979687701593</v>
      </c>
      <c r="R194">
        <v>-0.92334628843590805</v>
      </c>
      <c r="S194">
        <v>0.38396826904268139</v>
      </c>
      <c r="T194" t="str">
        <v/>
      </c>
      <c r="U194">
        <v>2</v>
      </c>
      <c r="V194">
        <v>-500</v>
      </c>
      <c r="W194">
        <v>500</v>
      </c>
      <c r="X194">
        <v>-500</v>
      </c>
      <c r="Y194">
        <v>1000</v>
      </c>
      <c r="Z194">
        <v>0</v>
      </c>
      <c r="AA194">
        <v>-500</v>
      </c>
      <c r="AB194">
        <v>-4.8826315780973459</v>
      </c>
      <c r="AC194">
        <v>1685.0651952275002</v>
      </c>
      <c r="AD194">
        <v>-191.98413452134071</v>
      </c>
      <c r="AE194">
        <v>-644.73734985489909</v>
      </c>
      <c r="AF194">
        <v>2.3756968732365493</v>
      </c>
      <c r="AG194" t="b">
        <v>0</v>
      </c>
      <c r="AH194">
        <v>25000</v>
      </c>
      <c r="AI194">
        <v>3</v>
      </c>
      <c r="AJ194">
        <v>-500</v>
      </c>
      <c r="AK194">
        <v>1000</v>
      </c>
      <c r="AL194">
        <v>0</v>
      </c>
      <c r="AM194">
        <v>1000</v>
      </c>
      <c r="AN194">
        <v>-500</v>
      </c>
      <c r="AO194">
        <v>0</v>
      </c>
      <c r="AP194">
        <v>-4.8826315780973459</v>
      </c>
      <c r="AQ194">
        <v>1185.0651952275002</v>
      </c>
      <c r="AR194">
        <v>-461.67314421795402</v>
      </c>
      <c r="AS194">
        <v>100.21440360202742</v>
      </c>
      <c r="AT194">
        <v>0.57207567059033282</v>
      </c>
      <c r="AU194" t="b">
        <v>1</v>
      </c>
    </row>
    <row r="195" spans="1:47" x14ac:dyDescent="0.25">
      <c r="A195">
        <v>18.099999999999987</v>
      </c>
      <c r="B195">
        <v>0.1</v>
      </c>
      <c r="C195">
        <v>-246.28099963112012</v>
      </c>
      <c r="D195">
        <v>1101.7612612386833</v>
      </c>
      <c r="E195">
        <v>-2821.1506828495953</v>
      </c>
      <c r="F195">
        <v>100.12371644341303</v>
      </c>
      <c r="G195">
        <v>100</v>
      </c>
      <c r="H195">
        <v>-1.0796296382073181E-2</v>
      </c>
      <c r="I195">
        <v>-0.61858221706515337</v>
      </c>
      <c r="J195">
        <v>0</v>
      </c>
      <c r="K195">
        <v>0</v>
      </c>
      <c r="L195">
        <v>0</v>
      </c>
      <c r="M195">
        <v>-0.61858221706515337</v>
      </c>
      <c r="N195">
        <v>-242.45859968573839</v>
      </c>
      <c r="O195">
        <v>1092.5206303804819</v>
      </c>
      <c r="P195">
        <v>-204.23460023192098</v>
      </c>
      <c r="Q195">
        <v>1000.1143217984669</v>
      </c>
      <c r="R195">
        <v>-0.92406308582014929</v>
      </c>
      <c r="S195">
        <v>0.38223999453817403</v>
      </c>
      <c r="T195" t="str">
        <v/>
      </c>
      <c r="U195">
        <v>2</v>
      </c>
      <c r="V195">
        <v>-500</v>
      </c>
      <c r="W195">
        <v>500</v>
      </c>
      <c r="X195">
        <v>-500</v>
      </c>
      <c r="Y195">
        <v>1000</v>
      </c>
      <c r="Z195">
        <v>0</v>
      </c>
      <c r="AA195">
        <v>-500</v>
      </c>
      <c r="AB195">
        <v>15.082800628523216</v>
      </c>
      <c r="AC195">
        <v>1685.0412607609637</v>
      </c>
      <c r="AD195">
        <v>-191.11999726908701</v>
      </c>
      <c r="AE195">
        <v>-673.76884678283238</v>
      </c>
      <c r="AF195">
        <v>2.4302511001362186</v>
      </c>
      <c r="AG195" t="b">
        <v>0</v>
      </c>
      <c r="AH195">
        <v>25000</v>
      </c>
      <c r="AI195">
        <v>3</v>
      </c>
      <c r="AJ195">
        <v>-500</v>
      </c>
      <c r="AK195">
        <v>1000</v>
      </c>
      <c r="AL195">
        <v>0</v>
      </c>
      <c r="AM195">
        <v>1000</v>
      </c>
      <c r="AN195">
        <v>-500</v>
      </c>
      <c r="AO195">
        <v>0</v>
      </c>
      <c r="AP195">
        <v>15.082800628523216</v>
      </c>
      <c r="AQ195">
        <v>1185.0412607609637</v>
      </c>
      <c r="AR195">
        <v>-462.03154291007462</v>
      </c>
      <c r="AS195">
        <v>100.12371644341303</v>
      </c>
      <c r="AT195">
        <v>0.591625378281467</v>
      </c>
      <c r="AU195" t="b">
        <v>1</v>
      </c>
    </row>
    <row r="196" spans="1:47" x14ac:dyDescent="0.25">
      <c r="A196">
        <v>18.199999999999989</v>
      </c>
      <c r="B196">
        <v>0.1</v>
      </c>
      <c r="C196">
        <v>-236.28101179218601</v>
      </c>
      <c r="D196">
        <v>1101.7456656890122</v>
      </c>
      <c r="E196">
        <v>-2821.1517624792336</v>
      </c>
      <c r="F196">
        <v>100.05775271964472</v>
      </c>
      <c r="G196">
        <v>100</v>
      </c>
      <c r="H196">
        <v>-5.0398755489083008E-3</v>
      </c>
      <c r="I196">
        <v>-0.28876359822362474</v>
      </c>
      <c r="J196">
        <v>0</v>
      </c>
      <c r="K196">
        <v>0</v>
      </c>
      <c r="L196">
        <v>0</v>
      </c>
      <c r="M196">
        <v>-0.28876359822362474</v>
      </c>
      <c r="N196">
        <v>-232.46859053151204</v>
      </c>
      <c r="O196">
        <v>1092.5009134407817</v>
      </c>
      <c r="P196">
        <v>-194.34437792477223</v>
      </c>
      <c r="Q196">
        <v>1000.0533909584777</v>
      </c>
      <c r="R196">
        <v>-0.9244752248230399</v>
      </c>
      <c r="S196">
        <v>0.3812421260673981</v>
      </c>
      <c r="T196" t="str">
        <v/>
      </c>
      <c r="U196">
        <v>3</v>
      </c>
      <c r="V196">
        <v>-500</v>
      </c>
      <c r="W196">
        <v>1000</v>
      </c>
      <c r="X196">
        <v>0</v>
      </c>
      <c r="Y196">
        <v>1000</v>
      </c>
      <c r="Z196">
        <v>-500</v>
      </c>
      <c r="AA196">
        <v>0</v>
      </c>
      <c r="AB196">
        <v>35.06281893697593</v>
      </c>
      <c r="AC196">
        <v>1185.0018268815634</v>
      </c>
      <c r="AD196">
        <v>-462.23761241151993</v>
      </c>
      <c r="AE196">
        <v>100.05775271964472</v>
      </c>
      <c r="AF196">
        <v>0.61135527968970249</v>
      </c>
      <c r="AG196" t="b">
        <v>1</v>
      </c>
      <c r="AH196">
        <v>100.05775271964472</v>
      </c>
      <c r="AI196">
        <v>4</v>
      </c>
      <c r="AJ196">
        <v>0</v>
      </c>
      <c r="AK196">
        <v>1000</v>
      </c>
      <c r="AL196">
        <v>0</v>
      </c>
      <c r="AM196">
        <v>1</v>
      </c>
      <c r="AN196">
        <v>0</v>
      </c>
      <c r="AO196">
        <v>999</v>
      </c>
      <c r="AP196">
        <v>-464.93718106302407</v>
      </c>
      <c r="AQ196">
        <v>1185.0018268815634</v>
      </c>
      <c r="AR196">
        <v>380.86088394133071</v>
      </c>
      <c r="AS196">
        <v>609.76627354767959</v>
      </c>
      <c r="AT196">
        <v>0.47168458397068735</v>
      </c>
      <c r="AU196" t="b">
        <v>1</v>
      </c>
    </row>
    <row r="197" spans="1:47" x14ac:dyDescent="0.25">
      <c r="A197">
        <v>18.29999999999999</v>
      </c>
      <c r="B197">
        <v>0.1</v>
      </c>
      <c r="C197">
        <v>-226.2810330832302</v>
      </c>
      <c r="D197">
        <v>1101.7250302721138</v>
      </c>
      <c r="E197">
        <v>-2821.1522664667887</v>
      </c>
      <c r="F197">
        <v>100.01258065105736</v>
      </c>
      <c r="G197">
        <v>100</v>
      </c>
      <c r="H197">
        <v>-1.0978689149774084E-3</v>
      </c>
      <c r="I197">
        <v>-6.2903255286812509E-2</v>
      </c>
      <c r="J197">
        <v>0</v>
      </c>
      <c r="K197">
        <v>0</v>
      </c>
      <c r="L197">
        <v>0</v>
      </c>
      <c r="M197">
        <v>-6.2903255286812509E-2</v>
      </c>
      <c r="N197">
        <v>-222.4732715466254</v>
      </c>
      <c r="O197">
        <v>1092.4783577851945</v>
      </c>
      <c r="P197">
        <v>-184.39565618057753</v>
      </c>
      <c r="Q197">
        <v>1000.0116329159999</v>
      </c>
      <c r="R197">
        <v>-0.92466724869194517</v>
      </c>
      <c r="S197">
        <v>0.38077615366047873</v>
      </c>
      <c r="T197" t="str">
        <v/>
      </c>
      <c r="U197">
        <v>3</v>
      </c>
      <c r="V197">
        <v>-500</v>
      </c>
      <c r="W197">
        <v>1000</v>
      </c>
      <c r="X197">
        <v>0</v>
      </c>
      <c r="Y197">
        <v>1000</v>
      </c>
      <c r="Z197">
        <v>-500</v>
      </c>
      <c r="AA197">
        <v>0</v>
      </c>
      <c r="AB197">
        <v>55.053456906749204</v>
      </c>
      <c r="AC197">
        <v>1184.956715570389</v>
      </c>
      <c r="AD197">
        <v>-462.33362434597257</v>
      </c>
      <c r="AE197">
        <v>100.01258065105736</v>
      </c>
      <c r="AF197">
        <v>0.63121826846268547</v>
      </c>
      <c r="AG197" t="b">
        <v>1</v>
      </c>
      <c r="AH197">
        <v>100.01258065105736</v>
      </c>
      <c r="AI197">
        <v>4</v>
      </c>
      <c r="AJ197">
        <v>0</v>
      </c>
      <c r="AK197">
        <v>1000</v>
      </c>
      <c r="AL197">
        <v>0</v>
      </c>
      <c r="AM197">
        <v>1</v>
      </c>
      <c r="AN197">
        <v>0</v>
      </c>
      <c r="AO197">
        <v>999</v>
      </c>
      <c r="AP197">
        <v>-444.9465430932508</v>
      </c>
      <c r="AQ197">
        <v>1184.956715570389</v>
      </c>
      <c r="AR197">
        <v>380.39537750681825</v>
      </c>
      <c r="AS197">
        <v>584.26261573353406</v>
      </c>
      <c r="AT197">
        <v>0.44821836598467629</v>
      </c>
      <c r="AU197" t="b">
        <v>1</v>
      </c>
    </row>
    <row r="198" spans="1:47" x14ac:dyDescent="0.25">
      <c r="A198">
        <v>18.399999999999991</v>
      </c>
      <c r="B198">
        <v>0.1</v>
      </c>
      <c r="C198">
        <v>-216.28105670003833</v>
      </c>
      <c r="D198">
        <v>1101.7032969887625</v>
      </c>
      <c r="E198">
        <v>-2821.1523762536804</v>
      </c>
      <c r="F198">
        <v>99.984105033104143</v>
      </c>
      <c r="G198">
        <v>100</v>
      </c>
      <c r="H198">
        <v>1.3870975341410373E-3</v>
      </c>
      <c r="I198">
        <v>7.947483447928505E-2</v>
      </c>
      <c r="J198">
        <v>0</v>
      </c>
      <c r="K198">
        <v>0</v>
      </c>
      <c r="L198">
        <v>0</v>
      </c>
      <c r="M198">
        <v>7.947483447928505E-2</v>
      </c>
      <c r="N198">
        <v>-212.4743103498102</v>
      </c>
      <c r="O198">
        <v>1092.4562065152663</v>
      </c>
      <c r="P198">
        <v>-174.4068468475287</v>
      </c>
      <c r="Q198">
        <v>999.9853017803041</v>
      </c>
      <c r="R198">
        <v>-0.92470904734962256</v>
      </c>
      <c r="S198">
        <v>0.38067463502281501</v>
      </c>
      <c r="T198" t="str">
        <v/>
      </c>
      <c r="U198">
        <v>3</v>
      </c>
      <c r="V198">
        <v>-500</v>
      </c>
      <c r="W198">
        <v>1000</v>
      </c>
      <c r="X198">
        <v>0</v>
      </c>
      <c r="Y198">
        <v>1000</v>
      </c>
      <c r="Z198">
        <v>-500</v>
      </c>
      <c r="AA198">
        <v>0</v>
      </c>
      <c r="AB198">
        <v>75.051379300379608</v>
      </c>
      <c r="AC198">
        <v>1184.9124130305327</v>
      </c>
      <c r="AD198">
        <v>-462.35452367481128</v>
      </c>
      <c r="AE198">
        <v>99.984105033104143</v>
      </c>
      <c r="AF198">
        <v>0.65117420468349896</v>
      </c>
      <c r="AG198" t="b">
        <v>1</v>
      </c>
      <c r="AH198">
        <v>99.984105033104143</v>
      </c>
      <c r="AI198">
        <v>4</v>
      </c>
      <c r="AJ198">
        <v>0</v>
      </c>
      <c r="AK198">
        <v>1000</v>
      </c>
      <c r="AL198">
        <v>0</v>
      </c>
      <c r="AM198">
        <v>1</v>
      </c>
      <c r="AN198">
        <v>0</v>
      </c>
      <c r="AO198">
        <v>999</v>
      </c>
      <c r="AP198">
        <v>-424.94862069962039</v>
      </c>
      <c r="AQ198">
        <v>1184.9124130305327</v>
      </c>
      <c r="AR198">
        <v>380.2939603877922</v>
      </c>
      <c r="AS198">
        <v>558.15200384201046</v>
      </c>
      <c r="AT198">
        <v>0.4240960973310931</v>
      </c>
      <c r="AU198" t="b">
        <v>1</v>
      </c>
    </row>
    <row r="199" spans="1:47" x14ac:dyDescent="0.25">
      <c r="A199">
        <v>18.499999999999993</v>
      </c>
      <c r="B199">
        <v>0.1</v>
      </c>
      <c r="C199">
        <v>-206.28107739842986</v>
      </c>
      <c r="D199">
        <v>1101.6829507998764</v>
      </c>
      <c r="E199">
        <v>-2821.1522375439267</v>
      </c>
      <c r="F199">
        <v>99.968382770147926</v>
      </c>
      <c r="G199">
        <v>100</v>
      </c>
      <c r="H199">
        <v>2.7591238063926593E-3</v>
      </c>
      <c r="I199">
        <v>0.15808614926037023</v>
      </c>
      <c r="J199">
        <v>0</v>
      </c>
      <c r="K199">
        <v>0</v>
      </c>
      <c r="L199">
        <v>0</v>
      </c>
      <c r="M199">
        <v>0.15808614926037023</v>
      </c>
      <c r="N199">
        <v>-202.47304842318613</v>
      </c>
      <c r="O199">
        <v>1092.4363884481857</v>
      </c>
      <c r="P199">
        <v>-164.39275867074875</v>
      </c>
      <c r="Q199">
        <v>999.9707649312785</v>
      </c>
      <c r="R199">
        <v>-0.92465623516907147</v>
      </c>
      <c r="S199">
        <v>0.38080289752437391</v>
      </c>
      <c r="T199" t="str">
        <v/>
      </c>
      <c r="U199">
        <v>3</v>
      </c>
      <c r="V199">
        <v>-500</v>
      </c>
      <c r="W199">
        <v>1000</v>
      </c>
      <c r="X199">
        <v>0</v>
      </c>
      <c r="Y199">
        <v>1000</v>
      </c>
      <c r="Z199">
        <v>-500</v>
      </c>
      <c r="AA199">
        <v>0</v>
      </c>
      <c r="AB199">
        <v>95.053903153627743</v>
      </c>
      <c r="AC199">
        <v>1184.8727768963713</v>
      </c>
      <c r="AD199">
        <v>-462.32811758453573</v>
      </c>
      <c r="AE199">
        <v>99.968382770147926</v>
      </c>
      <c r="AF199">
        <v>0.67119040279302389</v>
      </c>
      <c r="AG199" t="b">
        <v>1</v>
      </c>
      <c r="AH199">
        <v>99.968382770147926</v>
      </c>
      <c r="AI199">
        <v>4</v>
      </c>
      <c r="AJ199">
        <v>0</v>
      </c>
      <c r="AK199">
        <v>1000</v>
      </c>
      <c r="AL199">
        <v>0</v>
      </c>
      <c r="AM199">
        <v>1</v>
      </c>
      <c r="AN199">
        <v>0</v>
      </c>
      <c r="AO199">
        <v>999</v>
      </c>
      <c r="AP199">
        <v>-404.94609684637226</v>
      </c>
      <c r="AQ199">
        <v>1184.8727768963713</v>
      </c>
      <c r="AR199">
        <v>380.42209462684951</v>
      </c>
      <c r="AS199">
        <v>531.70038815218447</v>
      </c>
      <c r="AT199">
        <v>0.3996032939925398</v>
      </c>
      <c r="AU199" t="b">
        <v>1</v>
      </c>
    </row>
    <row r="200" spans="1:47" x14ac:dyDescent="0.25">
      <c r="A200">
        <v>18.599999999999994</v>
      </c>
      <c r="B200">
        <v>0.1</v>
      </c>
      <c r="C200">
        <v>-196.28109286369346</v>
      </c>
      <c r="D200">
        <v>1101.6653637298273</v>
      </c>
      <c r="E200">
        <v>-2821.1519616315459</v>
      </c>
      <c r="F200">
        <v>99.961861750635393</v>
      </c>
      <c r="G200">
        <v>100</v>
      </c>
      <c r="H200">
        <v>3.3281901117951543E-3</v>
      </c>
      <c r="I200">
        <v>0.19069124682303595</v>
      </c>
      <c r="J200">
        <v>0</v>
      </c>
      <c r="K200">
        <v>0</v>
      </c>
      <c r="L200">
        <v>0</v>
      </c>
      <c r="M200">
        <v>0.19069124682303595</v>
      </c>
      <c r="N200">
        <v>-192.47051279239702</v>
      </c>
      <c r="O200">
        <v>1092.4198524124236</v>
      </c>
      <c r="P200">
        <v>-154.36471207943265</v>
      </c>
      <c r="Q200">
        <v>999.96473923838732</v>
      </c>
      <c r="R200">
        <v>-0.92455113174036208</v>
      </c>
      <c r="S200">
        <v>0.38105800712964377</v>
      </c>
      <c r="T200" t="str">
        <v/>
      </c>
      <c r="U200">
        <v>3</v>
      </c>
      <c r="V200">
        <v>-500</v>
      </c>
      <c r="W200">
        <v>1000</v>
      </c>
      <c r="X200">
        <v>0</v>
      </c>
      <c r="Y200">
        <v>1000</v>
      </c>
      <c r="Z200">
        <v>-500</v>
      </c>
      <c r="AA200">
        <v>0</v>
      </c>
      <c r="AB200">
        <v>115.05897441520597</v>
      </c>
      <c r="AC200">
        <v>1184.8397048248471</v>
      </c>
      <c r="AD200">
        <v>-462.27556587018103</v>
      </c>
      <c r="AE200">
        <v>99.961861750635393</v>
      </c>
      <c r="AF200">
        <v>0.69124151007053813</v>
      </c>
      <c r="AG200" t="b">
        <v>1</v>
      </c>
      <c r="AH200">
        <v>99.961861750635393</v>
      </c>
      <c r="AI200">
        <v>4</v>
      </c>
      <c r="AJ200">
        <v>0</v>
      </c>
      <c r="AK200">
        <v>1000</v>
      </c>
      <c r="AL200">
        <v>0</v>
      </c>
      <c r="AM200">
        <v>1</v>
      </c>
      <c r="AN200">
        <v>0</v>
      </c>
      <c r="AO200">
        <v>999</v>
      </c>
      <c r="AP200">
        <v>-384.94102558479403</v>
      </c>
      <c r="AQ200">
        <v>1184.8397048248471</v>
      </c>
      <c r="AR200">
        <v>380.67694912251415</v>
      </c>
      <c r="AS200">
        <v>505.09504902468717</v>
      </c>
      <c r="AT200">
        <v>0.37494128808789251</v>
      </c>
      <c r="AU200" t="b">
        <v>1</v>
      </c>
    </row>
    <row r="201" spans="1:47" x14ac:dyDescent="0.25">
      <c r="A201">
        <v>18.699999999999996</v>
      </c>
      <c r="B201">
        <v>0.1</v>
      </c>
      <c r="C201">
        <v>-186.28110302948753</v>
      </c>
      <c r="D201">
        <v>1101.6511048456532</v>
      </c>
      <c r="E201">
        <v>-2821.1516288125349</v>
      </c>
      <c r="F201">
        <v>99.961529087148605</v>
      </c>
      <c r="G201">
        <v>100</v>
      </c>
      <c r="H201">
        <v>3.3572204775231878E-3</v>
      </c>
      <c r="I201">
        <v>0.1923545642569735</v>
      </c>
      <c r="J201">
        <v>0</v>
      </c>
      <c r="K201">
        <v>0</v>
      </c>
      <c r="L201">
        <v>0</v>
      </c>
      <c r="M201">
        <v>0.1923545642569735</v>
      </c>
      <c r="N201">
        <v>-182.46744608736148</v>
      </c>
      <c r="O201">
        <v>1092.4068622737723</v>
      </c>
      <c r="P201">
        <v>-144.33087666610106</v>
      </c>
      <c r="Q201">
        <v>999.96443655496398</v>
      </c>
      <c r="R201">
        <v>-0.92442425718808274</v>
      </c>
      <c r="S201">
        <v>0.38136569421260402</v>
      </c>
      <c r="T201" t="str">
        <v/>
      </c>
      <c r="U201">
        <v>3</v>
      </c>
      <c r="V201">
        <v>-500</v>
      </c>
      <c r="W201">
        <v>1000</v>
      </c>
      <c r="X201">
        <v>0</v>
      </c>
      <c r="Y201">
        <v>1000</v>
      </c>
      <c r="Z201">
        <v>-500</v>
      </c>
      <c r="AA201">
        <v>0</v>
      </c>
      <c r="AB201">
        <v>135.06510782527704</v>
      </c>
      <c r="AC201">
        <v>1184.8137245475446</v>
      </c>
      <c r="AD201">
        <v>-462.21212859404136</v>
      </c>
      <c r="AE201">
        <v>99.961529087148605</v>
      </c>
      <c r="AF201">
        <v>0.71130890369502453</v>
      </c>
      <c r="AG201" t="b">
        <v>1</v>
      </c>
      <c r="AH201">
        <v>99.961529087148605</v>
      </c>
      <c r="AI201">
        <v>4</v>
      </c>
      <c r="AJ201">
        <v>0</v>
      </c>
      <c r="AK201">
        <v>1000</v>
      </c>
      <c r="AL201">
        <v>0</v>
      </c>
      <c r="AM201">
        <v>1</v>
      </c>
      <c r="AN201">
        <v>0</v>
      </c>
      <c r="AO201">
        <v>999</v>
      </c>
      <c r="AP201">
        <v>-364.93489217472296</v>
      </c>
      <c r="AQ201">
        <v>1184.8137245475446</v>
      </c>
      <c r="AR201">
        <v>380.98432851839141</v>
      </c>
      <c r="AS201">
        <v>478.45794432060114</v>
      </c>
      <c r="AT201">
        <v>0.35024150900954604</v>
      </c>
      <c r="AU201" t="b">
        <v>1</v>
      </c>
    </row>
    <row r="202" spans="1:47" x14ac:dyDescent="0.25">
      <c r="A202">
        <v>18.799999999999997</v>
      </c>
      <c r="B202">
        <v>0.1</v>
      </c>
      <c r="C202">
        <v>-176.28110897180576</v>
      </c>
      <c r="D202">
        <v>1101.6402031792825</v>
      </c>
      <c r="E202">
        <v>-2821.1512930904873</v>
      </c>
      <c r="F202">
        <v>99.964972520456868</v>
      </c>
      <c r="G202">
        <v>100</v>
      </c>
      <c r="H202">
        <v>3.0567242335130442E-3</v>
      </c>
      <c r="I202">
        <v>0.17513739771565895</v>
      </c>
      <c r="J202">
        <v>0</v>
      </c>
      <c r="K202">
        <v>0</v>
      </c>
      <c r="L202">
        <v>0</v>
      </c>
      <c r="M202">
        <v>0.17513739771565895</v>
      </c>
      <c r="N202">
        <v>-172.46434874861089</v>
      </c>
      <c r="O202">
        <v>1092.397241457051</v>
      </c>
      <c r="P202">
        <v>-134.29674651666201</v>
      </c>
      <c r="Q202">
        <v>999.96762423473569</v>
      </c>
      <c r="R202">
        <v>-0.92429617222315341</v>
      </c>
      <c r="S202">
        <v>0.38167602231948866</v>
      </c>
      <c r="T202" t="str">
        <v/>
      </c>
      <c r="U202">
        <v>3</v>
      </c>
      <c r="V202">
        <v>-500</v>
      </c>
      <c r="W202">
        <v>1000</v>
      </c>
      <c r="X202">
        <v>0</v>
      </c>
      <c r="Y202">
        <v>1000</v>
      </c>
      <c r="Z202">
        <v>-500</v>
      </c>
      <c r="AA202">
        <v>0</v>
      </c>
      <c r="AB202">
        <v>155.07130250277822</v>
      </c>
      <c r="AC202">
        <v>1184.794482914102</v>
      </c>
      <c r="AD202">
        <v>-462.14808611157673</v>
      </c>
      <c r="AE202">
        <v>99.964972520456868</v>
      </c>
      <c r="AF202">
        <v>0.73137976866854826</v>
      </c>
      <c r="AG202" t="b">
        <v>1</v>
      </c>
      <c r="AH202">
        <v>99.964972520456868</v>
      </c>
      <c r="AI202">
        <v>4</v>
      </c>
      <c r="AJ202">
        <v>0</v>
      </c>
      <c r="AK202">
        <v>1000</v>
      </c>
      <c r="AL202">
        <v>0</v>
      </c>
      <c r="AM202">
        <v>1</v>
      </c>
      <c r="AN202">
        <v>0</v>
      </c>
      <c r="AO202">
        <v>999</v>
      </c>
      <c r="AP202">
        <v>-344.92869749722178</v>
      </c>
      <c r="AQ202">
        <v>1184.794482914102</v>
      </c>
      <c r="AR202">
        <v>381.29434629716917</v>
      </c>
      <c r="AS202">
        <v>451.860579819831</v>
      </c>
      <c r="AT202">
        <v>0.3255813441931466</v>
      </c>
      <c r="AU202" t="b">
        <v>1</v>
      </c>
    </row>
    <row r="203" spans="1:47" x14ac:dyDescent="0.25">
      <c r="A203">
        <v>18.899999999999999</v>
      </c>
      <c r="B203">
        <v>0.1</v>
      </c>
      <c r="C203">
        <v>-166.28111204896317</v>
      </c>
      <c r="D203">
        <v>1101.6323582357927</v>
      </c>
      <c r="E203">
        <v>-2821.1509874180638</v>
      </c>
      <c r="F203">
        <v>99.970371017362865</v>
      </c>
      <c r="G203">
        <v>100</v>
      </c>
      <c r="H203">
        <v>2.585616505171189E-3</v>
      </c>
      <c r="I203">
        <v>0.14814491318567491</v>
      </c>
      <c r="J203">
        <v>0</v>
      </c>
      <c r="K203">
        <v>0</v>
      </c>
      <c r="L203">
        <v>0</v>
      </c>
      <c r="M203">
        <v>0.14814491318567491</v>
      </c>
      <c r="N203">
        <v>-162.46152668561243</v>
      </c>
      <c r="O203">
        <v>1092.3905636237016</v>
      </c>
      <c r="P203">
        <v>-124.265673052105</v>
      </c>
      <c r="Q203">
        <v>999.97261750279017</v>
      </c>
      <c r="R203">
        <v>-0.92417946120911376</v>
      </c>
      <c r="S203">
        <v>0.38195853633507426</v>
      </c>
      <c r="T203" t="str">
        <v/>
      </c>
      <c r="U203">
        <v>3</v>
      </c>
      <c r="V203">
        <v>-500</v>
      </c>
      <c r="W203">
        <v>1000</v>
      </c>
      <c r="X203">
        <v>0</v>
      </c>
      <c r="Y203">
        <v>1000</v>
      </c>
      <c r="Z203">
        <v>-500</v>
      </c>
      <c r="AA203">
        <v>0</v>
      </c>
      <c r="AB203">
        <v>175.07694662877515</v>
      </c>
      <c r="AC203">
        <v>1184.7811272474032</v>
      </c>
      <c r="AD203">
        <v>-462.08973060455691</v>
      </c>
      <c r="AE203">
        <v>99.970371017362865</v>
      </c>
      <c r="AF203">
        <v>0.75144601981010761</v>
      </c>
      <c r="AG203" t="b">
        <v>1</v>
      </c>
      <c r="AH203">
        <v>99.970371017362865</v>
      </c>
      <c r="AI203">
        <v>4</v>
      </c>
      <c r="AJ203">
        <v>0</v>
      </c>
      <c r="AK203">
        <v>1000</v>
      </c>
      <c r="AL203">
        <v>0</v>
      </c>
      <c r="AM203">
        <v>1</v>
      </c>
      <c r="AN203">
        <v>0</v>
      </c>
      <c r="AO203">
        <v>999</v>
      </c>
      <c r="AP203">
        <v>-324.92305337122485</v>
      </c>
      <c r="AQ203">
        <v>1184.7811272474032</v>
      </c>
      <c r="AR203">
        <v>381.57657779873921</v>
      </c>
      <c r="AS203">
        <v>425.3381224162315</v>
      </c>
      <c r="AT203">
        <v>0.30099919237500233</v>
      </c>
      <c r="AU203" t="b">
        <v>1</v>
      </c>
    </row>
    <row r="204" spans="1:47" x14ac:dyDescent="0.25">
      <c r="A204">
        <v>19</v>
      </c>
      <c r="B204">
        <v>0.1</v>
      </c>
      <c r="C204">
        <v>-156.28111343198958</v>
      </c>
      <c r="D204">
        <v>1101.6270989082436</v>
      </c>
      <c r="E204">
        <v>-2821.1507288564135</v>
      </c>
      <c r="F204">
        <v>99.976436207201616</v>
      </c>
      <c r="G204">
        <v>100</v>
      </c>
      <c r="H204">
        <v>2.0563288429476891E-3</v>
      </c>
      <c r="I204">
        <v>0.11781896399192249</v>
      </c>
      <c r="J204">
        <v>0</v>
      </c>
      <c r="K204">
        <v>0</v>
      </c>
      <c r="L204">
        <v>0</v>
      </c>
      <c r="M204">
        <v>0.11781896399192249</v>
      </c>
      <c r="N204">
        <v>-152.45913862267636</v>
      </c>
      <c r="O204">
        <v>1092.3862922033625</v>
      </c>
      <c r="P204">
        <v>-114.23939052954421</v>
      </c>
      <c r="Q204">
        <v>999.97822515455164</v>
      </c>
      <c r="R204">
        <v>-0.92408067048810849</v>
      </c>
      <c r="S204">
        <v>0.38219748093132161</v>
      </c>
      <c r="T204" t="str">
        <v/>
      </c>
      <c r="U204">
        <v>3</v>
      </c>
      <c r="V204">
        <v>-500</v>
      </c>
      <c r="W204">
        <v>1000</v>
      </c>
      <c r="X204">
        <v>0</v>
      </c>
      <c r="Y204">
        <v>1000</v>
      </c>
      <c r="Z204">
        <v>-500</v>
      </c>
      <c r="AA204">
        <v>0</v>
      </c>
      <c r="AB204">
        <v>195.08172275464727</v>
      </c>
      <c r="AC204">
        <v>1184.7725844067249</v>
      </c>
      <c r="AD204">
        <v>-462.04033524405423</v>
      </c>
      <c r="AE204">
        <v>99.976436207201616</v>
      </c>
      <c r="AF204">
        <v>0.77150320689641416</v>
      </c>
      <c r="AG204" t="b">
        <v>1</v>
      </c>
      <c r="AH204">
        <v>99.976436207201616</v>
      </c>
      <c r="AI204">
        <v>4</v>
      </c>
      <c r="AJ204">
        <v>0</v>
      </c>
      <c r="AK204">
        <v>1000</v>
      </c>
      <c r="AL204">
        <v>0</v>
      </c>
      <c r="AM204">
        <v>1</v>
      </c>
      <c r="AN204">
        <v>0</v>
      </c>
      <c r="AO204">
        <v>999</v>
      </c>
      <c r="AP204">
        <v>-304.91827724535273</v>
      </c>
      <c r="AQ204">
        <v>1184.7725844067249</v>
      </c>
      <c r="AR204">
        <v>381.81528345039027</v>
      </c>
      <c r="AS204">
        <v>398.90147431419695</v>
      </c>
      <c r="AT204">
        <v>0.27650735699659224</v>
      </c>
      <c r="AU204" t="b">
        <v>1</v>
      </c>
    </row>
    <row r="205" spans="1:47" x14ac:dyDescent="0.25">
      <c r="A205">
        <v>19.100000000000001</v>
      </c>
      <c r="B205">
        <v>0.1</v>
      </c>
      <c r="C205">
        <v>-146.28111394494968</v>
      </c>
      <c r="D205">
        <v>1101.6238959093514</v>
      </c>
      <c r="E205">
        <v>-2821.150523223529</v>
      </c>
      <c r="F205">
        <v>99.982326300686225</v>
      </c>
      <c r="G205">
        <v>100</v>
      </c>
      <c r="H205">
        <v>1.5423212201641947E-3</v>
      </c>
      <c r="I205">
        <v>8.8368496568875798E-2</v>
      </c>
      <c r="J205">
        <v>0</v>
      </c>
      <c r="K205">
        <v>0</v>
      </c>
      <c r="L205">
        <v>0</v>
      </c>
      <c r="M205">
        <v>8.8368496568875798E-2</v>
      </c>
      <c r="N205">
        <v>-142.45723900271841</v>
      </c>
      <c r="O205">
        <v>1092.3838753235423</v>
      </c>
      <c r="P205">
        <v>-104.21848958040576</v>
      </c>
      <c r="Q205">
        <v>999.98366946545138</v>
      </c>
      <c r="R205">
        <v>-0.92400205858090945</v>
      </c>
      <c r="S205">
        <v>0.38238749422312657</v>
      </c>
      <c r="T205" t="str">
        <v/>
      </c>
      <c r="U205">
        <v>3</v>
      </c>
      <c r="V205">
        <v>-500</v>
      </c>
      <c r="W205">
        <v>1000</v>
      </c>
      <c r="X205">
        <v>0</v>
      </c>
      <c r="Y205">
        <v>1000</v>
      </c>
      <c r="Z205">
        <v>-500</v>
      </c>
      <c r="AA205">
        <v>0</v>
      </c>
      <c r="AB205">
        <v>215.08552199456318</v>
      </c>
      <c r="AC205">
        <v>1184.7677506470845</v>
      </c>
      <c r="AD205">
        <v>-462.00102929045471</v>
      </c>
      <c r="AE205">
        <v>99.982326300686225</v>
      </c>
      <c r="AF205">
        <v>0.79154950443599992</v>
      </c>
      <c r="AG205" t="b">
        <v>1</v>
      </c>
      <c r="AH205">
        <v>99.982326300686225</v>
      </c>
      <c r="AI205">
        <v>4</v>
      </c>
      <c r="AJ205">
        <v>0</v>
      </c>
      <c r="AK205">
        <v>1000</v>
      </c>
      <c r="AL205">
        <v>0</v>
      </c>
      <c r="AM205">
        <v>1</v>
      </c>
      <c r="AN205">
        <v>0</v>
      </c>
      <c r="AO205">
        <v>999</v>
      </c>
      <c r="AP205">
        <v>-284.91447800543682</v>
      </c>
      <c r="AQ205">
        <v>1184.7677506470845</v>
      </c>
      <c r="AR205">
        <v>382.00510672890346</v>
      </c>
      <c r="AS205">
        <v>372.54680436696844</v>
      </c>
      <c r="AT205">
        <v>0.25210224107034629</v>
      </c>
      <c r="AU205" t="b">
        <v>1</v>
      </c>
    </row>
    <row r="206" spans="1:47" x14ac:dyDescent="0.25">
      <c r="A206">
        <v>19.200000000000003</v>
      </c>
      <c r="B206">
        <v>0.1</v>
      </c>
      <c r="C206">
        <v>-136.28111408284221</v>
      </c>
      <c r="D206">
        <v>1101.6222352316317</v>
      </c>
      <c r="E206">
        <v>-2821.150368991407</v>
      </c>
      <c r="F206">
        <v>99.98755053643967</v>
      </c>
      <c r="G206">
        <v>100</v>
      </c>
      <c r="H206">
        <v>1.0864206461740564E-3</v>
      </c>
      <c r="I206">
        <v>6.224731780164916E-2</v>
      </c>
      <c r="J206">
        <v>0</v>
      </c>
      <c r="K206">
        <v>0</v>
      </c>
      <c r="L206">
        <v>0</v>
      </c>
      <c r="M206">
        <v>6.224731780164916E-2</v>
      </c>
      <c r="N206">
        <v>-132.45581407811474</v>
      </c>
      <c r="O206">
        <v>1092.3828045200655</v>
      </c>
      <c r="P206">
        <v>-94.202814030840187</v>
      </c>
      <c r="Q206">
        <v>999.9884974044038</v>
      </c>
      <c r="R206">
        <v>-0.923943071156617</v>
      </c>
      <c r="S206">
        <v>0.38253000047274549</v>
      </c>
      <c r="T206" t="str">
        <v/>
      </c>
      <c r="U206">
        <v>3</v>
      </c>
      <c r="V206">
        <v>-500</v>
      </c>
      <c r="W206">
        <v>1000</v>
      </c>
      <c r="X206">
        <v>0</v>
      </c>
      <c r="Y206">
        <v>1000</v>
      </c>
      <c r="Z206">
        <v>-500</v>
      </c>
      <c r="AA206">
        <v>0</v>
      </c>
      <c r="AB206">
        <v>235.08837184377052</v>
      </c>
      <c r="AC206">
        <v>1184.765609040131</v>
      </c>
      <c r="AD206">
        <v>-461.97153557830848</v>
      </c>
      <c r="AE206">
        <v>99.98755053643967</v>
      </c>
      <c r="AF206">
        <v>0.81158484735171654</v>
      </c>
      <c r="AG206" t="b">
        <v>1</v>
      </c>
      <c r="AH206">
        <v>99.98755053643967</v>
      </c>
      <c r="AI206">
        <v>4</v>
      </c>
      <c r="AJ206">
        <v>0</v>
      </c>
      <c r="AK206">
        <v>1000</v>
      </c>
      <c r="AL206">
        <v>0</v>
      </c>
      <c r="AM206">
        <v>1</v>
      </c>
      <c r="AN206">
        <v>0</v>
      </c>
      <c r="AO206">
        <v>999</v>
      </c>
      <c r="AP206">
        <v>-264.91162815622948</v>
      </c>
      <c r="AQ206">
        <v>1184.765609040131</v>
      </c>
      <c r="AR206">
        <v>382.14747047227274</v>
      </c>
      <c r="AS206">
        <v>346.26255173299</v>
      </c>
      <c r="AT206">
        <v>0.22777185280744772</v>
      </c>
      <c r="AU206" t="b">
        <v>1</v>
      </c>
    </row>
    <row r="207" spans="1:47" x14ac:dyDescent="0.25">
      <c r="A207">
        <v>19.300000000000004</v>
      </c>
      <c r="B207">
        <v>0.1</v>
      </c>
      <c r="C207">
        <v>-126.28111409933076</v>
      </c>
      <c r="D207">
        <v>1101.6216609745527</v>
      </c>
      <c r="E207">
        <v>-2821.1502603493423</v>
      </c>
      <c r="F207">
        <v>99.991877078420515</v>
      </c>
      <c r="G207">
        <v>100</v>
      </c>
      <c r="H207">
        <v>7.0885863221654976E-4</v>
      </c>
      <c r="I207">
        <v>4.0614607897424548E-2</v>
      </c>
      <c r="J207">
        <v>0</v>
      </c>
      <c r="K207">
        <v>0</v>
      </c>
      <c r="L207">
        <v>0</v>
      </c>
      <c r="M207">
        <v>4.0614607897424548E-2</v>
      </c>
      <c r="N207">
        <v>-122.45481032635051</v>
      </c>
      <c r="O207">
        <v>1092.3826459060035</v>
      </c>
      <c r="P207">
        <v>-84.191772596547963</v>
      </c>
      <c r="Q207">
        <v>999.99249522051264</v>
      </c>
      <c r="R207">
        <v>-0.92390150685490857</v>
      </c>
      <c r="S207">
        <v>0.38263037729802546</v>
      </c>
      <c r="T207" t="str">
        <v/>
      </c>
      <c r="U207">
        <v>3</v>
      </c>
      <c r="V207">
        <v>-500</v>
      </c>
      <c r="W207">
        <v>1000</v>
      </c>
      <c r="X207">
        <v>0</v>
      </c>
      <c r="Y207">
        <v>1000</v>
      </c>
      <c r="Z207">
        <v>-500</v>
      </c>
      <c r="AA207">
        <v>0</v>
      </c>
      <c r="AB207">
        <v>255.09037934729898</v>
      </c>
      <c r="AC207">
        <v>1184.765291812007</v>
      </c>
      <c r="AD207">
        <v>-461.95075342745429</v>
      </c>
      <c r="AE207">
        <v>99.991877078420515</v>
      </c>
      <c r="AF207">
        <v>0.83161023865380668</v>
      </c>
      <c r="AG207" t="b">
        <v>1</v>
      </c>
      <c r="AH207">
        <v>99.991877078420515</v>
      </c>
      <c r="AI207">
        <v>4</v>
      </c>
      <c r="AJ207">
        <v>0</v>
      </c>
      <c r="AK207">
        <v>1000</v>
      </c>
      <c r="AL207">
        <v>0</v>
      </c>
      <c r="AM207">
        <v>1</v>
      </c>
      <c r="AN207">
        <v>0</v>
      </c>
      <c r="AO207">
        <v>999</v>
      </c>
      <c r="AP207">
        <v>-244.90962065270102</v>
      </c>
      <c r="AQ207">
        <v>1184.765291812007</v>
      </c>
      <c r="AR207">
        <v>382.24774692072742</v>
      </c>
      <c r="AS207">
        <v>320.03420949239529</v>
      </c>
      <c r="AT207">
        <v>0.20350094343257247</v>
      </c>
      <c r="AU207" t="b">
        <v>1</v>
      </c>
    </row>
    <row r="208" spans="1:47" x14ac:dyDescent="0.25">
      <c r="A208">
        <v>19.400000000000006</v>
      </c>
      <c r="B208">
        <v>0.1</v>
      </c>
      <c r="C208">
        <v>-116.28111410023664</v>
      </c>
      <c r="D208">
        <v>1101.6217955761069</v>
      </c>
      <c r="E208">
        <v>-2821.1501894634789</v>
      </c>
      <c r="F208">
        <v>99.995252186466146</v>
      </c>
      <c r="G208">
        <v>100</v>
      </c>
      <c r="H208">
        <v>4.1432489218246927E-4</v>
      </c>
      <c r="I208">
        <v>2.3739067669268366E-2</v>
      </c>
      <c r="J208">
        <v>0</v>
      </c>
      <c r="K208">
        <v>0</v>
      </c>
      <c r="L208">
        <v>0</v>
      </c>
      <c r="M208">
        <v>2.3739067669268366E-2</v>
      </c>
      <c r="N208">
        <v>-112.45415542131049</v>
      </c>
      <c r="O208">
        <v>1092.3830517616161</v>
      </c>
      <c r="P208">
        <v>-74.184568632049064</v>
      </c>
      <c r="Q208">
        <v>999.99561361670817</v>
      </c>
      <c r="R208">
        <v>-0.9238743814490793</v>
      </c>
      <c r="S208">
        <v>0.38269586789261417</v>
      </c>
      <c r="T208" t="str">
        <v/>
      </c>
      <c r="U208">
        <v>3</v>
      </c>
      <c r="V208">
        <v>-500</v>
      </c>
      <c r="W208">
        <v>1000</v>
      </c>
      <c r="X208">
        <v>0</v>
      </c>
      <c r="Y208">
        <v>1000</v>
      </c>
      <c r="Z208">
        <v>-500</v>
      </c>
      <c r="AA208">
        <v>0</v>
      </c>
      <c r="AB208">
        <v>275.09168915737905</v>
      </c>
      <c r="AC208">
        <v>1184.7661035232322</v>
      </c>
      <c r="AD208">
        <v>-461.93719072453968</v>
      </c>
      <c r="AE208">
        <v>99.995252186466146</v>
      </c>
      <c r="AF208">
        <v>0.85162722879865993</v>
      </c>
      <c r="AG208" t="b">
        <v>1</v>
      </c>
      <c r="AH208">
        <v>99.995252186466146</v>
      </c>
      <c r="AI208">
        <v>4</v>
      </c>
      <c r="AJ208">
        <v>0</v>
      </c>
      <c r="AK208">
        <v>1000</v>
      </c>
      <c r="AL208">
        <v>0</v>
      </c>
      <c r="AM208">
        <v>1</v>
      </c>
      <c r="AN208">
        <v>0</v>
      </c>
      <c r="AO208">
        <v>999</v>
      </c>
      <c r="AP208">
        <v>-224.90831084262098</v>
      </c>
      <c r="AQ208">
        <v>1184.7661035232322</v>
      </c>
      <c r="AR208">
        <v>382.31317202472155</v>
      </c>
      <c r="AS208">
        <v>293.84732069504742</v>
      </c>
      <c r="AT208">
        <v>0.17927423412011015</v>
      </c>
      <c r="AU208" t="b">
        <v>1</v>
      </c>
    </row>
    <row r="209" spans="1:47" x14ac:dyDescent="0.25">
      <c r="A209">
        <v>19.500000000000007</v>
      </c>
      <c r="B209">
        <v>0.1</v>
      </c>
      <c r="C209">
        <v>-106.28111411530264</v>
      </c>
      <c r="D209">
        <v>1101.6223445025516</v>
      </c>
      <c r="E209">
        <v>-2821.1501480309898</v>
      </c>
      <c r="F209">
        <v>99.997734279758859</v>
      </c>
      <c r="G209">
        <v>100</v>
      </c>
      <c r="H209">
        <v>1.9772139068494396E-4</v>
      </c>
      <c r="I209">
        <v>1.1328601205704558E-2</v>
      </c>
      <c r="J209">
        <v>0</v>
      </c>
      <c r="K209">
        <v>0</v>
      </c>
      <c r="L209">
        <v>0</v>
      </c>
      <c r="M209">
        <v>1.1328601205704558E-2</v>
      </c>
      <c r="N209">
        <v>-102.45377265550927</v>
      </c>
      <c r="O209">
        <v>1092.3837592564144</v>
      </c>
      <c r="P209">
        <v>-64.180358057575575</v>
      </c>
      <c r="Q209">
        <v>999.99790679504088</v>
      </c>
      <c r="R209">
        <v>-0.92385852461373519</v>
      </c>
      <c r="S209">
        <v>0.38273414597933691</v>
      </c>
      <c r="T209" t="str">
        <v/>
      </c>
      <c r="U209">
        <v>3</v>
      </c>
      <c r="V209">
        <v>-500</v>
      </c>
      <c r="W209">
        <v>1000</v>
      </c>
      <c r="X209">
        <v>0</v>
      </c>
      <c r="Y209">
        <v>1000</v>
      </c>
      <c r="Z209">
        <v>-500</v>
      </c>
      <c r="AA209">
        <v>0</v>
      </c>
      <c r="AB209">
        <v>295.09245468898143</v>
      </c>
      <c r="AC209">
        <v>1184.7675185128287</v>
      </c>
      <c r="AD209">
        <v>-461.9292623068676</v>
      </c>
      <c r="AE209">
        <v>99.997734279758859</v>
      </c>
      <c r="AF209">
        <v>0.87163754954784578</v>
      </c>
      <c r="AG209" t="b">
        <v>1</v>
      </c>
      <c r="AH209">
        <v>99.997734279758859</v>
      </c>
      <c r="AI209">
        <v>4</v>
      </c>
      <c r="AJ209">
        <v>0</v>
      </c>
      <c r="AK209">
        <v>1000</v>
      </c>
      <c r="AL209">
        <v>0</v>
      </c>
      <c r="AM209">
        <v>1</v>
      </c>
      <c r="AN209">
        <v>0</v>
      </c>
      <c r="AO209">
        <v>999</v>
      </c>
      <c r="AP209">
        <v>-204.90754531101854</v>
      </c>
      <c r="AQ209">
        <v>1184.7675185128287</v>
      </c>
      <c r="AR209">
        <v>382.35141183335759</v>
      </c>
      <c r="AS209">
        <v>267.68913547901877</v>
      </c>
      <c r="AT209">
        <v>0.15507820871106931</v>
      </c>
      <c r="AU209" t="b">
        <v>1</v>
      </c>
    </row>
    <row r="210" spans="1:47" x14ac:dyDescent="0.25">
      <c r="A210">
        <v>19.600000000000009</v>
      </c>
      <c r="B210">
        <v>0.1</v>
      </c>
      <c r="C210">
        <v>-96.281114143176794</v>
      </c>
      <c r="D210">
        <v>1101.6230911503883</v>
      </c>
      <c r="E210">
        <v>-2821.1501282588506</v>
      </c>
      <c r="F210">
        <v>99.99944350845405</v>
      </c>
      <c r="G210">
        <v>100</v>
      </c>
      <c r="H210">
        <v>4.8563048681718584E-5</v>
      </c>
      <c r="I210">
        <v>2.7824577297508313E-3</v>
      </c>
      <c r="J210">
        <v>0</v>
      </c>
      <c r="K210">
        <v>0</v>
      </c>
      <c r="L210">
        <v>0</v>
      </c>
      <c r="M210">
        <v>2.7824577297508313E-3</v>
      </c>
      <c r="N210">
        <v>-92.453590017537692</v>
      </c>
      <c r="O210">
        <v>1092.3845815807852</v>
      </c>
      <c r="P210">
        <v>-54.178348761146744</v>
      </c>
      <c r="Q210">
        <v>999.99948588475274</v>
      </c>
      <c r="R210">
        <v>-0.92385095696032415</v>
      </c>
      <c r="S210">
        <v>0.38275241256390952</v>
      </c>
      <c r="T210" t="str">
        <v/>
      </c>
      <c r="U210">
        <v>3</v>
      </c>
      <c r="V210">
        <v>-500</v>
      </c>
      <c r="W210">
        <v>1000</v>
      </c>
      <c r="X210">
        <v>0</v>
      </c>
      <c r="Y210">
        <v>1000</v>
      </c>
      <c r="Z210">
        <v>-500</v>
      </c>
      <c r="AA210">
        <v>0</v>
      </c>
      <c r="AB210">
        <v>315.09281996492462</v>
      </c>
      <c r="AC210">
        <v>1184.7691631615703</v>
      </c>
      <c r="AD210">
        <v>-461.9254784801621</v>
      </c>
      <c r="AE210">
        <v>99.99944350845405</v>
      </c>
      <c r="AF210">
        <v>0.89164287648074292</v>
      </c>
      <c r="AG210" t="b">
        <v>1</v>
      </c>
      <c r="AH210">
        <v>99.99944350845405</v>
      </c>
      <c r="AI210">
        <v>4</v>
      </c>
      <c r="AJ210">
        <v>0</v>
      </c>
      <c r="AK210">
        <v>1000</v>
      </c>
      <c r="AL210">
        <v>0</v>
      </c>
      <c r="AM210">
        <v>1</v>
      </c>
      <c r="AN210">
        <v>0</v>
      </c>
      <c r="AO210">
        <v>999</v>
      </c>
      <c r="AP210">
        <v>-184.90718003507538</v>
      </c>
      <c r="AQ210">
        <v>1184.7691631615703</v>
      </c>
      <c r="AR210">
        <v>382.36966015134561</v>
      </c>
      <c r="AS210">
        <v>241.54933315306116</v>
      </c>
      <c r="AT210">
        <v>0.13090190290870726</v>
      </c>
      <c r="AU210" t="b">
        <v>1</v>
      </c>
    </row>
    <row r="211" spans="1:47" x14ac:dyDescent="0.25">
      <c r="A211">
        <v>19.70000000000001</v>
      </c>
      <c r="B211">
        <v>0.1</v>
      </c>
      <c r="C211">
        <v>-86.281114174794808</v>
      </c>
      <c r="D211">
        <v>1101.6238863612718</v>
      </c>
      <c r="E211">
        <v>-2821.1501234025459</v>
      </c>
      <c r="F211">
        <v>100.00052558441999</v>
      </c>
      <c r="G211">
        <v>100</v>
      </c>
      <c r="H211">
        <v>-4.5865893129998651E-5</v>
      </c>
      <c r="I211">
        <v>-2.6279220999469999E-3</v>
      </c>
      <c r="J211">
        <v>0</v>
      </c>
      <c r="K211">
        <v>0</v>
      </c>
      <c r="L211">
        <v>0</v>
      </c>
      <c r="M211">
        <v>-2.6279220999469999E-3</v>
      </c>
      <c r="N211">
        <v>-82.453545184183284</v>
      </c>
      <c r="O211">
        <v>1092.385395379401</v>
      </c>
      <c r="P211">
        <v>-44.17785527806803</v>
      </c>
      <c r="Q211">
        <v>1000.0004855606925</v>
      </c>
      <c r="R211">
        <v>-0.92384909818708527</v>
      </c>
      <c r="S211">
        <v>0.38275689906115257</v>
      </c>
      <c r="T211" t="str">
        <v/>
      </c>
      <c r="U211">
        <v>3</v>
      </c>
      <c r="V211">
        <v>-500</v>
      </c>
      <c r="W211">
        <v>1000</v>
      </c>
      <c r="X211">
        <v>0</v>
      </c>
      <c r="Y211">
        <v>1000</v>
      </c>
      <c r="Z211">
        <v>-500</v>
      </c>
      <c r="AA211">
        <v>0</v>
      </c>
      <c r="AB211">
        <v>335.09290963163346</v>
      </c>
      <c r="AC211">
        <v>1184.7707907588019</v>
      </c>
      <c r="AD211">
        <v>-461.92454909354262</v>
      </c>
      <c r="AE211">
        <v>100.00052558441999</v>
      </c>
      <c r="AF211">
        <v>0.9116446917859895</v>
      </c>
      <c r="AG211" t="b">
        <v>1</v>
      </c>
      <c r="AH211">
        <v>100.00052558441999</v>
      </c>
      <c r="AI211">
        <v>4</v>
      </c>
      <c r="AJ211">
        <v>0</v>
      </c>
      <c r="AK211">
        <v>1000</v>
      </c>
      <c r="AL211">
        <v>0</v>
      </c>
      <c r="AM211">
        <v>1</v>
      </c>
      <c r="AN211">
        <v>0</v>
      </c>
      <c r="AO211">
        <v>999</v>
      </c>
      <c r="AP211">
        <v>-164.90709036836657</v>
      </c>
      <c r="AQ211">
        <v>1184.7707907588019</v>
      </c>
      <c r="AR211">
        <v>382.3741421620914</v>
      </c>
      <c r="AS211">
        <v>215.42014105148709</v>
      </c>
      <c r="AT211">
        <v>0.10673704470705712</v>
      </c>
      <c r="AU211" t="b">
        <v>1</v>
      </c>
    </row>
    <row r="212" spans="1:47" x14ac:dyDescent="0.25">
      <c r="A212">
        <v>19.800000000000011</v>
      </c>
      <c r="B212">
        <v>0.1</v>
      </c>
      <c r="C212">
        <v>-76.281114202870697</v>
      </c>
      <c r="D212">
        <v>1101.6246357062605</v>
      </c>
      <c r="E212">
        <v>-2821.1501279891354</v>
      </c>
      <c r="F212">
        <v>100.00112766728552</v>
      </c>
      <c r="G212">
        <v>100</v>
      </c>
      <c r="H212">
        <v>-9.8407534996410544E-5</v>
      </c>
      <c r="I212">
        <v>-5.6383364275802705E-3</v>
      </c>
      <c r="J212">
        <v>0</v>
      </c>
      <c r="K212">
        <v>0</v>
      </c>
      <c r="L212">
        <v>0</v>
      </c>
      <c r="M212">
        <v>-5.6383364275802705E-3</v>
      </c>
      <c r="N212">
        <v>-72.453587585465272</v>
      </c>
      <c r="O212">
        <v>1092.3861271689991</v>
      </c>
      <c r="P212">
        <v>-34.178321411411027</v>
      </c>
      <c r="Q212">
        <v>1000.0010417963845</v>
      </c>
      <c r="R212">
        <v>-0.92385085372614661</v>
      </c>
      <c r="S212">
        <v>0.38275266174054245</v>
      </c>
      <c r="T212" t="str">
        <v/>
      </c>
      <c r="U212">
        <v>3</v>
      </c>
      <c r="V212">
        <v>-500</v>
      </c>
      <c r="W212">
        <v>1000</v>
      </c>
      <c r="X212">
        <v>0</v>
      </c>
      <c r="Y212">
        <v>1000</v>
      </c>
      <c r="Z212">
        <v>-500</v>
      </c>
      <c r="AA212">
        <v>0</v>
      </c>
      <c r="AB212">
        <v>355.09282482906946</v>
      </c>
      <c r="AC212">
        <v>1184.7722543379982</v>
      </c>
      <c r="AD212">
        <v>-461.92542686307331</v>
      </c>
      <c r="AE212">
        <v>100.00112766728552</v>
      </c>
      <c r="AF212">
        <v>0.93164422041248818</v>
      </c>
      <c r="AG212" t="b">
        <v>1</v>
      </c>
      <c r="AH212">
        <v>100.00112766728552</v>
      </c>
      <c r="AI212">
        <v>4</v>
      </c>
      <c r="AJ212">
        <v>0</v>
      </c>
      <c r="AK212">
        <v>1000</v>
      </c>
      <c r="AL212">
        <v>0</v>
      </c>
      <c r="AM212">
        <v>1</v>
      </c>
      <c r="AN212">
        <v>0</v>
      </c>
      <c r="AO212">
        <v>999</v>
      </c>
      <c r="AP212">
        <v>-144.90717517093054</v>
      </c>
      <c r="AQ212">
        <v>1184.7722543379982</v>
      </c>
      <c r="AR212">
        <v>382.36990907880192</v>
      </c>
      <c r="AS212">
        <v>189.29610379712938</v>
      </c>
      <c r="AT212">
        <v>8.2577817748760884E-2</v>
      </c>
      <c r="AU212" t="b">
        <v>1</v>
      </c>
    </row>
    <row r="213" spans="1:47" x14ac:dyDescent="0.25">
      <c r="A213">
        <v>19.900000000000013</v>
      </c>
      <c r="B213">
        <v>0.1</v>
      </c>
      <c r="C213">
        <v>-66.28111422405668</v>
      </c>
      <c r="D213">
        <v>1101.6252866437135</v>
      </c>
      <c r="E213">
        <v>-2821.150137829889</v>
      </c>
      <c r="F213">
        <v>100.00138378433209</v>
      </c>
      <c r="G213">
        <v>100</v>
      </c>
      <c r="H213">
        <v>-1.2075796366252858E-4</v>
      </c>
      <c r="I213">
        <v>-6.9189216604570447E-3</v>
      </c>
      <c r="J213">
        <v>0</v>
      </c>
      <c r="K213">
        <v>0</v>
      </c>
      <c r="L213">
        <v>0</v>
      </c>
      <c r="M213">
        <v>-6.9189216604570447E-3</v>
      </c>
      <c r="N213">
        <v>-62.453678520722654</v>
      </c>
      <c r="O213">
        <v>1092.3867404411531</v>
      </c>
      <c r="P213">
        <v>-24.179321487382381</v>
      </c>
      <c r="Q213">
        <v>1000.0012784155487</v>
      </c>
      <c r="R213">
        <v>-0.92385462025604415</v>
      </c>
      <c r="S213">
        <v>0.38274357033340273</v>
      </c>
      <c r="T213" t="str">
        <v/>
      </c>
      <c r="U213">
        <v>3</v>
      </c>
      <c r="V213">
        <v>-500</v>
      </c>
      <c r="W213">
        <v>1000</v>
      </c>
      <c r="X213">
        <v>0</v>
      </c>
      <c r="Y213">
        <v>1000</v>
      </c>
      <c r="Z213">
        <v>-500</v>
      </c>
      <c r="AA213">
        <v>0</v>
      </c>
      <c r="AB213">
        <v>375.09264295855468</v>
      </c>
      <c r="AC213">
        <v>1184.7734808823061</v>
      </c>
      <c r="AD213">
        <v>-461.9273101280221</v>
      </c>
      <c r="AE213">
        <v>100.00138378433209</v>
      </c>
      <c r="AF213">
        <v>0.95164241629434687</v>
      </c>
      <c r="AG213" t="b">
        <v>1</v>
      </c>
      <c r="AH213">
        <v>100.00138378433209</v>
      </c>
      <c r="AI213">
        <v>4</v>
      </c>
      <c r="AJ213">
        <v>0</v>
      </c>
      <c r="AK213">
        <v>1000</v>
      </c>
      <c r="AL213">
        <v>0</v>
      </c>
      <c r="AM213">
        <v>1</v>
      </c>
      <c r="AN213">
        <v>0</v>
      </c>
      <c r="AO213">
        <v>999</v>
      </c>
      <c r="AP213">
        <v>-124.90735704144531</v>
      </c>
      <c r="AQ213">
        <v>1184.7734808823061</v>
      </c>
      <c r="AR213">
        <v>382.36082676306933</v>
      </c>
      <c r="AS213">
        <v>163.17368431903404</v>
      </c>
      <c r="AT213">
        <v>5.8420442163351106E-2</v>
      </c>
      <c r="AU213" t="b">
        <v>1</v>
      </c>
    </row>
    <row r="214" spans="1:47" x14ac:dyDescent="0.25">
      <c r="A214">
        <v>20.000000000000014</v>
      </c>
      <c r="B214">
        <v>0.1</v>
      </c>
      <c r="C214">
        <v>-56.281114238111194</v>
      </c>
      <c r="D214">
        <v>1101.6258168232032</v>
      </c>
      <c r="E214">
        <v>-2821.1501499056853</v>
      </c>
      <c r="F214">
        <v>100.00140734617744</v>
      </c>
      <c r="G214">
        <v>100</v>
      </c>
      <c r="H214">
        <v>-1.2281412255880778E-4</v>
      </c>
      <c r="I214">
        <v>-7.0367308872221201E-3</v>
      </c>
      <c r="J214">
        <v>0</v>
      </c>
      <c r="K214">
        <v>0</v>
      </c>
      <c r="L214">
        <v>0</v>
      </c>
      <c r="M214">
        <v>-7.0367308872221201E-3</v>
      </c>
      <c r="N214">
        <v>-52.453790097858729</v>
      </c>
      <c r="O214">
        <v>1092.3872244019822</v>
      </c>
      <c r="P214">
        <v>-14.180548695334103</v>
      </c>
      <c r="Q214">
        <v>1000.0013001897729</v>
      </c>
      <c r="R214">
        <v>-0.92385924212209269</v>
      </c>
      <c r="S214">
        <v>0.38273241402524627</v>
      </c>
      <c r="T214" t="str">
        <v/>
      </c>
      <c r="U214">
        <v>3</v>
      </c>
      <c r="V214">
        <v>-500</v>
      </c>
      <c r="W214">
        <v>1000</v>
      </c>
      <c r="X214">
        <v>0</v>
      </c>
      <c r="Y214">
        <v>1000</v>
      </c>
      <c r="Z214">
        <v>-500</v>
      </c>
      <c r="AA214">
        <v>0</v>
      </c>
      <c r="AB214">
        <v>395.09241980428254</v>
      </c>
      <c r="AC214">
        <v>1184.7744488039643</v>
      </c>
      <c r="AD214">
        <v>-461.92962106104636</v>
      </c>
      <c r="AE214">
        <v>100.00140734617744</v>
      </c>
      <c r="AF214">
        <v>0.97163997988333162</v>
      </c>
      <c r="AG214" t="b">
        <v>1</v>
      </c>
      <c r="AH214">
        <v>100.00140734617744</v>
      </c>
      <c r="AI214">
        <v>4</v>
      </c>
      <c r="AJ214">
        <v>0</v>
      </c>
      <c r="AK214">
        <v>1000</v>
      </c>
      <c r="AL214">
        <v>0</v>
      </c>
      <c r="AM214">
        <v>1</v>
      </c>
      <c r="AN214">
        <v>0</v>
      </c>
      <c r="AO214">
        <v>999</v>
      </c>
      <c r="AP214">
        <v>-104.90758019571746</v>
      </c>
      <c r="AQ214">
        <v>1184.7744488039643</v>
      </c>
      <c r="AR214">
        <v>382.349681611221</v>
      </c>
      <c r="AS214">
        <v>137.05081716543273</v>
      </c>
      <c r="AT214">
        <v>3.4262702379067096E-2</v>
      </c>
      <c r="AU214" t="b">
        <v>1</v>
      </c>
    </row>
    <row r="215" spans="1:47" x14ac:dyDescent="0.25">
      <c r="A215">
        <v>20.100000000000016</v>
      </c>
      <c r="B215">
        <v>0.1</v>
      </c>
      <c r="C215">
        <v>-46.281114246408521</v>
      </c>
      <c r="D215">
        <v>1101.6262241885711</v>
      </c>
      <c r="E215">
        <v>-2821.1501621870975</v>
      </c>
      <c r="F215">
        <v>100.00128861875837</v>
      </c>
      <c r="G215">
        <v>100</v>
      </c>
      <c r="H215">
        <v>-1.1245320068224449E-4</v>
      </c>
      <c r="I215">
        <v>-6.4430937918302789E-3</v>
      </c>
      <c r="J215">
        <v>0</v>
      </c>
      <c r="K215">
        <v>0</v>
      </c>
      <c r="L215">
        <v>0</v>
      </c>
      <c r="M215">
        <v>-6.4430937918302789E-3</v>
      </c>
      <c r="N215">
        <v>-42.453903569406208</v>
      </c>
      <c r="O215">
        <v>1092.3875847631016</v>
      </c>
      <c r="P215">
        <v>-4.1817967993830862</v>
      </c>
      <c r="Q215">
        <v>1000.0011905084066</v>
      </c>
      <c r="R215">
        <v>-0.92386394254695048</v>
      </c>
      <c r="S215">
        <v>0.38272106770023123</v>
      </c>
      <c r="T215" t="str">
        <v/>
      </c>
      <c r="U215">
        <v>3</v>
      </c>
      <c r="V215">
        <v>-500</v>
      </c>
      <c r="W215">
        <v>1000</v>
      </c>
      <c r="X215">
        <v>0</v>
      </c>
      <c r="Y215">
        <v>1000</v>
      </c>
      <c r="Z215">
        <v>-500</v>
      </c>
      <c r="AA215">
        <v>0</v>
      </c>
      <c r="AB215">
        <v>415.09219286118758</v>
      </c>
      <c r="AC215">
        <v>1184.7751695262032</v>
      </c>
      <c r="AD215">
        <v>-461.93197127347526</v>
      </c>
      <c r="AE215">
        <v>100.00128861875837</v>
      </c>
      <c r="AF215">
        <v>0.99163739276432805</v>
      </c>
      <c r="AG215" t="b">
        <v>1</v>
      </c>
      <c r="AH215">
        <v>100.00128861875837</v>
      </c>
      <c r="AI215">
        <v>4</v>
      </c>
      <c r="AJ215">
        <v>0</v>
      </c>
      <c r="AK215">
        <v>1000</v>
      </c>
      <c r="AL215">
        <v>0</v>
      </c>
      <c r="AM215">
        <v>1</v>
      </c>
      <c r="AN215">
        <v>0</v>
      </c>
      <c r="AO215">
        <v>999</v>
      </c>
      <c r="AP215">
        <v>-84.907807138812416</v>
      </c>
      <c r="AQ215">
        <v>1184.7751695262032</v>
      </c>
      <c r="AR215">
        <v>382.338346632531</v>
      </c>
      <c r="AS215">
        <v>110.92648707454616</v>
      </c>
      <c r="AT215">
        <v>1.0103500418890866E-2</v>
      </c>
      <c r="AU215" t="b">
        <v>1</v>
      </c>
    </row>
    <row r="216" spans="1:47" x14ac:dyDescent="0.25">
      <c r="A216">
        <v>20.200000000000017</v>
      </c>
      <c r="B216">
        <v>0.1</v>
      </c>
      <c r="C216">
        <v>-36.281114250757184</v>
      </c>
      <c r="D216">
        <v>1101.6265191007401</v>
      </c>
      <c r="E216">
        <v>-2821.1501734324174</v>
      </c>
      <c r="F216">
        <v>25000</v>
      </c>
      <c r="G216">
        <v>100</v>
      </c>
      <c r="H216">
        <v>-2172.9349187329403</v>
      </c>
      <c r="I216">
        <v>-124500</v>
      </c>
      <c r="J216">
        <v>0</v>
      </c>
      <c r="K216">
        <v>0</v>
      </c>
      <c r="L216">
        <v>0</v>
      </c>
      <c r="M216">
        <v>-124500</v>
      </c>
      <c r="N216">
        <v>-32.45400746545274</v>
      </c>
      <c r="O216">
        <v>1092.3878366376464</v>
      </c>
      <c r="P216">
        <v>5.8170603875917166</v>
      </c>
      <c r="Q216">
        <v>1000.0010120067085</v>
      </c>
      <c r="R216">
        <v>-0.92386824630937869</v>
      </c>
      <c r="S216">
        <v>0.38271067853044455</v>
      </c>
      <c r="T216" t="str">
        <v/>
      </c>
      <c r="U216">
        <v>3</v>
      </c>
      <c r="V216">
        <v>-500</v>
      </c>
      <c r="W216">
        <v>1000</v>
      </c>
      <c r="X216">
        <v>0</v>
      </c>
      <c r="Y216">
        <v>1000</v>
      </c>
      <c r="Z216">
        <v>-500</v>
      </c>
      <c r="AA216">
        <v>0</v>
      </c>
      <c r="AB216">
        <v>435.09198506909451</v>
      </c>
      <c r="AC216">
        <v>1184.7756732752928</v>
      </c>
      <c r="AD216">
        <v>-461.93412315468936</v>
      </c>
      <c r="AE216">
        <v>100.00109540154946</v>
      </c>
      <c r="AF216">
        <v>1.0116349592189238</v>
      </c>
      <c r="AG216" t="b">
        <v>0</v>
      </c>
      <c r="AH216">
        <v>25000</v>
      </c>
      <c r="AI216">
        <v>4</v>
      </c>
      <c r="AJ216">
        <v>0</v>
      </c>
      <c r="AK216">
        <v>1000</v>
      </c>
      <c r="AL216">
        <v>0</v>
      </c>
      <c r="AM216">
        <v>1</v>
      </c>
      <c r="AN216">
        <v>0</v>
      </c>
      <c r="AO216">
        <v>999</v>
      </c>
      <c r="AP216">
        <v>-64.90801493090548</v>
      </c>
      <c r="AQ216">
        <v>1184.7756732752928</v>
      </c>
      <c r="AR216">
        <v>382.32796785191408</v>
      </c>
      <c r="AS216">
        <v>84.800370844293113</v>
      </c>
      <c r="AT216">
        <v>-1.4057524263607958E-2</v>
      </c>
      <c r="AU216" t="b">
        <v>0</v>
      </c>
    </row>
    <row r="217" spans="1:47" x14ac:dyDescent="0.25">
      <c r="A217">
        <v>20.300000000000018</v>
      </c>
      <c r="B217">
        <v>0.1</v>
      </c>
      <c r="C217">
        <v>-44.941515740920202</v>
      </c>
      <c r="D217">
        <v>1106.6262636971353</v>
      </c>
      <c r="E217">
        <v>-3038.4436653057114</v>
      </c>
      <c r="F217">
        <v>25000</v>
      </c>
      <c r="G217">
        <v>100</v>
      </c>
      <c r="H217">
        <v>-2172.9349187329403</v>
      </c>
      <c r="I217">
        <v>-124500</v>
      </c>
      <c r="J217">
        <v>0</v>
      </c>
      <c r="K217">
        <v>0</v>
      </c>
      <c r="L217">
        <v>0</v>
      </c>
      <c r="M217">
        <v>-124500</v>
      </c>
      <c r="N217">
        <v>-43.6365462084432</v>
      </c>
      <c r="O217">
        <v>1116.5407508003245</v>
      </c>
      <c r="P217">
        <v>-30.586850883673158</v>
      </c>
      <c r="Q217">
        <v>1215.6856218322175</v>
      </c>
      <c r="R217">
        <v>0.99144871031892901</v>
      </c>
      <c r="S217">
        <v>0.13049695324770041</v>
      </c>
      <c r="T217" t="str">
        <v/>
      </c>
      <c r="U217">
        <v>3</v>
      </c>
      <c r="V217">
        <v>-500</v>
      </c>
      <c r="W217">
        <v>1000</v>
      </c>
      <c r="X217">
        <v>0</v>
      </c>
      <c r="Y217">
        <v>1000</v>
      </c>
      <c r="Z217">
        <v>-500</v>
      </c>
      <c r="AA217">
        <v>0</v>
      </c>
      <c r="AB217">
        <v>412.72690758311359</v>
      </c>
      <c r="AC217">
        <v>1233.0815016006491</v>
      </c>
      <c r="AD217">
        <v>495.72435515946449</v>
      </c>
      <c r="AE217">
        <v>-117.54592001318528</v>
      </c>
      <c r="AF217">
        <v>0.88204813872627641</v>
      </c>
      <c r="AG217" t="b">
        <v>0</v>
      </c>
      <c r="AH217">
        <v>25000</v>
      </c>
      <c r="AI217">
        <v>4</v>
      </c>
      <c r="AJ217">
        <v>0</v>
      </c>
      <c r="AK217">
        <v>1000</v>
      </c>
      <c r="AL217">
        <v>0</v>
      </c>
      <c r="AM217">
        <v>1</v>
      </c>
      <c r="AN217">
        <v>0</v>
      </c>
      <c r="AO217">
        <v>999</v>
      </c>
      <c r="AP217">
        <v>-87.273092416886399</v>
      </c>
      <c r="AQ217">
        <v>1233.0815016006491</v>
      </c>
      <c r="AR217">
        <v>130.36645629445272</v>
      </c>
      <c r="AS217">
        <v>334.38747129686072</v>
      </c>
      <c r="AT217">
        <v>-0.44851729525966461</v>
      </c>
      <c r="AU217" t="b">
        <v>0</v>
      </c>
    </row>
    <row r="218" spans="1:47" x14ac:dyDescent="0.25">
      <c r="A218">
        <v>20.40000000000002</v>
      </c>
      <c r="B218">
        <v>0.1</v>
      </c>
      <c r="C218">
        <v>-39.941260341663593</v>
      </c>
      <c r="D218">
        <v>1097.9661571191418</v>
      </c>
      <c r="E218">
        <v>-3255.7371571790054</v>
      </c>
      <c r="F218">
        <v>113.48084431071614</v>
      </c>
      <c r="G218">
        <v>100</v>
      </c>
      <c r="H218">
        <v>-1.1764255958537104</v>
      </c>
      <c r="I218">
        <v>-67.404221553580683</v>
      </c>
      <c r="J218">
        <v>0</v>
      </c>
      <c r="K218">
        <v>0</v>
      </c>
      <c r="L218">
        <v>0</v>
      </c>
      <c r="M218">
        <v>-67.404221553580683</v>
      </c>
      <c r="N218">
        <v>-46.028640659547669</v>
      </c>
      <c r="O218">
        <v>1090.032444188525</v>
      </c>
      <c r="P218">
        <v>-106.90244383838845</v>
      </c>
      <c r="Q218">
        <v>1010.6953148823561</v>
      </c>
      <c r="R218">
        <v>-0.7933712930616883</v>
      </c>
      <c r="S218">
        <v>-0.6087380317884078</v>
      </c>
      <c r="T218" t="str">
        <v/>
      </c>
      <c r="U218">
        <v>3</v>
      </c>
      <c r="V218">
        <v>-500</v>
      </c>
      <c r="W218">
        <v>1000</v>
      </c>
      <c r="X218">
        <v>0</v>
      </c>
      <c r="Y218">
        <v>1000</v>
      </c>
      <c r="Z218">
        <v>-500</v>
      </c>
      <c r="AA218">
        <v>0</v>
      </c>
      <c r="AB218">
        <v>407.94271868090465</v>
      </c>
      <c r="AC218">
        <v>1180.06488837705</v>
      </c>
      <c r="AD218">
        <v>-396.68564653084417</v>
      </c>
      <c r="AE218">
        <v>113.48084431071614</v>
      </c>
      <c r="AF218">
        <v>0.76978250705812035</v>
      </c>
      <c r="AG218" t="b">
        <v>1</v>
      </c>
      <c r="AH218">
        <v>113.48084431071614</v>
      </c>
      <c r="AI218">
        <v>4</v>
      </c>
      <c r="AJ218">
        <v>0</v>
      </c>
      <c r="AK218">
        <v>1000</v>
      </c>
      <c r="AL218">
        <v>0</v>
      </c>
      <c r="AM218">
        <v>1</v>
      </c>
      <c r="AN218">
        <v>0</v>
      </c>
      <c r="AO218">
        <v>999</v>
      </c>
      <c r="AP218">
        <v>-92.057281319095338</v>
      </c>
      <c r="AQ218">
        <v>1180.06488837705</v>
      </c>
      <c r="AR218">
        <v>-608.1292937566194</v>
      </c>
      <c r="AS218">
        <v>-75.613216615233327</v>
      </c>
      <c r="AT218">
        <v>-0.15017197159870491</v>
      </c>
      <c r="AU218" t="b">
        <v>0</v>
      </c>
    </row>
    <row r="219" spans="1:47" x14ac:dyDescent="0.25">
      <c r="A219">
        <v>20.500000000000021</v>
      </c>
      <c r="B219">
        <v>0.1</v>
      </c>
      <c r="C219">
        <v>-35.992014994824068</v>
      </c>
      <c r="D219">
        <v>1088.7790214833483</v>
      </c>
      <c r="E219">
        <v>-3255.8547997385908</v>
      </c>
      <c r="F219">
        <v>113.91704298133064</v>
      </c>
      <c r="G219">
        <v>100</v>
      </c>
      <c r="H219">
        <v>-1.2144911108289369</v>
      </c>
      <c r="I219">
        <v>-69.585214906653192</v>
      </c>
      <c r="J219">
        <v>0</v>
      </c>
      <c r="K219">
        <v>0</v>
      </c>
      <c r="L219">
        <v>0</v>
      </c>
      <c r="M219">
        <v>-69.585214906653192</v>
      </c>
      <c r="N219">
        <v>-42.968510806557575</v>
      </c>
      <c r="O219">
        <v>1081.6146299398281</v>
      </c>
      <c r="P219">
        <v>-112.73346892389264</v>
      </c>
      <c r="Q219">
        <v>1009.9707145046253</v>
      </c>
      <c r="R219">
        <v>-0.71643915435202754</v>
      </c>
      <c r="S219">
        <v>-0.69764958117335074</v>
      </c>
      <c r="T219" t="str">
        <v/>
      </c>
      <c r="U219">
        <v>3</v>
      </c>
      <c r="V219">
        <v>-500</v>
      </c>
      <c r="W219">
        <v>1000</v>
      </c>
      <c r="X219">
        <v>0</v>
      </c>
      <c r="Y219">
        <v>1000</v>
      </c>
      <c r="Z219">
        <v>-500</v>
      </c>
      <c r="AA219">
        <v>0</v>
      </c>
      <c r="AB219">
        <v>414.06297838688488</v>
      </c>
      <c r="AC219">
        <v>1163.2292598796562</v>
      </c>
      <c r="AD219">
        <v>-358.21957717601379</v>
      </c>
      <c r="AE219">
        <v>113.91704298133064</v>
      </c>
      <c r="AF219">
        <v>0.75511462373802096</v>
      </c>
      <c r="AG219" t="b">
        <v>1</v>
      </c>
      <c r="AH219">
        <v>113.91704298133064</v>
      </c>
      <c r="AI219">
        <v>4</v>
      </c>
      <c r="AJ219">
        <v>0</v>
      </c>
      <c r="AK219">
        <v>1000</v>
      </c>
      <c r="AL219">
        <v>0</v>
      </c>
      <c r="AM219">
        <v>1</v>
      </c>
      <c r="AN219">
        <v>0</v>
      </c>
      <c r="AO219">
        <v>999</v>
      </c>
      <c r="AP219">
        <v>-85.937021613115149</v>
      </c>
      <c r="AQ219">
        <v>1163.2292598796562</v>
      </c>
      <c r="AR219">
        <v>-696.9519315921774</v>
      </c>
      <c r="AS219">
        <v>-61.590391460266403</v>
      </c>
      <c r="AT219">
        <v>-0.1258662641780097</v>
      </c>
      <c r="AU219" t="b">
        <v>0</v>
      </c>
    </row>
    <row r="220" spans="1:47" x14ac:dyDescent="0.25">
      <c r="A220">
        <v>20.600000000000023</v>
      </c>
      <c r="B220">
        <v>0.1</v>
      </c>
      <c r="C220">
        <v>-33.184887892667824</v>
      </c>
      <c r="D220">
        <v>1079.1811030927627</v>
      </c>
      <c r="E220">
        <v>-3255.9762488496735</v>
      </c>
      <c r="F220">
        <v>116.35796655548563</v>
      </c>
      <c r="G220">
        <v>100</v>
      </c>
      <c r="H220">
        <v>-1.4275018766216998</v>
      </c>
      <c r="I220">
        <v>-81.78983277742816</v>
      </c>
      <c r="J220">
        <v>0</v>
      </c>
      <c r="K220">
        <v>0</v>
      </c>
      <c r="L220">
        <v>0</v>
      </c>
      <c r="M220">
        <v>-81.78983277742816</v>
      </c>
      <c r="N220">
        <v>-40.977967213904591</v>
      </c>
      <c r="O220">
        <v>1072.9146914646526</v>
      </c>
      <c r="P220">
        <v>-118.90876042627231</v>
      </c>
      <c r="Q220">
        <v>1010.2505751835529</v>
      </c>
      <c r="R220">
        <v>-0.62664116281099691</v>
      </c>
      <c r="S220">
        <v>-0.77930793212367711</v>
      </c>
      <c r="T220" t="str">
        <v/>
      </c>
      <c r="U220">
        <v>3</v>
      </c>
      <c r="V220">
        <v>-500</v>
      </c>
      <c r="W220">
        <v>1000</v>
      </c>
      <c r="X220">
        <v>0</v>
      </c>
      <c r="Y220">
        <v>1000</v>
      </c>
      <c r="Z220">
        <v>-500</v>
      </c>
      <c r="AA220">
        <v>0</v>
      </c>
      <c r="AB220">
        <v>418.04406557219079</v>
      </c>
      <c r="AC220">
        <v>1145.8293829293052</v>
      </c>
      <c r="AD220">
        <v>-313.32058140549844</v>
      </c>
      <c r="AE220">
        <v>116.35796655548563</v>
      </c>
      <c r="AF220">
        <v>0.73668669296724787</v>
      </c>
      <c r="AG220" t="b">
        <v>1</v>
      </c>
      <c r="AH220">
        <v>116.35796655548563</v>
      </c>
      <c r="AI220">
        <v>4</v>
      </c>
      <c r="AJ220">
        <v>0</v>
      </c>
      <c r="AK220">
        <v>1000</v>
      </c>
      <c r="AL220">
        <v>0</v>
      </c>
      <c r="AM220">
        <v>1</v>
      </c>
      <c r="AN220">
        <v>0</v>
      </c>
      <c r="AO220">
        <v>999</v>
      </c>
      <c r="AP220">
        <v>-81.955934427809183</v>
      </c>
      <c r="AQ220">
        <v>1145.8293829293052</v>
      </c>
      <c r="AR220">
        <v>-778.52862419155338</v>
      </c>
      <c r="AS220">
        <v>-52.582510102567959</v>
      </c>
      <c r="AT220">
        <v>-0.10597102776661339</v>
      </c>
      <c r="AU220" t="b">
        <v>0</v>
      </c>
    </row>
    <row r="221" spans="1:47" x14ac:dyDescent="0.25">
      <c r="A221">
        <v>20.700000000000024</v>
      </c>
      <c r="B221">
        <v>0.1</v>
      </c>
      <c r="C221">
        <v>-31.771769679648024</v>
      </c>
      <c r="D221">
        <v>1069.2814517395063</v>
      </c>
      <c r="E221">
        <v>-3256.1189990373359</v>
      </c>
      <c r="F221">
        <v>126.00642997207744</v>
      </c>
      <c r="G221">
        <v>100</v>
      </c>
      <c r="H221">
        <v>-2.2694891485104418</v>
      </c>
      <c r="I221">
        <v>-130.03214986038722</v>
      </c>
      <c r="J221">
        <v>0</v>
      </c>
      <c r="K221">
        <v>0</v>
      </c>
      <c r="L221">
        <v>0</v>
      </c>
      <c r="M221">
        <v>-130.03214986038722</v>
      </c>
      <c r="N221">
        <v>-40.377078015822732</v>
      </c>
      <c r="O221">
        <v>1064.1874681863956</v>
      </c>
      <c r="P221">
        <v>-126.43016137756977</v>
      </c>
      <c r="Q221">
        <v>1013.2476326552887</v>
      </c>
      <c r="R221">
        <v>-0.50939835531106836</v>
      </c>
      <c r="S221">
        <v>-0.8605308336174704</v>
      </c>
      <c r="T221" t="str">
        <v/>
      </c>
      <c r="U221">
        <v>3</v>
      </c>
      <c r="V221">
        <v>-500</v>
      </c>
      <c r="W221">
        <v>1000</v>
      </c>
      <c r="X221">
        <v>0</v>
      </c>
      <c r="Y221">
        <v>1000</v>
      </c>
      <c r="Z221">
        <v>-500</v>
      </c>
      <c r="AA221">
        <v>0</v>
      </c>
      <c r="AB221">
        <v>419.24584396835451</v>
      </c>
      <c r="AC221">
        <v>1128.3749363727911</v>
      </c>
      <c r="AD221">
        <v>-254.69917765553419</v>
      </c>
      <c r="AE221">
        <v>126.00642997207744</v>
      </c>
      <c r="AF221">
        <v>0.70238100751828814</v>
      </c>
      <c r="AG221" t="b">
        <v>1</v>
      </c>
      <c r="AH221">
        <v>126.00642997207744</v>
      </c>
      <c r="AI221">
        <v>4</v>
      </c>
      <c r="AJ221">
        <v>0</v>
      </c>
      <c r="AK221">
        <v>1000</v>
      </c>
      <c r="AL221">
        <v>0</v>
      </c>
      <c r="AM221">
        <v>1</v>
      </c>
      <c r="AN221">
        <v>0</v>
      </c>
      <c r="AO221">
        <v>999</v>
      </c>
      <c r="AP221">
        <v>-80.754156031645465</v>
      </c>
      <c r="AQ221">
        <v>1128.3749363727911</v>
      </c>
      <c r="AR221">
        <v>-859.67030278385289</v>
      </c>
      <c r="AS221">
        <v>-46.921128724797626</v>
      </c>
      <c r="AT221">
        <v>-8.8177191179325737E-2</v>
      </c>
      <c r="AU221" t="b">
        <v>0</v>
      </c>
    </row>
    <row r="222" spans="1:47" x14ac:dyDescent="0.25">
      <c r="A222">
        <v>20.800000000000026</v>
      </c>
      <c r="B222">
        <v>0.1</v>
      </c>
      <c r="C222">
        <v>-32.622365693110225</v>
      </c>
      <c r="D222">
        <v>1059.3176930901873</v>
      </c>
      <c r="E222">
        <v>-3256.3459479521871</v>
      </c>
      <c r="F222">
        <v>185.95440446250564</v>
      </c>
      <c r="G222">
        <v>100</v>
      </c>
      <c r="H222">
        <v>-7.5009368223081507</v>
      </c>
      <c r="I222">
        <v>-429.77202231252818</v>
      </c>
      <c r="J222">
        <v>0</v>
      </c>
      <c r="K222">
        <v>0</v>
      </c>
      <c r="L222">
        <v>0</v>
      </c>
      <c r="M222">
        <v>-429.77202231252818</v>
      </c>
      <c r="N222">
        <v>-42.15318737808596</v>
      </c>
      <c r="O222">
        <v>1056.2905759782809</v>
      </c>
      <c r="P222">
        <v>-137.46140422784327</v>
      </c>
      <c r="Q222">
        <v>1026.0194048592173</v>
      </c>
      <c r="R222">
        <v>-0.302711711190637</v>
      </c>
      <c r="S222">
        <v>-0.9530821684975731</v>
      </c>
      <c r="T222" t="str">
        <v/>
      </c>
      <c r="U222">
        <v>3</v>
      </c>
      <c r="V222">
        <v>-500</v>
      </c>
      <c r="W222">
        <v>1000</v>
      </c>
      <c r="X222">
        <v>0</v>
      </c>
      <c r="Y222">
        <v>1000</v>
      </c>
      <c r="Z222">
        <v>-500</v>
      </c>
      <c r="AA222">
        <v>0</v>
      </c>
      <c r="AB222">
        <v>415.69362524382808</v>
      </c>
      <c r="AC222">
        <v>1112.5811519565618</v>
      </c>
      <c r="AD222">
        <v>-151.3558555953185</v>
      </c>
      <c r="AE222">
        <v>185.95440446250564</v>
      </c>
      <c r="AF222">
        <v>0.56123397115022888</v>
      </c>
      <c r="AG222" t="b">
        <v>1</v>
      </c>
      <c r="AH222">
        <v>185.95440446250564</v>
      </c>
      <c r="AI222">
        <v>4</v>
      </c>
      <c r="AJ222">
        <v>0</v>
      </c>
      <c r="AK222">
        <v>1000</v>
      </c>
      <c r="AL222">
        <v>0</v>
      </c>
      <c r="AM222">
        <v>1</v>
      </c>
      <c r="AN222">
        <v>0</v>
      </c>
      <c r="AO222">
        <v>999</v>
      </c>
      <c r="AP222">
        <v>-84.30637475617192</v>
      </c>
      <c r="AQ222">
        <v>1112.5811519565618</v>
      </c>
      <c r="AR222">
        <v>-952.12908632907556</v>
      </c>
      <c r="AS222">
        <v>-44.228282483278143</v>
      </c>
      <c r="AT222">
        <v>-6.9748743795612522E-2</v>
      </c>
      <c r="AU222" t="b">
        <v>0</v>
      </c>
    </row>
    <row r="223" spans="1:47" x14ac:dyDescent="0.25">
      <c r="A223">
        <v>20.900000000000027</v>
      </c>
      <c r="B223">
        <v>0.1</v>
      </c>
      <c r="C223">
        <v>-40.037050047789783</v>
      </c>
      <c r="D223">
        <v>1052.6078156009576</v>
      </c>
      <c r="E223">
        <v>-3257.0960416344178</v>
      </c>
      <c r="F223">
        <v>25000</v>
      </c>
      <c r="G223">
        <v>100</v>
      </c>
      <c r="H223">
        <v>-2172.9349187329403</v>
      </c>
      <c r="I223">
        <v>-124500</v>
      </c>
      <c r="J223">
        <v>0</v>
      </c>
      <c r="K223">
        <v>0</v>
      </c>
      <c r="L223">
        <v>0</v>
      </c>
      <c r="M223">
        <v>-124500</v>
      </c>
      <c r="N223">
        <v>-49.073645384500182</v>
      </c>
      <c r="O223">
        <v>1056.8903317679492</v>
      </c>
      <c r="P223">
        <v>-139.43959875160417</v>
      </c>
      <c r="Q223">
        <v>1099.7154934378646</v>
      </c>
      <c r="R223">
        <v>0.4282516166991534</v>
      </c>
      <c r="S223">
        <v>-0.90365953367103991</v>
      </c>
      <c r="T223" t="str">
        <v/>
      </c>
      <c r="U223">
        <v>3</v>
      </c>
      <c r="V223">
        <v>-500</v>
      </c>
      <c r="W223">
        <v>1000</v>
      </c>
      <c r="X223">
        <v>0</v>
      </c>
      <c r="Y223">
        <v>1000</v>
      </c>
      <c r="Z223">
        <v>-500</v>
      </c>
      <c r="AA223">
        <v>0</v>
      </c>
      <c r="AB223">
        <v>401.85270923099961</v>
      </c>
      <c r="AC223">
        <v>1113.7806635358984</v>
      </c>
      <c r="AD223">
        <v>214.12580834957672</v>
      </c>
      <c r="AE223">
        <v>-132.84323876333343</v>
      </c>
      <c r="AF223">
        <v>1.1419428276154486</v>
      </c>
      <c r="AG223" t="b">
        <v>0</v>
      </c>
      <c r="AH223">
        <v>25000</v>
      </c>
      <c r="AI223">
        <v>4</v>
      </c>
      <c r="AJ223">
        <v>0</v>
      </c>
      <c r="AK223">
        <v>1000</v>
      </c>
      <c r="AL223">
        <v>0</v>
      </c>
      <c r="AM223">
        <v>1</v>
      </c>
      <c r="AN223">
        <v>0</v>
      </c>
      <c r="AO223">
        <v>999</v>
      </c>
      <c r="AP223">
        <v>-98.147290769000364</v>
      </c>
      <c r="AQ223">
        <v>1113.7806635358984</v>
      </c>
      <c r="AR223">
        <v>-902.75587413736889</v>
      </c>
      <c r="AS223">
        <v>-54.305458589190856</v>
      </c>
      <c r="AT223">
        <v>-3.3667598930469743E-2</v>
      </c>
      <c r="AU223" t="b">
        <v>0</v>
      </c>
    </row>
    <row r="224" spans="1:47" x14ac:dyDescent="0.25">
      <c r="A224">
        <v>21.000000000000028</v>
      </c>
      <c r="B224">
        <v>0.1</v>
      </c>
      <c r="C224">
        <v>-30.260806290979552</v>
      </c>
      <c r="D224">
        <v>1054.7113977855724</v>
      </c>
      <c r="E224">
        <v>-3474.3895335077118</v>
      </c>
      <c r="F224">
        <v>25000</v>
      </c>
      <c r="G224">
        <v>100</v>
      </c>
      <c r="H224">
        <v>-2172.9349187329403</v>
      </c>
      <c r="I224">
        <v>-124500</v>
      </c>
      <c r="J224">
        <v>0</v>
      </c>
      <c r="K224">
        <v>0</v>
      </c>
      <c r="L224">
        <v>0</v>
      </c>
      <c r="M224">
        <v>-124500</v>
      </c>
      <c r="N224">
        <v>-24.576143249163753</v>
      </c>
      <c r="O224">
        <v>1046.4843323244852</v>
      </c>
      <c r="P224">
        <v>32.270487168994237</v>
      </c>
      <c r="Q224">
        <v>964.21367771361338</v>
      </c>
      <c r="R224">
        <v>-0.82270654610871763</v>
      </c>
      <c r="S224">
        <v>0.56846630418157984</v>
      </c>
      <c r="T224" t="str">
        <v/>
      </c>
      <c r="U224">
        <v>3</v>
      </c>
      <c r="V224">
        <v>-500</v>
      </c>
      <c r="W224">
        <v>1000</v>
      </c>
      <c r="X224">
        <v>0</v>
      </c>
      <c r="Y224">
        <v>1000</v>
      </c>
      <c r="Z224">
        <v>-500</v>
      </c>
      <c r="AA224">
        <v>0</v>
      </c>
      <c r="AB224">
        <v>450.8477135016725</v>
      </c>
      <c r="AC224">
        <v>1092.9686646489704</v>
      </c>
      <c r="AD224">
        <v>-411.35327305435879</v>
      </c>
      <c r="AE224">
        <v>56.501716856817694</v>
      </c>
      <c r="AF224">
        <v>1.0150863578246909</v>
      </c>
      <c r="AG224" t="b">
        <v>0</v>
      </c>
      <c r="AH224">
        <v>25000</v>
      </c>
      <c r="AI224">
        <v>4</v>
      </c>
      <c r="AJ224">
        <v>0</v>
      </c>
      <c r="AK224">
        <v>1000</v>
      </c>
      <c r="AL224">
        <v>0</v>
      </c>
      <c r="AM224">
        <v>1</v>
      </c>
      <c r="AN224">
        <v>0</v>
      </c>
      <c r="AO224">
        <v>999</v>
      </c>
      <c r="AP224">
        <v>-49.152286498327506</v>
      </c>
      <c r="AQ224">
        <v>1092.9686646489704</v>
      </c>
      <c r="AR224">
        <v>567.89783787739827</v>
      </c>
      <c r="AS224">
        <v>43.232365873551629</v>
      </c>
      <c r="AT224">
        <v>-1.0927709626173317E-2</v>
      </c>
      <c r="AU224" t="b">
        <v>0</v>
      </c>
    </row>
    <row r="225" spans="1:47" x14ac:dyDescent="0.25">
      <c r="A225">
        <v>21.10000000000003</v>
      </c>
      <c r="B225">
        <v>0.1</v>
      </c>
      <c r="C225">
        <v>-39.77907283027379</v>
      </c>
      <c r="D225">
        <v>1057.7777640531524</v>
      </c>
      <c r="E225">
        <v>-3691.6830253810058</v>
      </c>
      <c r="F225">
        <v>25000</v>
      </c>
      <c r="G225">
        <v>100</v>
      </c>
      <c r="H225">
        <v>-2172.9349187329403</v>
      </c>
      <c r="I225">
        <v>-124500</v>
      </c>
      <c r="J225">
        <v>0</v>
      </c>
      <c r="K225">
        <v>0</v>
      </c>
      <c r="L225">
        <v>0</v>
      </c>
      <c r="M225">
        <v>-124500</v>
      </c>
      <c r="N225">
        <v>-40.58860270589765</v>
      </c>
      <c r="O225">
        <v>1067.7449432619592</v>
      </c>
      <c r="P225">
        <v>-48.683901462136234</v>
      </c>
      <c r="Q225">
        <v>1167.4167353500281</v>
      </c>
      <c r="R225">
        <v>0.99671792088068945</v>
      </c>
      <c r="S225">
        <v>-8.0952987562385864E-2</v>
      </c>
      <c r="T225" t="str">
        <v/>
      </c>
      <c r="U225">
        <v>3</v>
      </c>
      <c r="V225">
        <v>-500</v>
      </c>
      <c r="W225">
        <v>1000</v>
      </c>
      <c r="X225">
        <v>0</v>
      </c>
      <c r="Y225">
        <v>1000</v>
      </c>
      <c r="Z225">
        <v>-500</v>
      </c>
      <c r="AA225">
        <v>0</v>
      </c>
      <c r="AB225">
        <v>418.82279458820472</v>
      </c>
      <c r="AC225">
        <v>1135.4898865239184</v>
      </c>
      <c r="AD225">
        <v>498.35896044034473</v>
      </c>
      <c r="AE225">
        <v>-67.96801968013223</v>
      </c>
      <c r="AF225">
        <v>0.9298272230918162</v>
      </c>
      <c r="AG225" t="b">
        <v>0</v>
      </c>
      <c r="AH225">
        <v>25000</v>
      </c>
      <c r="AI225">
        <v>4</v>
      </c>
      <c r="AJ225">
        <v>0</v>
      </c>
      <c r="AK225">
        <v>1000</v>
      </c>
      <c r="AL225">
        <v>0</v>
      </c>
      <c r="AM225">
        <v>1</v>
      </c>
      <c r="AN225">
        <v>0</v>
      </c>
      <c r="AO225">
        <v>999</v>
      </c>
      <c r="AP225">
        <v>-81.177205411795299</v>
      </c>
      <c r="AQ225">
        <v>1135.4898865239184</v>
      </c>
      <c r="AR225">
        <v>-80.872034574823473</v>
      </c>
      <c r="AS225">
        <v>-501.38486457486607</v>
      </c>
      <c r="AT225">
        <v>0.43242676328142876</v>
      </c>
      <c r="AU225" t="b">
        <v>0</v>
      </c>
    </row>
    <row r="226" spans="1:47" x14ac:dyDescent="0.25">
      <c r="A226">
        <v>21.200000000000031</v>
      </c>
      <c r="B226">
        <v>0.1</v>
      </c>
      <c r="C226">
        <v>-33.069195341043198</v>
      </c>
      <c r="D226">
        <v>1050.3630796984737</v>
      </c>
      <c r="E226">
        <v>-3908.9765172542998</v>
      </c>
      <c r="F226">
        <v>45.732361383800026</v>
      </c>
      <c r="G226">
        <v>100</v>
      </c>
      <c r="H226">
        <v>4.735744855675545</v>
      </c>
      <c r="I226">
        <v>271.33819308099987</v>
      </c>
      <c r="J226">
        <v>0</v>
      </c>
      <c r="K226">
        <v>0</v>
      </c>
      <c r="L226">
        <v>0</v>
      </c>
      <c r="M226">
        <v>271.33819308099987</v>
      </c>
      <c r="N226">
        <v>-37.351711508033524</v>
      </c>
      <c r="O226">
        <v>1041.3264843617628</v>
      </c>
      <c r="P226">
        <v>-80.176873177936784</v>
      </c>
      <c r="Q226">
        <v>950.96053099465314</v>
      </c>
      <c r="R226">
        <v>-0.90365953367109719</v>
      </c>
      <c r="S226">
        <v>-0.42825161669903256</v>
      </c>
      <c r="T226" t="str">
        <v/>
      </c>
      <c r="U226">
        <v>3</v>
      </c>
      <c r="V226">
        <v>-500</v>
      </c>
      <c r="W226">
        <v>1000</v>
      </c>
      <c r="X226">
        <v>0</v>
      </c>
      <c r="Y226">
        <v>1000</v>
      </c>
      <c r="Z226">
        <v>-500</v>
      </c>
      <c r="AA226">
        <v>0</v>
      </c>
      <c r="AB226">
        <v>425.29657698393294</v>
      </c>
      <c r="AC226">
        <v>1082.6529687235256</v>
      </c>
      <c r="AD226">
        <v>-451.82976683554858</v>
      </c>
      <c r="AE226">
        <v>45.732361383800026</v>
      </c>
      <c r="AF226">
        <v>0.88612666158777942</v>
      </c>
      <c r="AG226" t="b">
        <v>1</v>
      </c>
      <c r="AH226">
        <v>45.732361383800026</v>
      </c>
      <c r="AI226">
        <v>4</v>
      </c>
      <c r="AJ226">
        <v>0</v>
      </c>
      <c r="AK226">
        <v>1000</v>
      </c>
      <c r="AL226">
        <v>0</v>
      </c>
      <c r="AM226">
        <v>1</v>
      </c>
      <c r="AN226">
        <v>0</v>
      </c>
      <c r="AO226">
        <v>999</v>
      </c>
      <c r="AP226">
        <v>-74.703423016067049</v>
      </c>
      <c r="AQ226">
        <v>1082.6529687235256</v>
      </c>
      <c r="AR226">
        <v>-427.82336508233351</v>
      </c>
      <c r="AS226">
        <v>-87.21907881151941</v>
      </c>
      <c r="AT226">
        <v>-0.12026309954735048</v>
      </c>
      <c r="AU226" t="b">
        <v>0</v>
      </c>
    </row>
    <row r="227" spans="1:47" x14ac:dyDescent="0.25">
      <c r="A227">
        <v>21.300000000000033</v>
      </c>
      <c r="B227">
        <v>0.1</v>
      </c>
      <c r="C227">
        <v>-23.716164542087839</v>
      </c>
      <c r="D227">
        <v>1046.8246033492815</v>
      </c>
      <c r="E227">
        <v>-3908.5029427687323</v>
      </c>
      <c r="F227">
        <v>36.847136837306415</v>
      </c>
      <c r="G227">
        <v>100</v>
      </c>
      <c r="H227">
        <v>5.511126971252212</v>
      </c>
      <c r="I227">
        <v>315.76431581346793</v>
      </c>
      <c r="J227">
        <v>0</v>
      </c>
      <c r="K227">
        <v>0</v>
      </c>
      <c r="L227">
        <v>0</v>
      </c>
      <c r="M227">
        <v>315.76431581346793</v>
      </c>
      <c r="N227">
        <v>-23.406040488220089</v>
      </c>
      <c r="O227">
        <v>1036.8294133525274</v>
      </c>
      <c r="P227">
        <v>-20.304799949542595</v>
      </c>
      <c r="Q227">
        <v>936.87751338498663</v>
      </c>
      <c r="R227">
        <v>-0.99951899967540703</v>
      </c>
      <c r="S227">
        <v>3.1012405386774931E-2</v>
      </c>
      <c r="T227" t="str">
        <v/>
      </c>
      <c r="U227">
        <v>3</v>
      </c>
      <c r="V227">
        <v>-500</v>
      </c>
      <c r="W227">
        <v>1000</v>
      </c>
      <c r="X227">
        <v>0</v>
      </c>
      <c r="Y227">
        <v>1000</v>
      </c>
      <c r="Z227">
        <v>-500</v>
      </c>
      <c r="AA227">
        <v>0</v>
      </c>
      <c r="AB227">
        <v>453.1879190235598</v>
      </c>
      <c r="AC227">
        <v>1073.6588267050547</v>
      </c>
      <c r="AD227">
        <v>-499.75949983770352</v>
      </c>
      <c r="AE227">
        <v>36.847136837306415</v>
      </c>
      <c r="AF227">
        <v>0.95547335571344083</v>
      </c>
      <c r="AG227" t="b">
        <v>1</v>
      </c>
      <c r="AH227">
        <v>36.847136837306415</v>
      </c>
      <c r="AI227">
        <v>4</v>
      </c>
      <c r="AJ227">
        <v>0</v>
      </c>
      <c r="AK227">
        <v>1000</v>
      </c>
      <c r="AL227">
        <v>0</v>
      </c>
      <c r="AM227">
        <v>1</v>
      </c>
      <c r="AN227">
        <v>0</v>
      </c>
      <c r="AO227">
        <v>999</v>
      </c>
      <c r="AP227">
        <v>-46.812080976440178</v>
      </c>
      <c r="AQ227">
        <v>1073.6588267050547</v>
      </c>
      <c r="AR227">
        <v>30.981392981388158</v>
      </c>
      <c r="AS227">
        <v>754.73154037259769</v>
      </c>
      <c r="AT227">
        <v>0.71825735826243287</v>
      </c>
      <c r="AU227" t="b">
        <v>1</v>
      </c>
    </row>
    <row r="228" spans="1:47" x14ac:dyDescent="0.25">
      <c r="A228">
        <v>21.400000000000034</v>
      </c>
      <c r="B228">
        <v>0.1</v>
      </c>
      <c r="C228">
        <v>-13.89504916241598</v>
      </c>
      <c r="D228">
        <v>1048.7076043315365</v>
      </c>
      <c r="E228">
        <v>-3907.9518300716072</v>
      </c>
      <c r="F228">
        <v>25000</v>
      </c>
      <c r="G228">
        <v>100</v>
      </c>
      <c r="H228">
        <v>-2172.9349187329403</v>
      </c>
      <c r="I228">
        <v>-124500</v>
      </c>
      <c r="J228">
        <v>0</v>
      </c>
      <c r="K228">
        <v>0</v>
      </c>
      <c r="L228">
        <v>0</v>
      </c>
      <c r="M228">
        <v>-124500</v>
      </c>
      <c r="N228">
        <v>-8.3970049520647745</v>
      </c>
      <c r="O228">
        <v>1040.3546701248624</v>
      </c>
      <c r="P228">
        <v>46.583437151447271</v>
      </c>
      <c r="Q228">
        <v>956.82532805812298</v>
      </c>
      <c r="R228">
        <v>-0.83529342066739398</v>
      </c>
      <c r="S228">
        <v>0.54980442103512051</v>
      </c>
      <c r="T228" t="str">
        <v/>
      </c>
      <c r="U228">
        <v>3</v>
      </c>
      <c r="V228">
        <v>-500</v>
      </c>
      <c r="W228">
        <v>1000</v>
      </c>
      <c r="X228">
        <v>0</v>
      </c>
      <c r="Y228">
        <v>1000</v>
      </c>
      <c r="Z228">
        <v>-500</v>
      </c>
      <c r="AA228">
        <v>0</v>
      </c>
      <c r="AB228">
        <v>483.20599009587045</v>
      </c>
      <c r="AC228">
        <v>1080.7093402497248</v>
      </c>
      <c r="AD228">
        <v>-417.646710333697</v>
      </c>
      <c r="AE228">
        <v>48.311969334822848</v>
      </c>
      <c r="AF228">
        <v>1.036330258754268</v>
      </c>
      <c r="AG228" t="b">
        <v>0</v>
      </c>
      <c r="AH228">
        <v>25000</v>
      </c>
      <c r="AI228">
        <v>4</v>
      </c>
      <c r="AJ228">
        <v>0</v>
      </c>
      <c r="AK228">
        <v>1000</v>
      </c>
      <c r="AL228">
        <v>0</v>
      </c>
      <c r="AM228">
        <v>1</v>
      </c>
      <c r="AN228">
        <v>0</v>
      </c>
      <c r="AO228">
        <v>999</v>
      </c>
      <c r="AP228">
        <v>-16.794009904129549</v>
      </c>
      <c r="AQ228">
        <v>1080.7093402497248</v>
      </c>
      <c r="AR228">
        <v>549.25461661408542</v>
      </c>
      <c r="AS228">
        <v>15.272712678911669</v>
      </c>
      <c r="AT228">
        <v>-2.7625098807231241E-2</v>
      </c>
      <c r="AU228" t="b">
        <v>0</v>
      </c>
    </row>
    <row r="229" spans="1:47" x14ac:dyDescent="0.25">
      <c r="A229">
        <v>21.500000000000036</v>
      </c>
      <c r="B229">
        <v>0.1</v>
      </c>
      <c r="C229">
        <v>-23.34188506583596</v>
      </c>
      <c r="D229">
        <v>1051.9874353353925</v>
      </c>
      <c r="E229">
        <v>-4125.2453219449017</v>
      </c>
      <c r="F229">
        <v>25000</v>
      </c>
      <c r="G229">
        <v>100</v>
      </c>
      <c r="H229">
        <v>-2172.9349187329403</v>
      </c>
      <c r="I229">
        <v>-124500</v>
      </c>
      <c r="J229">
        <v>0</v>
      </c>
      <c r="K229">
        <v>0</v>
      </c>
      <c r="L229">
        <v>0</v>
      </c>
      <c r="M229">
        <v>-124500</v>
      </c>
      <c r="N229">
        <v>-23.926863919788993</v>
      </c>
      <c r="O229">
        <v>1061.970310659688</v>
      </c>
      <c r="P229">
        <v>-29.776652459319326</v>
      </c>
      <c r="Q229">
        <v>1161.799063902643</v>
      </c>
      <c r="R229">
        <v>0.99828753242954904</v>
      </c>
      <c r="S229">
        <v>-5.8497885395303338E-2</v>
      </c>
      <c r="T229" t="str">
        <v/>
      </c>
      <c r="U229">
        <v>3</v>
      </c>
      <c r="V229">
        <v>-500</v>
      </c>
      <c r="W229">
        <v>1000</v>
      </c>
      <c r="X229">
        <v>0</v>
      </c>
      <c r="Y229">
        <v>1000</v>
      </c>
      <c r="Z229">
        <v>-500</v>
      </c>
      <c r="AA229">
        <v>0</v>
      </c>
      <c r="AB229">
        <v>452.14627216042203</v>
      </c>
      <c r="AC229">
        <v>1123.9406213193761</v>
      </c>
      <c r="AD229">
        <v>499.14376621477453</v>
      </c>
      <c r="AE229">
        <v>-62.076614849501183</v>
      </c>
      <c r="AF229">
        <v>0.95940897356281107</v>
      </c>
      <c r="AG229" t="b">
        <v>0</v>
      </c>
      <c r="AH229">
        <v>25000</v>
      </c>
      <c r="AI229">
        <v>4</v>
      </c>
      <c r="AJ229">
        <v>0</v>
      </c>
      <c r="AK229">
        <v>1000</v>
      </c>
      <c r="AL229">
        <v>0</v>
      </c>
      <c r="AM229">
        <v>1</v>
      </c>
      <c r="AN229">
        <v>0</v>
      </c>
      <c r="AO229">
        <v>999</v>
      </c>
      <c r="AP229">
        <v>-47.853727839577985</v>
      </c>
      <c r="AQ229">
        <v>1123.9406213193761</v>
      </c>
      <c r="AR229">
        <v>-58.439387509908038</v>
      </c>
      <c r="AS229">
        <v>-409.0210057697235</v>
      </c>
      <c r="AT229">
        <v>0.34669695685888041</v>
      </c>
      <c r="AU229" t="b">
        <v>0</v>
      </c>
    </row>
    <row r="230" spans="1:47" x14ac:dyDescent="0.25">
      <c r="A230">
        <v>21.600000000000037</v>
      </c>
      <c r="B230">
        <v>0.1</v>
      </c>
      <c r="C230">
        <v>-16.800600690022449</v>
      </c>
      <c r="D230">
        <v>1044.4236004142208</v>
      </c>
      <c r="E230">
        <v>-4342.5388138181961</v>
      </c>
      <c r="F230">
        <v>39.702430660141779</v>
      </c>
      <c r="G230">
        <v>100</v>
      </c>
      <c r="H230">
        <v>5.2619555796505484</v>
      </c>
      <c r="I230">
        <v>301.48784669929108</v>
      </c>
      <c r="J230">
        <v>0</v>
      </c>
      <c r="K230">
        <v>0</v>
      </c>
      <c r="L230">
        <v>0</v>
      </c>
      <c r="M230">
        <v>301.48784669929108</v>
      </c>
      <c r="N230">
        <v>-21.285431803973829</v>
      </c>
      <c r="O230">
        <v>1035.4856873535934</v>
      </c>
      <c r="P230">
        <v>-66.133742943487604</v>
      </c>
      <c r="Q230">
        <v>946.10655674731959</v>
      </c>
      <c r="R230">
        <v>-0.89379130606273882</v>
      </c>
      <c r="S230">
        <v>-0.44848311139513775</v>
      </c>
      <c r="T230" t="str">
        <v/>
      </c>
      <c r="U230">
        <v>3</v>
      </c>
      <c r="V230">
        <v>-500</v>
      </c>
      <c r="W230">
        <v>1000</v>
      </c>
      <c r="X230">
        <v>0</v>
      </c>
      <c r="Y230">
        <v>1000</v>
      </c>
      <c r="Z230">
        <v>-500</v>
      </c>
      <c r="AA230">
        <v>0</v>
      </c>
      <c r="AB230">
        <v>457.42913639205233</v>
      </c>
      <c r="AC230">
        <v>1070.9713747071869</v>
      </c>
      <c r="AD230">
        <v>-446.89565303136942</v>
      </c>
      <c r="AE230">
        <v>39.702430660141779</v>
      </c>
      <c r="AF230">
        <v>0.9218173971272321</v>
      </c>
      <c r="AG230" t="b">
        <v>1</v>
      </c>
      <c r="AH230">
        <v>39.702430660141779</v>
      </c>
      <c r="AI230">
        <v>4</v>
      </c>
      <c r="AJ230">
        <v>0</v>
      </c>
      <c r="AK230">
        <v>1000</v>
      </c>
      <c r="AL230">
        <v>0</v>
      </c>
      <c r="AM230">
        <v>1</v>
      </c>
      <c r="AN230">
        <v>0</v>
      </c>
      <c r="AO230">
        <v>999</v>
      </c>
      <c r="AP230">
        <v>-42.570863607947658</v>
      </c>
      <c r="AQ230">
        <v>1070.9713747071869</v>
      </c>
      <c r="AR230">
        <v>-448.03462828374262</v>
      </c>
      <c r="AS230">
        <v>-47.460943931108744</v>
      </c>
      <c r="AT230">
        <v>-7.7983850267016569E-2</v>
      </c>
      <c r="AU230" t="b">
        <v>0</v>
      </c>
    </row>
    <row r="231" spans="1:47" x14ac:dyDescent="0.25">
      <c r="A231">
        <v>21.700000000000038</v>
      </c>
      <c r="B231">
        <v>0.1</v>
      </c>
      <c r="C231">
        <v>-7.3452796401637048</v>
      </c>
      <c r="D231">
        <v>1041.1683118180902</v>
      </c>
      <c r="E231">
        <v>-4342.0126182602307</v>
      </c>
      <c r="F231">
        <v>31.245347384266523</v>
      </c>
      <c r="G231">
        <v>100</v>
      </c>
      <c r="H231">
        <v>5.9999753210474038</v>
      </c>
      <c r="I231">
        <v>343.77326307866736</v>
      </c>
      <c r="J231">
        <v>0</v>
      </c>
      <c r="K231">
        <v>0</v>
      </c>
      <c r="L231">
        <v>0</v>
      </c>
      <c r="M231">
        <v>343.77326307866736</v>
      </c>
      <c r="N231">
        <v>-6.734379433071334</v>
      </c>
      <c r="O231">
        <v>1031.1869892134964</v>
      </c>
      <c r="P231">
        <v>-0.62537736214762685</v>
      </c>
      <c r="Q231">
        <v>931.37376316755876</v>
      </c>
      <c r="R231">
        <v>-0.99813226045937664</v>
      </c>
      <c r="S231">
        <v>6.1090020709237074E-2</v>
      </c>
      <c r="T231" t="str">
        <v/>
      </c>
      <c r="U231">
        <v>3</v>
      </c>
      <c r="V231">
        <v>-500</v>
      </c>
      <c r="W231">
        <v>1000</v>
      </c>
      <c r="X231">
        <v>0</v>
      </c>
      <c r="Y231">
        <v>1000</v>
      </c>
      <c r="Z231">
        <v>-500</v>
      </c>
      <c r="AA231">
        <v>0</v>
      </c>
      <c r="AB231">
        <v>486.53124113385735</v>
      </c>
      <c r="AC231">
        <v>1062.3739784269928</v>
      </c>
      <c r="AD231">
        <v>-499.06613022968833</v>
      </c>
      <c r="AE231">
        <v>31.245347384266523</v>
      </c>
      <c r="AF231">
        <v>0.99034879897140171</v>
      </c>
      <c r="AG231" t="b">
        <v>1</v>
      </c>
      <c r="AH231">
        <v>31.245347384266523</v>
      </c>
      <c r="AI231">
        <v>4</v>
      </c>
      <c r="AJ231">
        <v>0</v>
      </c>
      <c r="AK231">
        <v>1000</v>
      </c>
      <c r="AL231">
        <v>0</v>
      </c>
      <c r="AM231">
        <v>1</v>
      </c>
      <c r="AN231">
        <v>0</v>
      </c>
      <c r="AO231">
        <v>999</v>
      </c>
      <c r="AP231">
        <v>-13.468758866142668</v>
      </c>
      <c r="AQ231">
        <v>1062.3739784269928</v>
      </c>
      <c r="AR231">
        <v>61.028930688527836</v>
      </c>
      <c r="AS231">
        <v>110.23698068665193</v>
      </c>
      <c r="AT231">
        <v>7.8923020526014132E-2</v>
      </c>
      <c r="AU231" t="b">
        <v>1</v>
      </c>
    </row>
    <row r="232" spans="1:47" x14ac:dyDescent="0.25">
      <c r="A232">
        <v>21.80000000000004</v>
      </c>
      <c r="B232">
        <v>0.1</v>
      </c>
      <c r="C232">
        <v>2.2966143224729212</v>
      </c>
      <c r="D232">
        <v>1043.8204582720537</v>
      </c>
      <c r="E232">
        <v>-4341.4126207281261</v>
      </c>
      <c r="F232">
        <v>25000</v>
      </c>
      <c r="G232">
        <v>100</v>
      </c>
      <c r="H232">
        <v>-2172.9349187329403</v>
      </c>
      <c r="I232">
        <v>-124500</v>
      </c>
      <c r="J232">
        <v>0</v>
      </c>
      <c r="K232">
        <v>0</v>
      </c>
      <c r="L232">
        <v>0</v>
      </c>
      <c r="M232">
        <v>-124500</v>
      </c>
      <c r="N232">
        <v>8.4366712246350613</v>
      </c>
      <c r="O232">
        <v>1035.9274422934679</v>
      </c>
      <c r="P232">
        <v>69.837240246256457</v>
      </c>
      <c r="Q232">
        <v>956.99728250760973</v>
      </c>
      <c r="R232">
        <v>-0.789301597858582</v>
      </c>
      <c r="S232">
        <v>0.61400569021621398</v>
      </c>
      <c r="T232" t="str">
        <v/>
      </c>
      <c r="U232">
        <v>3</v>
      </c>
      <c r="V232">
        <v>-500</v>
      </c>
      <c r="W232">
        <v>1000</v>
      </c>
      <c r="X232">
        <v>0</v>
      </c>
      <c r="Y232">
        <v>1000</v>
      </c>
      <c r="Z232">
        <v>-500</v>
      </c>
      <c r="AA232">
        <v>0</v>
      </c>
      <c r="AB232">
        <v>516.87334244927013</v>
      </c>
      <c r="AC232">
        <v>1071.8548845869359</v>
      </c>
      <c r="AD232">
        <v>-394.650798929291</v>
      </c>
      <c r="AE232">
        <v>45.518015408737348</v>
      </c>
      <c r="AF232">
        <v>1.0727699833858981</v>
      </c>
      <c r="AG232" t="b">
        <v>0</v>
      </c>
      <c r="AH232">
        <v>25000</v>
      </c>
      <c r="AI232">
        <v>4</v>
      </c>
      <c r="AJ232">
        <v>0</v>
      </c>
      <c r="AK232">
        <v>1000</v>
      </c>
      <c r="AL232">
        <v>0</v>
      </c>
      <c r="AM232">
        <v>1</v>
      </c>
      <c r="AN232">
        <v>0</v>
      </c>
      <c r="AO232">
        <v>999</v>
      </c>
      <c r="AP232">
        <v>16.873342449270123</v>
      </c>
      <c r="AQ232">
        <v>1071.8548845869359</v>
      </c>
      <c r="AR232">
        <v>613.39168452599779</v>
      </c>
      <c r="AS232">
        <v>-13.740379542189908</v>
      </c>
      <c r="AT232">
        <v>-4.6819565386688501E-2</v>
      </c>
      <c r="AU232" t="b">
        <v>0</v>
      </c>
    </row>
    <row r="233" spans="1:47" x14ac:dyDescent="0.25">
      <c r="A233">
        <v>21.900000000000041</v>
      </c>
      <c r="B233">
        <v>0.1</v>
      </c>
      <c r="C233">
        <v>-7.3795840167469393</v>
      </c>
      <c r="D233">
        <v>1046.3445790496867</v>
      </c>
      <c r="E233">
        <v>-4558.7061126014205</v>
      </c>
      <c r="F233">
        <v>25000</v>
      </c>
      <c r="G233">
        <v>100</v>
      </c>
      <c r="H233">
        <v>-2172.9349187329403</v>
      </c>
      <c r="I233">
        <v>-124500</v>
      </c>
      <c r="J233">
        <v>0</v>
      </c>
      <c r="K233">
        <v>0</v>
      </c>
      <c r="L233">
        <v>0</v>
      </c>
      <c r="M233">
        <v>-124500</v>
      </c>
      <c r="N233">
        <v>-8.7505212854043641</v>
      </c>
      <c r="O233">
        <v>1056.2501598507001</v>
      </c>
      <c r="P233">
        <v>-22.459893971978602</v>
      </c>
      <c r="Q233">
        <v>1155.3059678608345</v>
      </c>
      <c r="R233">
        <v>0.99055808010134427</v>
      </c>
      <c r="S233">
        <v>-0.13709372686574239</v>
      </c>
      <c r="T233" t="str">
        <v/>
      </c>
      <c r="U233">
        <v>3</v>
      </c>
      <c r="V233">
        <v>-500</v>
      </c>
      <c r="W233">
        <v>1000</v>
      </c>
      <c r="X233">
        <v>0</v>
      </c>
      <c r="Y233">
        <v>1000</v>
      </c>
      <c r="Z233">
        <v>-500</v>
      </c>
      <c r="AA233">
        <v>0</v>
      </c>
      <c r="AB233">
        <v>482.49895742919125</v>
      </c>
      <c r="AC233">
        <v>1112.5003197014003</v>
      </c>
      <c r="AD233">
        <v>495.27904005067217</v>
      </c>
      <c r="AE233">
        <v>-56.786331847341209</v>
      </c>
      <c r="AF233">
        <v>0.99806905716516481</v>
      </c>
      <c r="AG233" t="b">
        <v>0</v>
      </c>
      <c r="AH233">
        <v>25000</v>
      </c>
      <c r="AI233">
        <v>4</v>
      </c>
      <c r="AJ233">
        <v>0</v>
      </c>
      <c r="AK233">
        <v>1000</v>
      </c>
      <c r="AL233">
        <v>0</v>
      </c>
      <c r="AM233">
        <v>1</v>
      </c>
      <c r="AN233">
        <v>0</v>
      </c>
      <c r="AO233">
        <v>999</v>
      </c>
      <c r="AP233">
        <v>-17.501042570808728</v>
      </c>
      <c r="AQ233">
        <v>1112.5003197014003</v>
      </c>
      <c r="AR233">
        <v>-136.95663313887664</v>
      </c>
      <c r="AS233">
        <v>-63.82875048669338</v>
      </c>
      <c r="AT233">
        <v>6.9829075942608766E-3</v>
      </c>
      <c r="AU233" t="b">
        <v>0</v>
      </c>
    </row>
    <row r="234" spans="1:47" x14ac:dyDescent="0.25">
      <c r="A234">
        <v>22.000000000000043</v>
      </c>
      <c r="B234">
        <v>0.1</v>
      </c>
      <c r="C234">
        <v>-0.26181083174514619</v>
      </c>
      <c r="D234">
        <v>1039.3205271644235</v>
      </c>
      <c r="E234">
        <v>-4775.9996044747149</v>
      </c>
      <c r="F234">
        <v>32.444651991438278</v>
      </c>
      <c r="G234">
        <v>100</v>
      </c>
      <c r="H234">
        <v>5.8953162503999827</v>
      </c>
      <c r="I234">
        <v>337.77674004280863</v>
      </c>
      <c r="J234">
        <v>0</v>
      </c>
      <c r="K234">
        <v>0</v>
      </c>
      <c r="L234">
        <v>0</v>
      </c>
      <c r="M234">
        <v>337.77674004280863</v>
      </c>
      <c r="N234">
        <v>-4.0273347306034868</v>
      </c>
      <c r="O234">
        <v>1030.0565739171793</v>
      </c>
      <c r="P234">
        <v>-41.682573719186884</v>
      </c>
      <c r="Q234">
        <v>937.41704144473715</v>
      </c>
      <c r="R234">
        <v>-0.92639532472442176</v>
      </c>
      <c r="S234">
        <v>-0.376552389885834</v>
      </c>
      <c r="T234" t="str">
        <v/>
      </c>
      <c r="U234">
        <v>3</v>
      </c>
      <c r="V234">
        <v>-500</v>
      </c>
      <c r="W234">
        <v>1000</v>
      </c>
      <c r="X234">
        <v>0</v>
      </c>
      <c r="Y234">
        <v>1000</v>
      </c>
      <c r="Z234">
        <v>-500</v>
      </c>
      <c r="AA234">
        <v>0</v>
      </c>
      <c r="AB234">
        <v>491.94533053879303</v>
      </c>
      <c r="AC234">
        <v>1060.1131478343586</v>
      </c>
      <c r="AD234">
        <v>-463.19766236221091</v>
      </c>
      <c r="AE234">
        <v>32.444651991438278</v>
      </c>
      <c r="AF234">
        <v>0.96751110804601248</v>
      </c>
      <c r="AG234" t="b">
        <v>1</v>
      </c>
      <c r="AH234">
        <v>32.444651991438278</v>
      </c>
      <c r="AI234">
        <v>4</v>
      </c>
      <c r="AJ234">
        <v>0</v>
      </c>
      <c r="AK234">
        <v>1000</v>
      </c>
      <c r="AL234">
        <v>0</v>
      </c>
      <c r="AM234">
        <v>1</v>
      </c>
      <c r="AN234">
        <v>0</v>
      </c>
      <c r="AO234">
        <v>999</v>
      </c>
      <c r="AP234">
        <v>-8.0546694612069736</v>
      </c>
      <c r="AQ234">
        <v>1060.1131478343586</v>
      </c>
      <c r="AR234">
        <v>-376.17583749594814</v>
      </c>
      <c r="AS234">
        <v>-10.695283946609726</v>
      </c>
      <c r="AT234">
        <v>-4.0004639601520252E-2</v>
      </c>
      <c r="AU234" t="b">
        <v>0</v>
      </c>
    </row>
    <row r="235" spans="1:47" x14ac:dyDescent="0.25">
      <c r="A235">
        <v>22.100000000000044</v>
      </c>
      <c r="B235">
        <v>0.1</v>
      </c>
      <c r="C235">
        <v>9.5596651523480585</v>
      </c>
      <c r="D235">
        <v>1037.4394079513272</v>
      </c>
      <c r="E235">
        <v>-4775.4100728496751</v>
      </c>
      <c r="F235">
        <v>25000</v>
      </c>
      <c r="G235">
        <v>100</v>
      </c>
      <c r="H235">
        <v>-2172.9349187329403</v>
      </c>
      <c r="I235">
        <v>-124500</v>
      </c>
      <c r="J235">
        <v>0</v>
      </c>
      <c r="K235">
        <v>0</v>
      </c>
      <c r="L235">
        <v>0</v>
      </c>
      <c r="M235">
        <v>-124500</v>
      </c>
      <c r="N235">
        <v>11.580253753639662</v>
      </c>
      <c r="O235">
        <v>1027.6456741534168</v>
      </c>
      <c r="P235">
        <v>31.786139766555692</v>
      </c>
      <c r="Q235">
        <v>929.7083361743139</v>
      </c>
      <c r="R235">
        <v>-0.97937337979102967</v>
      </c>
      <c r="S235">
        <v>0.20205886012916033</v>
      </c>
      <c r="T235" t="str">
        <v/>
      </c>
      <c r="U235">
        <v>3</v>
      </c>
      <c r="V235">
        <v>-500</v>
      </c>
      <c r="W235">
        <v>1000</v>
      </c>
      <c r="X235">
        <v>0</v>
      </c>
      <c r="Y235">
        <v>1000</v>
      </c>
      <c r="Z235">
        <v>-500</v>
      </c>
      <c r="AA235">
        <v>0</v>
      </c>
      <c r="AB235">
        <v>523.16050750727936</v>
      </c>
      <c r="AC235">
        <v>1055.2913483068337</v>
      </c>
      <c r="AD235">
        <v>-489.68668989551486</v>
      </c>
      <c r="AE235">
        <v>28.227920754100591</v>
      </c>
      <c r="AF235">
        <v>1.0345679104900589</v>
      </c>
      <c r="AG235" t="b">
        <v>0</v>
      </c>
      <c r="AH235">
        <v>25000</v>
      </c>
      <c r="AI235">
        <v>4</v>
      </c>
      <c r="AJ235">
        <v>0</v>
      </c>
      <c r="AK235">
        <v>1000</v>
      </c>
      <c r="AL235">
        <v>0</v>
      </c>
      <c r="AM235">
        <v>1</v>
      </c>
      <c r="AN235">
        <v>0</v>
      </c>
      <c r="AO235">
        <v>999</v>
      </c>
      <c r="AP235">
        <v>23.160507507279323</v>
      </c>
      <c r="AQ235">
        <v>1055.2913483068337</v>
      </c>
      <c r="AR235">
        <v>201.85680126903117</v>
      </c>
      <c r="AS235">
        <v>-57.31128912752115</v>
      </c>
      <c r="AT235">
        <v>-8.3858683770188319E-2</v>
      </c>
      <c r="AU235" t="b">
        <v>0</v>
      </c>
    </row>
    <row r="236" spans="1:47" x14ac:dyDescent="0.25">
      <c r="A236">
        <v>22.200000000000045</v>
      </c>
      <c r="B236">
        <v>0.1</v>
      </c>
      <c r="C236">
        <v>1.9945770540154522</v>
      </c>
      <c r="D236">
        <v>1043.9792429694653</v>
      </c>
      <c r="E236">
        <v>-4992.7035647229695</v>
      </c>
      <c r="F236">
        <v>25000</v>
      </c>
      <c r="G236">
        <v>100</v>
      </c>
      <c r="H236">
        <v>-2172.9349187329403</v>
      </c>
      <c r="I236">
        <v>-124500</v>
      </c>
      <c r="J236">
        <v>0</v>
      </c>
      <c r="K236">
        <v>0</v>
      </c>
      <c r="L236">
        <v>0</v>
      </c>
      <c r="M236">
        <v>-124500</v>
      </c>
      <c r="N236">
        <v>5.1415628936586986</v>
      </c>
      <c r="O236">
        <v>1053.4711595370024</v>
      </c>
      <c r="P236">
        <v>36.611421290091165</v>
      </c>
      <c r="Q236">
        <v>1148.3903252123732</v>
      </c>
      <c r="R236">
        <v>0.94919165675370798</v>
      </c>
      <c r="S236">
        <v>0.31469858396432465</v>
      </c>
      <c r="T236" t="str">
        <v/>
      </c>
      <c r="U236">
        <v>3</v>
      </c>
      <c r="V236">
        <v>-500</v>
      </c>
      <c r="W236">
        <v>1000</v>
      </c>
      <c r="X236">
        <v>0</v>
      </c>
      <c r="Y236">
        <v>1000</v>
      </c>
      <c r="Z236">
        <v>-500</v>
      </c>
      <c r="AA236">
        <v>0</v>
      </c>
      <c r="AB236">
        <v>510.28312578731737</v>
      </c>
      <c r="AC236">
        <v>1106.9423190740049</v>
      </c>
      <c r="AD236">
        <v>474.595828376854</v>
      </c>
      <c r="AE236">
        <v>-56.333364454421144</v>
      </c>
      <c r="AF236">
        <v>0.97482706573981215</v>
      </c>
      <c r="AG236" t="b">
        <v>0</v>
      </c>
      <c r="AH236">
        <v>25000</v>
      </c>
      <c r="AI236">
        <v>4</v>
      </c>
      <c r="AJ236">
        <v>0</v>
      </c>
      <c r="AK236">
        <v>1000</v>
      </c>
      <c r="AL236">
        <v>0</v>
      </c>
      <c r="AM236">
        <v>1</v>
      </c>
      <c r="AN236">
        <v>0</v>
      </c>
      <c r="AO236">
        <v>999</v>
      </c>
      <c r="AP236">
        <v>10.283125787317397</v>
      </c>
      <c r="AQ236">
        <v>1106.9423190740049</v>
      </c>
      <c r="AR236">
        <v>314.38388538036031</v>
      </c>
      <c r="AS236">
        <v>-16.33805538267552</v>
      </c>
      <c r="AT236">
        <v>-3.8001214895081917E-2</v>
      </c>
      <c r="AU236" t="b">
        <v>0</v>
      </c>
    </row>
    <row r="237" spans="1:47" x14ac:dyDescent="0.25">
      <c r="A237">
        <v>22.300000000000047</v>
      </c>
      <c r="B237">
        <v>0.1</v>
      </c>
      <c r="C237">
        <v>5.2762180199658353</v>
      </c>
      <c r="D237">
        <v>1034.5330356580309</v>
      </c>
      <c r="E237">
        <v>-5209.997056596264</v>
      </c>
      <c r="F237">
        <v>41.954784316879838</v>
      </c>
      <c r="G237">
        <v>100</v>
      </c>
      <c r="H237">
        <v>5.065400643503482</v>
      </c>
      <c r="I237">
        <v>290.2260784156008</v>
      </c>
      <c r="J237">
        <v>0</v>
      </c>
      <c r="K237">
        <v>0</v>
      </c>
      <c r="L237">
        <v>0</v>
      </c>
      <c r="M237">
        <v>290.2260784156008</v>
      </c>
      <c r="N237">
        <v>-2.1951099462863839</v>
      </c>
      <c r="O237">
        <v>1027.8862876997662</v>
      </c>
      <c r="P237">
        <v>-76.908389608808577</v>
      </c>
      <c r="Q237">
        <v>961.41880811711803</v>
      </c>
      <c r="R237">
        <v>-0.66467479582648148</v>
      </c>
      <c r="S237">
        <v>-0.74713279662522192</v>
      </c>
      <c r="T237" t="str">
        <v/>
      </c>
      <c r="U237">
        <v>3</v>
      </c>
      <c r="V237">
        <v>-500</v>
      </c>
      <c r="W237">
        <v>1000</v>
      </c>
      <c r="X237">
        <v>0</v>
      </c>
      <c r="Y237">
        <v>1000</v>
      </c>
      <c r="Z237">
        <v>-500</v>
      </c>
      <c r="AA237">
        <v>0</v>
      </c>
      <c r="AB237">
        <v>495.60978010742724</v>
      </c>
      <c r="AC237">
        <v>1055.7725753995323</v>
      </c>
      <c r="AD237">
        <v>-332.33739791324075</v>
      </c>
      <c r="AE237">
        <v>41.954784316879838</v>
      </c>
      <c r="AF237">
        <v>0.93291818943047022</v>
      </c>
      <c r="AG237" t="b">
        <v>1</v>
      </c>
      <c r="AH237">
        <v>41.954784316879838</v>
      </c>
      <c r="AI237">
        <v>4</v>
      </c>
      <c r="AJ237">
        <v>0</v>
      </c>
      <c r="AK237">
        <v>1000</v>
      </c>
      <c r="AL237">
        <v>0</v>
      </c>
      <c r="AM237">
        <v>1</v>
      </c>
      <c r="AN237">
        <v>0</v>
      </c>
      <c r="AO237">
        <v>999</v>
      </c>
      <c r="AP237">
        <v>-4.3902198925727678</v>
      </c>
      <c r="AQ237">
        <v>1055.7725753995323</v>
      </c>
      <c r="AR237">
        <v>-746.38566382859665</v>
      </c>
      <c r="AS237">
        <v>-2.9380452259646943</v>
      </c>
      <c r="AT237">
        <v>-2.9869001311775001E-2</v>
      </c>
      <c r="AU237" t="b">
        <v>0</v>
      </c>
    </row>
    <row r="238" spans="1:47" x14ac:dyDescent="0.25">
      <c r="A238">
        <v>22.400000000000048</v>
      </c>
      <c r="B238">
        <v>0.1</v>
      </c>
      <c r="C238">
        <v>12.728649679520407</v>
      </c>
      <c r="D238">
        <v>1027.865107767024</v>
      </c>
      <c r="E238">
        <v>-5209.4905165319133</v>
      </c>
      <c r="F238">
        <v>28.473267680721602</v>
      </c>
      <c r="G238">
        <v>100</v>
      </c>
      <c r="H238">
        <v>6.2418849108202394</v>
      </c>
      <c r="I238">
        <v>357.63366159639196</v>
      </c>
      <c r="J238">
        <v>0</v>
      </c>
      <c r="K238">
        <v>0</v>
      </c>
      <c r="L238">
        <v>0</v>
      </c>
      <c r="M238">
        <v>357.63366159639196</v>
      </c>
      <c r="N238">
        <v>9.4202097037034971</v>
      </c>
      <c r="O238">
        <v>1018.4282531572286</v>
      </c>
      <c r="P238">
        <v>-23.6641900544656</v>
      </c>
      <c r="Q238">
        <v>924.05970705927461</v>
      </c>
      <c r="R238">
        <v>-0.94368546097953954</v>
      </c>
      <c r="S238">
        <v>-0.33084399758169097</v>
      </c>
      <c r="T238" t="str">
        <v/>
      </c>
      <c r="U238">
        <v>3</v>
      </c>
      <c r="V238">
        <v>-500</v>
      </c>
      <c r="W238">
        <v>1000</v>
      </c>
      <c r="X238">
        <v>0</v>
      </c>
      <c r="Y238">
        <v>1000</v>
      </c>
      <c r="Z238">
        <v>-500</v>
      </c>
      <c r="AA238">
        <v>0</v>
      </c>
      <c r="AB238">
        <v>518.84041940740701</v>
      </c>
      <c r="AC238">
        <v>1036.8565063144572</v>
      </c>
      <c r="AD238">
        <v>-471.84273048976979</v>
      </c>
      <c r="AE238">
        <v>19.527961295599685</v>
      </c>
      <c r="AF238">
        <v>1.0059190018480935</v>
      </c>
      <c r="AG238" t="b">
        <v>0</v>
      </c>
      <c r="AH238">
        <v>25000</v>
      </c>
      <c r="AI238">
        <v>4</v>
      </c>
      <c r="AJ238">
        <v>0</v>
      </c>
      <c r="AK238">
        <v>1000</v>
      </c>
      <c r="AL238">
        <v>0</v>
      </c>
      <c r="AM238">
        <v>1</v>
      </c>
      <c r="AN238">
        <v>0</v>
      </c>
      <c r="AO238">
        <v>999</v>
      </c>
      <c r="AP238">
        <v>18.840419407406994</v>
      </c>
      <c r="AQ238">
        <v>1036.8565063144572</v>
      </c>
      <c r="AR238">
        <v>-330.51315358410926</v>
      </c>
      <c r="AS238">
        <v>28.473267680721602</v>
      </c>
      <c r="AT238">
        <v>8.4500055852322273E-3</v>
      </c>
      <c r="AU238" t="b">
        <v>1</v>
      </c>
    </row>
    <row r="239" spans="1:47" x14ac:dyDescent="0.25">
      <c r="A239">
        <v>22.50000000000005</v>
      </c>
      <c r="B239">
        <v>0.1</v>
      </c>
      <c r="C239">
        <v>22.672830369404899</v>
      </c>
      <c r="D239">
        <v>1026.8099914668333</v>
      </c>
      <c r="E239">
        <v>-5208.8663280408309</v>
      </c>
      <c r="F239">
        <v>25000</v>
      </c>
      <c r="G239">
        <v>100</v>
      </c>
      <c r="H239">
        <v>-2172.9349187329403</v>
      </c>
      <c r="I239">
        <v>-124500</v>
      </c>
      <c r="J239">
        <v>0</v>
      </c>
      <c r="K239">
        <v>0</v>
      </c>
      <c r="L239">
        <v>0</v>
      </c>
      <c r="M239">
        <v>-124500</v>
      </c>
      <c r="N239">
        <v>25.503503213704189</v>
      </c>
      <c r="O239">
        <v>1017.2189909325539</v>
      </c>
      <c r="P239">
        <v>53.810231656697098</v>
      </c>
      <c r="Q239">
        <v>921.30898558976048</v>
      </c>
      <c r="R239">
        <v>-0.95910005342793392</v>
      </c>
      <c r="S239">
        <v>0.28306728442992907</v>
      </c>
      <c r="T239" t="str">
        <v/>
      </c>
      <c r="U239">
        <v>3</v>
      </c>
      <c r="V239">
        <v>-500</v>
      </c>
      <c r="W239">
        <v>1000</v>
      </c>
      <c r="X239">
        <v>0</v>
      </c>
      <c r="Y239">
        <v>1000</v>
      </c>
      <c r="Z239">
        <v>-500</v>
      </c>
      <c r="AA239">
        <v>0</v>
      </c>
      <c r="AB239">
        <v>551.00700642740833</v>
      </c>
      <c r="AC239">
        <v>1034.4379818651078</v>
      </c>
      <c r="AD239">
        <v>-479.55002671396699</v>
      </c>
      <c r="AE239">
        <v>17.953279088048451</v>
      </c>
      <c r="AF239">
        <v>1.0611709783435412</v>
      </c>
      <c r="AG239" t="b">
        <v>0</v>
      </c>
      <c r="AH239">
        <v>25000</v>
      </c>
      <c r="AI239">
        <v>4</v>
      </c>
      <c r="AJ239">
        <v>0</v>
      </c>
      <c r="AK239">
        <v>1000</v>
      </c>
      <c r="AL239">
        <v>0</v>
      </c>
      <c r="AM239">
        <v>1</v>
      </c>
      <c r="AN239">
        <v>0</v>
      </c>
      <c r="AO239">
        <v>999</v>
      </c>
      <c r="AP239">
        <v>51.007006427408378</v>
      </c>
      <c r="AQ239">
        <v>1034.4379818651078</v>
      </c>
      <c r="AR239">
        <v>282.78421714549916</v>
      </c>
      <c r="AS239">
        <v>-90.096964985077122</v>
      </c>
      <c r="AT239">
        <v>-0.10373472959302907</v>
      </c>
      <c r="AU239" t="b">
        <v>0</v>
      </c>
    </row>
    <row r="240" spans="1:47" x14ac:dyDescent="0.25">
      <c r="A240">
        <v>22.600000000000051</v>
      </c>
      <c r="B240">
        <v>0.1</v>
      </c>
      <c r="C240">
        <v>14.588475422240096</v>
      </c>
      <c r="D240">
        <v>1032.6958393316911</v>
      </c>
      <c r="E240">
        <v>-5426.1598199141254</v>
      </c>
      <c r="F240">
        <v>25000</v>
      </c>
      <c r="G240">
        <v>100</v>
      </c>
      <c r="H240">
        <v>-2172.9349187329403</v>
      </c>
      <c r="I240">
        <v>-124500</v>
      </c>
      <c r="J240">
        <v>0</v>
      </c>
      <c r="K240">
        <v>0</v>
      </c>
      <c r="L240">
        <v>0</v>
      </c>
      <c r="M240">
        <v>-124500</v>
      </c>
      <c r="N240">
        <v>16.932541096417815</v>
      </c>
      <c r="O240">
        <v>1042.4172258642359</v>
      </c>
      <c r="P240">
        <v>40.373197838194997</v>
      </c>
      <c r="Q240">
        <v>1139.631091189683</v>
      </c>
      <c r="R240">
        <v>0.97213865325447146</v>
      </c>
      <c r="S240">
        <v>0.23440656741777183</v>
      </c>
      <c r="T240" t="str">
        <v/>
      </c>
      <c r="U240">
        <v>3</v>
      </c>
      <c r="V240">
        <v>-500</v>
      </c>
      <c r="W240">
        <v>1000</v>
      </c>
      <c r="X240">
        <v>0</v>
      </c>
      <c r="Y240">
        <v>1000</v>
      </c>
      <c r="Z240">
        <v>-500</v>
      </c>
      <c r="AA240">
        <v>0</v>
      </c>
      <c r="AB240">
        <v>533.86508219283564</v>
      </c>
      <c r="AC240">
        <v>1084.8344517284718</v>
      </c>
      <c r="AD240">
        <v>486.06932662723574</v>
      </c>
      <c r="AE240">
        <v>-43.632897140993073</v>
      </c>
      <c r="AF240">
        <v>1.0134094069022097</v>
      </c>
      <c r="AG240" t="b">
        <v>0</v>
      </c>
      <c r="AH240">
        <v>25000</v>
      </c>
      <c r="AI240">
        <v>4</v>
      </c>
      <c r="AJ240">
        <v>0</v>
      </c>
      <c r="AK240">
        <v>1000</v>
      </c>
      <c r="AL240">
        <v>0</v>
      </c>
      <c r="AM240">
        <v>1</v>
      </c>
      <c r="AN240">
        <v>0</v>
      </c>
      <c r="AO240">
        <v>999</v>
      </c>
      <c r="AP240">
        <v>33.865082192835629</v>
      </c>
      <c r="AQ240">
        <v>1084.8344517284718</v>
      </c>
      <c r="AR240">
        <v>234.17216085035406</v>
      </c>
      <c r="AS240">
        <v>-72.235779410735276</v>
      </c>
      <c r="AT240">
        <v>2.7833801250153549E-2</v>
      </c>
      <c r="AU240" t="b">
        <v>0</v>
      </c>
    </row>
    <row r="241" spans="1:47" x14ac:dyDescent="0.25">
      <c r="A241">
        <v>22.700000000000053</v>
      </c>
      <c r="B241">
        <v>0.1</v>
      </c>
      <c r="C241">
        <v>18.646808247262534</v>
      </c>
      <c r="D241">
        <v>1023.5563680843297</v>
      </c>
      <c r="E241">
        <v>-5643.4533117874198</v>
      </c>
      <c r="F241">
        <v>22.505284701848201</v>
      </c>
      <c r="G241">
        <v>100</v>
      </c>
      <c r="H241">
        <v>6.7626896742418401</v>
      </c>
      <c r="I241">
        <v>387.473576490759</v>
      </c>
      <c r="J241">
        <v>0</v>
      </c>
      <c r="K241">
        <v>0</v>
      </c>
      <c r="L241">
        <v>0</v>
      </c>
      <c r="M241">
        <v>387.473576490759</v>
      </c>
      <c r="N241">
        <v>11.756094559010203</v>
      </c>
      <c r="O241">
        <v>1016.3094332242298</v>
      </c>
      <c r="P241">
        <v>-57.151042323513117</v>
      </c>
      <c r="Q241">
        <v>943.84008462323027</v>
      </c>
      <c r="R241">
        <v>-0.7246934860099955</v>
      </c>
      <c r="S241">
        <v>-0.68907136882523312</v>
      </c>
      <c r="T241" t="str">
        <v/>
      </c>
      <c r="U241">
        <v>3</v>
      </c>
      <c r="V241">
        <v>-500</v>
      </c>
      <c r="W241">
        <v>1000</v>
      </c>
      <c r="X241">
        <v>0</v>
      </c>
      <c r="Y241">
        <v>1000</v>
      </c>
      <c r="Z241">
        <v>-500</v>
      </c>
      <c r="AA241">
        <v>0</v>
      </c>
      <c r="AB241">
        <v>523.51218911802039</v>
      </c>
      <c r="AC241">
        <v>1032.6188664484596</v>
      </c>
      <c r="AD241">
        <v>-362.34674300499773</v>
      </c>
      <c r="AE241">
        <v>22.505284701848201</v>
      </c>
      <c r="AF241">
        <v>0.99249669444741229</v>
      </c>
      <c r="AG241" t="b">
        <v>1</v>
      </c>
      <c r="AH241">
        <v>22.505284701848201</v>
      </c>
      <c r="AI241">
        <v>4</v>
      </c>
      <c r="AJ241">
        <v>0</v>
      </c>
      <c r="AK241">
        <v>1000</v>
      </c>
      <c r="AL241">
        <v>0</v>
      </c>
      <c r="AM241">
        <v>1</v>
      </c>
      <c r="AN241">
        <v>0</v>
      </c>
      <c r="AO241">
        <v>999</v>
      </c>
      <c r="AP241">
        <v>23.512189118020405</v>
      </c>
      <c r="AQ241">
        <v>1032.6188664484596</v>
      </c>
      <c r="AR241">
        <v>-688.38229745640785</v>
      </c>
      <c r="AS241">
        <v>17.060779319640925</v>
      </c>
      <c r="AT241">
        <v>-3.9495471321641358E-3</v>
      </c>
      <c r="AU241" t="b">
        <v>0</v>
      </c>
    </row>
    <row r="242" spans="1:47" x14ac:dyDescent="0.25">
      <c r="A242">
        <v>22.800000000000054</v>
      </c>
      <c r="B242">
        <v>0.1</v>
      </c>
      <c r="C242">
        <v>27.53223704609206</v>
      </c>
      <c r="D242">
        <v>1018.9684322673277</v>
      </c>
      <c r="E242">
        <v>-5642.7770428199956</v>
      </c>
      <c r="F242">
        <v>318.39273600371052</v>
      </c>
      <c r="G242">
        <v>100</v>
      </c>
      <c r="H242">
        <v>-19.058361528517558</v>
      </c>
      <c r="I242">
        <v>-1091.9636800185526</v>
      </c>
      <c r="J242">
        <v>0</v>
      </c>
      <c r="K242">
        <v>0</v>
      </c>
      <c r="L242">
        <v>0</v>
      </c>
      <c r="M242">
        <v>-1091.9636800185526</v>
      </c>
      <c r="N242">
        <v>26.693843439061087</v>
      </c>
      <c r="O242">
        <v>1009.0036394365816</v>
      </c>
      <c r="P242">
        <v>18.309907368751368</v>
      </c>
      <c r="Q242">
        <v>909.35571112912021</v>
      </c>
      <c r="R242">
        <v>-0.99647928307461364</v>
      </c>
      <c r="S242">
        <v>-8.3839360703097207E-2</v>
      </c>
      <c r="T242" t="str">
        <v/>
      </c>
      <c r="U242">
        <v>3</v>
      </c>
      <c r="V242">
        <v>-500</v>
      </c>
      <c r="W242">
        <v>1000</v>
      </c>
      <c r="X242">
        <v>0</v>
      </c>
      <c r="Y242">
        <v>1000</v>
      </c>
      <c r="Z242">
        <v>-500</v>
      </c>
      <c r="AA242">
        <v>0</v>
      </c>
      <c r="AB242">
        <v>553.38768687812217</v>
      </c>
      <c r="AC242">
        <v>1018.0072788731632</v>
      </c>
      <c r="AD242">
        <v>-498.2396415373068</v>
      </c>
      <c r="AE242">
        <v>9.035450700792353</v>
      </c>
      <c r="AF242">
        <v>1.0518726340572846</v>
      </c>
      <c r="AG242" t="b">
        <v>0</v>
      </c>
      <c r="AH242">
        <v>25000</v>
      </c>
      <c r="AI242">
        <v>4</v>
      </c>
      <c r="AJ242">
        <v>0</v>
      </c>
      <c r="AK242">
        <v>1000</v>
      </c>
      <c r="AL242">
        <v>0</v>
      </c>
      <c r="AM242">
        <v>1</v>
      </c>
      <c r="AN242">
        <v>0</v>
      </c>
      <c r="AO242">
        <v>999</v>
      </c>
      <c r="AP242">
        <v>53.387686878122175</v>
      </c>
      <c r="AQ242">
        <v>1018.0072788731632</v>
      </c>
      <c r="AR242">
        <v>-83.755521342394104</v>
      </c>
      <c r="AS242">
        <v>318.39273600371052</v>
      </c>
      <c r="AT242">
        <v>0.3085767025751357</v>
      </c>
      <c r="AU242" t="b">
        <v>1</v>
      </c>
    </row>
    <row r="243" spans="1:47" x14ac:dyDescent="0.25">
      <c r="A243">
        <v>22.900000000000055</v>
      </c>
      <c r="B243">
        <v>0.1</v>
      </c>
      <c r="C243">
        <v>20.277813988695737</v>
      </c>
      <c r="D243">
        <v>1012.0856024638009</v>
      </c>
      <c r="E243">
        <v>-5644.682878972847</v>
      </c>
      <c r="F243">
        <v>25000</v>
      </c>
      <c r="G243">
        <v>100</v>
      </c>
      <c r="H243">
        <v>-2172.9349187329403</v>
      </c>
      <c r="I243">
        <v>-124500</v>
      </c>
      <c r="J243">
        <v>0</v>
      </c>
      <c r="K243">
        <v>0</v>
      </c>
      <c r="L243">
        <v>0</v>
      </c>
      <c r="M243">
        <v>-124500</v>
      </c>
      <c r="N243">
        <v>11.142760892025363</v>
      </c>
      <c r="O243">
        <v>1016.153870513108</v>
      </c>
      <c r="P243">
        <v>-80.207770074678365</v>
      </c>
      <c r="Q243">
        <v>1056.836551006179</v>
      </c>
      <c r="R243">
        <v>0.40682680493071038</v>
      </c>
      <c r="S243">
        <v>-0.91350530966703736</v>
      </c>
      <c r="T243" t="str">
        <v/>
      </c>
      <c r="U243">
        <v>3</v>
      </c>
      <c r="V243">
        <v>-500</v>
      </c>
      <c r="W243">
        <v>1000</v>
      </c>
      <c r="X243">
        <v>0</v>
      </c>
      <c r="Y243">
        <v>1000</v>
      </c>
      <c r="Z243">
        <v>-500</v>
      </c>
      <c r="AA243">
        <v>0</v>
      </c>
      <c r="AB243">
        <v>522.28552178405073</v>
      </c>
      <c r="AC243">
        <v>1032.307741026216</v>
      </c>
      <c r="AD243">
        <v>203.4134024653552</v>
      </c>
      <c r="AE243">
        <v>-39.706996484313017</v>
      </c>
      <c r="AF243">
        <v>1.0948306260227514</v>
      </c>
      <c r="AG243" t="b">
        <v>0</v>
      </c>
      <c r="AH243">
        <v>25000</v>
      </c>
      <c r="AI243">
        <v>4</v>
      </c>
      <c r="AJ243">
        <v>0</v>
      </c>
      <c r="AK243">
        <v>1000</v>
      </c>
      <c r="AL243">
        <v>0</v>
      </c>
      <c r="AM243">
        <v>1</v>
      </c>
      <c r="AN243">
        <v>0</v>
      </c>
      <c r="AO243">
        <v>999</v>
      </c>
      <c r="AP243">
        <v>22.285521784050726</v>
      </c>
      <c r="AQ243">
        <v>1032.307741026216</v>
      </c>
      <c r="AR243">
        <v>-912.59180435737028</v>
      </c>
      <c r="AS243">
        <v>12.19780637737812</v>
      </c>
      <c r="AT243">
        <v>-2.1137402511291491E-2</v>
      </c>
      <c r="AU243" t="b">
        <v>0</v>
      </c>
    </row>
    <row r="244" spans="1:47" x14ac:dyDescent="0.25">
      <c r="A244">
        <v>23.000000000000057</v>
      </c>
      <c r="B244">
        <v>0.1</v>
      </c>
      <c r="C244">
        <v>30.001743547964878</v>
      </c>
      <c r="D244">
        <v>1014.4190963948776</v>
      </c>
      <c r="E244">
        <v>-5861.9763708461414</v>
      </c>
      <c r="F244">
        <v>25000</v>
      </c>
      <c r="G244">
        <v>100</v>
      </c>
      <c r="H244">
        <v>-2172.9349187329403</v>
      </c>
      <c r="I244">
        <v>-124500</v>
      </c>
      <c r="J244">
        <v>0</v>
      </c>
      <c r="K244">
        <v>0</v>
      </c>
      <c r="L244">
        <v>0</v>
      </c>
      <c r="M244">
        <v>-124500</v>
      </c>
      <c r="N244">
        <v>35.878797569944254</v>
      </c>
      <c r="O244">
        <v>1006.3283463664354</v>
      </c>
      <c r="P244">
        <v>94.649337789738013</v>
      </c>
      <c r="Q244">
        <v>925.42084608201435</v>
      </c>
      <c r="R244">
        <v>-0.80907500284421119</v>
      </c>
      <c r="S244">
        <v>0.58770540219793765</v>
      </c>
      <c r="T244" t="str">
        <v/>
      </c>
      <c r="U244">
        <v>3</v>
      </c>
      <c r="V244">
        <v>-500</v>
      </c>
      <c r="W244">
        <v>1000</v>
      </c>
      <c r="X244">
        <v>0</v>
      </c>
      <c r="Y244">
        <v>1000</v>
      </c>
      <c r="Z244">
        <v>-500</v>
      </c>
      <c r="AA244">
        <v>0</v>
      </c>
      <c r="AB244">
        <v>571.75759513988851</v>
      </c>
      <c r="AC244">
        <v>1012.6566927328709</v>
      </c>
      <c r="AD244">
        <v>-404.53750142210561</v>
      </c>
      <c r="AE244">
        <v>7.821705458936246</v>
      </c>
      <c r="AF244">
        <v>1.0809513122451244</v>
      </c>
      <c r="AG244" t="b">
        <v>0</v>
      </c>
      <c r="AH244">
        <v>25000</v>
      </c>
      <c r="AI244">
        <v>4</v>
      </c>
      <c r="AJ244">
        <v>0</v>
      </c>
      <c r="AK244">
        <v>1000</v>
      </c>
      <c r="AL244">
        <v>0</v>
      </c>
      <c r="AM244">
        <v>1</v>
      </c>
      <c r="AN244">
        <v>0</v>
      </c>
      <c r="AO244">
        <v>999</v>
      </c>
      <c r="AP244">
        <v>71.757595139888508</v>
      </c>
      <c r="AQ244">
        <v>1012.6566927328709</v>
      </c>
      <c r="AR244">
        <v>587.11769679573968</v>
      </c>
      <c r="AS244">
        <v>-61.048949755715142</v>
      </c>
      <c r="AT244">
        <v>-5.577730286654331E-2</v>
      </c>
      <c r="AU244" t="b">
        <v>0</v>
      </c>
    </row>
    <row r="245" spans="1:47" x14ac:dyDescent="0.25">
      <c r="A245">
        <v>23.100000000000058</v>
      </c>
      <c r="B245">
        <v>0.1</v>
      </c>
      <c r="C245">
        <v>20.413826559490197</v>
      </c>
      <c r="D245">
        <v>1017.2601961506268</v>
      </c>
      <c r="E245">
        <v>-6079.2698627194359</v>
      </c>
      <c r="F245">
        <v>25000</v>
      </c>
      <c r="G245">
        <v>100</v>
      </c>
      <c r="H245">
        <v>-2172.9349187329403</v>
      </c>
      <c r="I245">
        <v>-124500</v>
      </c>
      <c r="J245">
        <v>0</v>
      </c>
      <c r="K245">
        <v>0</v>
      </c>
      <c r="L245">
        <v>0</v>
      </c>
      <c r="M245">
        <v>-124500</v>
      </c>
      <c r="N245">
        <v>19.369523491267685</v>
      </c>
      <c r="O245">
        <v>1027.2055182219174</v>
      </c>
      <c r="P245">
        <v>8.9264928090425535</v>
      </c>
      <c r="Q245">
        <v>1126.658738934824</v>
      </c>
      <c r="R245">
        <v>0.99453220712906554</v>
      </c>
      <c r="S245">
        <v>-0.10443030682225132</v>
      </c>
      <c r="T245" t="str">
        <v/>
      </c>
      <c r="U245">
        <v>3</v>
      </c>
      <c r="V245">
        <v>-500</v>
      </c>
      <c r="W245">
        <v>1000</v>
      </c>
      <c r="X245">
        <v>0</v>
      </c>
      <c r="Y245">
        <v>1000</v>
      </c>
      <c r="Z245">
        <v>-500</v>
      </c>
      <c r="AA245">
        <v>0</v>
      </c>
      <c r="AB245">
        <v>538.73904698253534</v>
      </c>
      <c r="AC245">
        <v>1054.4110364438347</v>
      </c>
      <c r="AD245">
        <v>497.26610356453278</v>
      </c>
      <c r="AE245">
        <v>-27.355090189036758</v>
      </c>
      <c r="AF245">
        <v>1.044452447905718</v>
      </c>
      <c r="AG245" t="b">
        <v>0</v>
      </c>
      <c r="AH245">
        <v>25000</v>
      </c>
      <c r="AI245">
        <v>4</v>
      </c>
      <c r="AJ245">
        <v>0</v>
      </c>
      <c r="AK245">
        <v>1000</v>
      </c>
      <c r="AL245">
        <v>0</v>
      </c>
      <c r="AM245">
        <v>1</v>
      </c>
      <c r="AN245">
        <v>0</v>
      </c>
      <c r="AO245">
        <v>999</v>
      </c>
      <c r="AP245">
        <v>38.73904698253537</v>
      </c>
      <c r="AQ245">
        <v>1054.4110364438347</v>
      </c>
      <c r="AR245">
        <v>-104.32587651542907</v>
      </c>
      <c r="AS245">
        <v>185.47799083111141</v>
      </c>
      <c r="AT245">
        <v>-0.2118812350520993</v>
      </c>
      <c r="AU245" t="b">
        <v>0</v>
      </c>
    </row>
    <row r="246" spans="1:47" x14ac:dyDescent="0.25">
      <c r="A246">
        <v>23.20000000000006</v>
      </c>
      <c r="B246">
        <v>0.1</v>
      </c>
      <c r="C246">
        <v>27.296656363008054</v>
      </c>
      <c r="D246">
        <v>1010.005773093222</v>
      </c>
      <c r="E246">
        <v>-6296.5633545927303</v>
      </c>
      <c r="F246">
        <v>57.096504045700051</v>
      </c>
      <c r="G246">
        <v>100</v>
      </c>
      <c r="H246">
        <v>3.744036325093004</v>
      </c>
      <c r="I246">
        <v>214.51747977149975</v>
      </c>
      <c r="J246">
        <v>0</v>
      </c>
      <c r="K246">
        <v>0</v>
      </c>
      <c r="L246">
        <v>0</v>
      </c>
      <c r="M246">
        <v>214.51747977149975</v>
      </c>
      <c r="N246">
        <v>23.22838831368971</v>
      </c>
      <c r="O246">
        <v>1000.8707199965567</v>
      </c>
      <c r="P246">
        <v>-17.454292179493731</v>
      </c>
      <c r="Q246">
        <v>909.52018902990301</v>
      </c>
      <c r="R246">
        <v>-0.91350530966653676</v>
      </c>
      <c r="S246">
        <v>-0.40682680493183443</v>
      </c>
      <c r="T246" t="str">
        <v/>
      </c>
      <c r="U246">
        <v>3</v>
      </c>
      <c r="V246">
        <v>-500</v>
      </c>
      <c r="W246">
        <v>1000</v>
      </c>
      <c r="X246">
        <v>0</v>
      </c>
      <c r="Y246">
        <v>1000</v>
      </c>
      <c r="Z246">
        <v>-500</v>
      </c>
      <c r="AA246">
        <v>0</v>
      </c>
      <c r="AB246">
        <v>546.45677662737944</v>
      </c>
      <c r="AC246">
        <v>1001.7414399931133</v>
      </c>
      <c r="AD246">
        <v>-456.75265483326837</v>
      </c>
      <c r="AE246">
        <v>0.9531635857425983</v>
      </c>
      <c r="AF246">
        <v>1.0456812316350494</v>
      </c>
      <c r="AG246" t="b">
        <v>0</v>
      </c>
      <c r="AH246">
        <v>25000</v>
      </c>
      <c r="AI246">
        <v>4</v>
      </c>
      <c r="AJ246">
        <v>0</v>
      </c>
      <c r="AK246">
        <v>1000</v>
      </c>
      <c r="AL246">
        <v>0</v>
      </c>
      <c r="AM246">
        <v>1</v>
      </c>
      <c r="AN246">
        <v>0</v>
      </c>
      <c r="AO246">
        <v>999</v>
      </c>
      <c r="AP246">
        <v>46.456776627379419</v>
      </c>
      <c r="AQ246">
        <v>1001.7414399931133</v>
      </c>
      <c r="AR246">
        <v>-406.41997812690261</v>
      </c>
      <c r="AS246">
        <v>57.096504045700051</v>
      </c>
      <c r="AT246">
        <v>5.1338578190778014E-2</v>
      </c>
      <c r="AU246" t="b">
        <v>1</v>
      </c>
    </row>
    <row r="247" spans="1:47" x14ac:dyDescent="0.25">
      <c r="A247">
        <v>23.300000000000061</v>
      </c>
      <c r="B247">
        <v>0.1</v>
      </c>
      <c r="C247">
        <v>36.355754004858909</v>
      </c>
      <c r="D247">
        <v>1005.7710653210833</v>
      </c>
      <c r="E247">
        <v>-6296.1889509602206</v>
      </c>
      <c r="F247">
        <v>805.89551509340299</v>
      </c>
      <c r="G247">
        <v>100</v>
      </c>
      <c r="H247">
        <v>-61.601004567206047</v>
      </c>
      <c r="I247">
        <v>-3529.477575467015</v>
      </c>
      <c r="J247">
        <v>0</v>
      </c>
      <c r="K247">
        <v>0</v>
      </c>
      <c r="L247">
        <v>0</v>
      </c>
      <c r="M247">
        <v>-3529.477575467015</v>
      </c>
      <c r="N247">
        <v>35.910160747728469</v>
      </c>
      <c r="O247">
        <v>995.78099792145076</v>
      </c>
      <c r="P247">
        <v>31.454228176424049</v>
      </c>
      <c r="Q247">
        <v>895.88032392512582</v>
      </c>
      <c r="R247">
        <v>-0.99900673996324907</v>
      </c>
      <c r="S247">
        <v>-4.4559325713044204E-2</v>
      </c>
      <c r="T247" t="str">
        <v/>
      </c>
      <c r="U247">
        <v>3</v>
      </c>
      <c r="V247">
        <v>-500</v>
      </c>
      <c r="W247">
        <v>1000</v>
      </c>
      <c r="X247">
        <v>0</v>
      </c>
      <c r="Y247">
        <v>1000</v>
      </c>
      <c r="Z247">
        <v>-500</v>
      </c>
      <c r="AA247">
        <v>0</v>
      </c>
      <c r="AB247">
        <v>571.82032149545694</v>
      </c>
      <c r="AC247">
        <v>991.56199584290152</v>
      </c>
      <c r="AD247">
        <v>-499.50336998162453</v>
      </c>
      <c r="AE247">
        <v>-4.2231968111691058</v>
      </c>
      <c r="AF247">
        <v>1.0721966870999755</v>
      </c>
      <c r="AG247" t="b">
        <v>0</v>
      </c>
      <c r="AH247">
        <v>25000</v>
      </c>
      <c r="AI247">
        <v>4</v>
      </c>
      <c r="AJ247">
        <v>0</v>
      </c>
      <c r="AK247">
        <v>1000</v>
      </c>
      <c r="AL247">
        <v>0</v>
      </c>
      <c r="AM247">
        <v>1</v>
      </c>
      <c r="AN247">
        <v>0</v>
      </c>
      <c r="AO247">
        <v>999</v>
      </c>
      <c r="AP247">
        <v>71.820321495456938</v>
      </c>
      <c r="AQ247">
        <v>991.56199584290152</v>
      </c>
      <c r="AR247">
        <v>-44.514766387331157</v>
      </c>
      <c r="AS247">
        <v>805.89551509340299</v>
      </c>
      <c r="AT247">
        <v>0.81012417754055377</v>
      </c>
      <c r="AU247" t="b">
        <v>1</v>
      </c>
    </row>
    <row r="248" spans="1:47" x14ac:dyDescent="0.25">
      <c r="A248">
        <v>23.400000000000063</v>
      </c>
      <c r="B248">
        <v>0.1</v>
      </c>
      <c r="C248">
        <v>45.866229392947012</v>
      </c>
      <c r="D248">
        <v>1002.6806190923696</v>
      </c>
      <c r="E248">
        <v>-6302.3490514169416</v>
      </c>
      <c r="F248">
        <v>25000</v>
      </c>
      <c r="G248">
        <v>100</v>
      </c>
      <c r="H248">
        <v>-2172.9349187329403</v>
      </c>
      <c r="I248">
        <v>-124500</v>
      </c>
      <c r="J248">
        <v>0</v>
      </c>
      <c r="K248">
        <v>0</v>
      </c>
      <c r="L248">
        <v>0</v>
      </c>
      <c r="M248">
        <v>-124500</v>
      </c>
      <c r="N248">
        <v>46.650530740850073</v>
      </c>
      <c r="O248">
        <v>992.71142296651885</v>
      </c>
      <c r="P248">
        <v>54.493544219880675</v>
      </c>
      <c r="Q248">
        <v>893.01946170801148</v>
      </c>
      <c r="R248">
        <v>-0.99691961258507422</v>
      </c>
      <c r="S248">
        <v>7.8430134790306E-2</v>
      </c>
      <c r="T248" t="str">
        <v/>
      </c>
      <c r="U248">
        <v>3</v>
      </c>
      <c r="V248">
        <v>-500</v>
      </c>
      <c r="W248">
        <v>1000</v>
      </c>
      <c r="X248">
        <v>0</v>
      </c>
      <c r="Y248">
        <v>1000</v>
      </c>
      <c r="Z248">
        <v>-500</v>
      </c>
      <c r="AA248">
        <v>0</v>
      </c>
      <c r="AB248">
        <v>593.30106148170012</v>
      </c>
      <c r="AC248">
        <v>985.42284593303771</v>
      </c>
      <c r="AD248">
        <v>-498.45980629253711</v>
      </c>
      <c r="AE248">
        <v>-7.3110980478971781</v>
      </c>
      <c r="AF248">
        <v>1.0921542406709766</v>
      </c>
      <c r="AG248" t="b">
        <v>0</v>
      </c>
      <c r="AH248">
        <v>25000</v>
      </c>
      <c r="AI248">
        <v>4</v>
      </c>
      <c r="AJ248">
        <v>0</v>
      </c>
      <c r="AK248">
        <v>1000</v>
      </c>
      <c r="AL248">
        <v>0</v>
      </c>
      <c r="AM248">
        <v>1</v>
      </c>
      <c r="AN248">
        <v>0</v>
      </c>
      <c r="AO248">
        <v>999</v>
      </c>
      <c r="AP248">
        <v>93.301061481700145</v>
      </c>
      <c r="AQ248">
        <v>985.42284593303771</v>
      </c>
      <c r="AR248">
        <v>78.35170465551569</v>
      </c>
      <c r="AS248">
        <v>-594.80365379425689</v>
      </c>
      <c r="AT248">
        <v>-0.5862691201914676</v>
      </c>
      <c r="AU248" t="b">
        <v>0</v>
      </c>
    </row>
    <row r="249" spans="1:47" x14ac:dyDescent="0.25">
      <c r="A249">
        <v>23.500000000000064</v>
      </c>
      <c r="B249">
        <v>0.1</v>
      </c>
      <c r="C249">
        <v>39.175139219155923</v>
      </c>
      <c r="D249">
        <v>1010.1122617295123</v>
      </c>
      <c r="E249">
        <v>-6519.6425432902361</v>
      </c>
      <c r="F249">
        <v>25000</v>
      </c>
      <c r="G249">
        <v>100</v>
      </c>
      <c r="H249">
        <v>-2172.9349187329403</v>
      </c>
      <c r="I249">
        <v>-124500</v>
      </c>
      <c r="J249">
        <v>0</v>
      </c>
      <c r="K249">
        <v>0</v>
      </c>
      <c r="L249">
        <v>0</v>
      </c>
      <c r="M249">
        <v>-124500</v>
      </c>
      <c r="N249">
        <v>43.480512390578568</v>
      </c>
      <c r="O249">
        <v>1019.1379895037581</v>
      </c>
      <c r="P249">
        <v>86.534244104805026</v>
      </c>
      <c r="Q249">
        <v>1109.3952672462174</v>
      </c>
      <c r="R249">
        <v>0.90257277742459141</v>
      </c>
      <c r="S249">
        <v>0.43053731714226456</v>
      </c>
      <c r="T249" t="str">
        <v/>
      </c>
      <c r="U249">
        <v>3</v>
      </c>
      <c r="V249">
        <v>-500</v>
      </c>
      <c r="W249">
        <v>1000</v>
      </c>
      <c r="X249">
        <v>0</v>
      </c>
      <c r="Y249">
        <v>1000</v>
      </c>
      <c r="Z249">
        <v>-500</v>
      </c>
      <c r="AA249">
        <v>0</v>
      </c>
      <c r="AB249">
        <v>586.96102478115711</v>
      </c>
      <c r="AC249">
        <v>1038.2759790075163</v>
      </c>
      <c r="AD249">
        <v>451.28638871229572</v>
      </c>
      <c r="AE249">
        <v>-21.203818664204171</v>
      </c>
      <c r="AF249">
        <v>1.068702954379442</v>
      </c>
      <c r="AG249" t="b">
        <v>0</v>
      </c>
      <c r="AH249">
        <v>25000</v>
      </c>
      <c r="AI249">
        <v>4</v>
      </c>
      <c r="AJ249">
        <v>0</v>
      </c>
      <c r="AK249">
        <v>1000</v>
      </c>
      <c r="AL249">
        <v>0</v>
      </c>
      <c r="AM249">
        <v>1</v>
      </c>
      <c r="AN249">
        <v>0</v>
      </c>
      <c r="AO249">
        <v>999</v>
      </c>
      <c r="AP249">
        <v>86.961024781157136</v>
      </c>
      <c r="AQ249">
        <v>1038.2759790075163</v>
      </c>
      <c r="AR249">
        <v>430.10677982512232</v>
      </c>
      <c r="AS249">
        <v>-100.9912745291974</v>
      </c>
      <c r="AT249">
        <v>7.208607171542436E-2</v>
      </c>
      <c r="AU249" t="b">
        <v>0</v>
      </c>
    </row>
    <row r="250" spans="1:47" x14ac:dyDescent="0.25">
      <c r="A250">
        <v>23.600000000000065</v>
      </c>
      <c r="B250">
        <v>0.1</v>
      </c>
      <c r="C250">
        <v>41.253971970096117</v>
      </c>
      <c r="D250">
        <v>1000.3307253270028</v>
      </c>
      <c r="E250">
        <v>-6736.9360351635305</v>
      </c>
      <c r="F250">
        <v>40.056834625375075</v>
      </c>
      <c r="G250">
        <v>100</v>
      </c>
      <c r="H250">
        <v>5.2310279992733255</v>
      </c>
      <c r="I250">
        <v>299.71582687312463</v>
      </c>
      <c r="J250">
        <v>0</v>
      </c>
      <c r="K250">
        <v>0</v>
      </c>
      <c r="L250">
        <v>0</v>
      </c>
      <c r="M250">
        <v>299.71582687312463</v>
      </c>
      <c r="N250">
        <v>33.012545543746853</v>
      </c>
      <c r="O250">
        <v>994.66690237257774</v>
      </c>
      <c r="P250">
        <v>-49.401718719745816</v>
      </c>
      <c r="Q250">
        <v>938.02867282832733</v>
      </c>
      <c r="R250">
        <v>-0.56638229544250374</v>
      </c>
      <c r="S250">
        <v>-0.82414264263492665</v>
      </c>
      <c r="T250" t="str">
        <v/>
      </c>
      <c r="U250">
        <v>3</v>
      </c>
      <c r="V250">
        <v>-500</v>
      </c>
      <c r="W250">
        <v>1000</v>
      </c>
      <c r="X250">
        <v>0</v>
      </c>
      <c r="Y250">
        <v>1000</v>
      </c>
      <c r="Z250">
        <v>-500</v>
      </c>
      <c r="AA250">
        <v>0</v>
      </c>
      <c r="AB250">
        <v>566.02509108749371</v>
      </c>
      <c r="AC250">
        <v>989.33380474515548</v>
      </c>
      <c r="AD250">
        <v>-283.19114772125187</v>
      </c>
      <c r="AE250">
        <v>-9.4160740375113843</v>
      </c>
      <c r="AF250">
        <v>1.0815454673685354</v>
      </c>
      <c r="AG250" t="b">
        <v>0</v>
      </c>
      <c r="AH250">
        <v>25000</v>
      </c>
      <c r="AI250">
        <v>4</v>
      </c>
      <c r="AJ250">
        <v>0</v>
      </c>
      <c r="AK250">
        <v>1000</v>
      </c>
      <c r="AL250">
        <v>0</v>
      </c>
      <c r="AM250">
        <v>1</v>
      </c>
      <c r="AN250">
        <v>0</v>
      </c>
      <c r="AO250">
        <v>999</v>
      </c>
      <c r="AP250">
        <v>66.025091087493706</v>
      </c>
      <c r="AQ250">
        <v>989.33380474515548</v>
      </c>
      <c r="AR250">
        <v>-823.31849999229178</v>
      </c>
      <c r="AS250">
        <v>40.056834625375075</v>
      </c>
      <c r="AT250">
        <v>2.8048628198901863E-2</v>
      </c>
      <c r="AU250" t="b">
        <v>1</v>
      </c>
    </row>
    <row r="251" spans="1:47" x14ac:dyDescent="0.25">
      <c r="A251">
        <v>23.700000000000067</v>
      </c>
      <c r="B251">
        <v>0.1</v>
      </c>
      <c r="C251">
        <v>47.941375407113149</v>
      </c>
      <c r="D251">
        <v>992.89576498611518</v>
      </c>
      <c r="E251">
        <v>-6736.4129323636034</v>
      </c>
      <c r="F251">
        <v>101.23678200900461</v>
      </c>
      <c r="G251">
        <v>100</v>
      </c>
      <c r="H251">
        <v>-0.10792959093280334</v>
      </c>
      <c r="I251">
        <v>-6.1839100450230688</v>
      </c>
      <c r="J251">
        <v>0</v>
      </c>
      <c r="K251">
        <v>0</v>
      </c>
      <c r="L251">
        <v>0</v>
      </c>
      <c r="M251">
        <v>-6.1839100450230688</v>
      </c>
      <c r="N251">
        <v>43.631526224022586</v>
      </c>
      <c r="O251">
        <v>983.87217368225981</v>
      </c>
      <c r="P251">
        <v>0.53303439311696366</v>
      </c>
      <c r="Q251">
        <v>893.63626064370646</v>
      </c>
      <c r="R251">
        <v>-0.90235913038553339</v>
      </c>
      <c r="S251">
        <v>-0.43098491830905622</v>
      </c>
      <c r="T251" t="str">
        <v/>
      </c>
      <c r="U251">
        <v>3</v>
      </c>
      <c r="V251">
        <v>-500</v>
      </c>
      <c r="W251">
        <v>1000</v>
      </c>
      <c r="X251">
        <v>0</v>
      </c>
      <c r="Y251">
        <v>1000</v>
      </c>
      <c r="Z251">
        <v>-500</v>
      </c>
      <c r="AA251">
        <v>0</v>
      </c>
      <c r="AB251">
        <v>587.26305244804519</v>
      </c>
      <c r="AC251">
        <v>967.74434736451963</v>
      </c>
      <c r="AD251">
        <v>-451.17956519276669</v>
      </c>
      <c r="AE251">
        <v>-17.872957423115523</v>
      </c>
      <c r="AF251">
        <v>1.1026690026379307</v>
      </c>
      <c r="AG251" t="b">
        <v>0</v>
      </c>
      <c r="AH251">
        <v>25000</v>
      </c>
      <c r="AI251">
        <v>4</v>
      </c>
      <c r="AJ251">
        <v>0</v>
      </c>
      <c r="AK251">
        <v>1000</v>
      </c>
      <c r="AL251">
        <v>0</v>
      </c>
      <c r="AM251">
        <v>1</v>
      </c>
      <c r="AN251">
        <v>0</v>
      </c>
      <c r="AO251">
        <v>999</v>
      </c>
      <c r="AP251">
        <v>87.263052448045173</v>
      </c>
      <c r="AQ251">
        <v>967.74434736451963</v>
      </c>
      <c r="AR251">
        <v>-430.55393339074715</v>
      </c>
      <c r="AS251">
        <v>101.23678200900461</v>
      </c>
      <c r="AT251">
        <v>0.10758734824265807</v>
      </c>
      <c r="AU251" t="b">
        <v>1</v>
      </c>
    </row>
    <row r="252" spans="1:47" x14ac:dyDescent="0.25">
      <c r="A252">
        <v>23.800000000000068</v>
      </c>
      <c r="B252">
        <v>0.1</v>
      </c>
      <c r="C252">
        <v>54.548145682005661</v>
      </c>
      <c r="D252">
        <v>985.38906221227387</v>
      </c>
      <c r="E252">
        <v>-6736.4237253226966</v>
      </c>
      <c r="F252">
        <v>113.77649219108599</v>
      </c>
      <c r="G252">
        <v>100</v>
      </c>
      <c r="H252">
        <v>-1.2022257405486918</v>
      </c>
      <c r="I252">
        <v>-68.882460955429963</v>
      </c>
      <c r="J252">
        <v>0</v>
      </c>
      <c r="K252">
        <v>0</v>
      </c>
      <c r="L252">
        <v>0</v>
      </c>
      <c r="M252">
        <v>-68.882460955429963</v>
      </c>
      <c r="N252">
        <v>50.141158158252416</v>
      </c>
      <c r="O252">
        <v>976.41251159605815</v>
      </c>
      <c r="P252">
        <v>6.0712829207199945</v>
      </c>
      <c r="Q252">
        <v>886.64700543390074</v>
      </c>
      <c r="R252">
        <v>-0.89765506162157449</v>
      </c>
      <c r="S252">
        <v>-0.44069875237532424</v>
      </c>
      <c r="T252" t="str">
        <v/>
      </c>
      <c r="U252">
        <v>3</v>
      </c>
      <c r="V252">
        <v>-500</v>
      </c>
      <c r="W252">
        <v>1000</v>
      </c>
      <c r="X252">
        <v>0</v>
      </c>
      <c r="Y252">
        <v>1000</v>
      </c>
      <c r="Z252">
        <v>-500</v>
      </c>
      <c r="AA252">
        <v>0</v>
      </c>
      <c r="AB252">
        <v>600.28231631650488</v>
      </c>
      <c r="AC252">
        <v>952.8250231921163</v>
      </c>
      <c r="AD252">
        <v>-448.82753081078727</v>
      </c>
      <c r="AE252">
        <v>-26.276784270933739</v>
      </c>
      <c r="AF252">
        <v>1.1234426084057769</v>
      </c>
      <c r="AG252" t="b">
        <v>0</v>
      </c>
      <c r="AH252">
        <v>25000</v>
      </c>
      <c r="AI252">
        <v>4</v>
      </c>
      <c r="AJ252">
        <v>0</v>
      </c>
      <c r="AK252">
        <v>1000</v>
      </c>
      <c r="AL252">
        <v>0</v>
      </c>
      <c r="AM252">
        <v>1</v>
      </c>
      <c r="AN252">
        <v>0</v>
      </c>
      <c r="AO252">
        <v>999</v>
      </c>
      <c r="AP252">
        <v>100.28231631650483</v>
      </c>
      <c r="AQ252">
        <v>952.8250231921163</v>
      </c>
      <c r="AR252">
        <v>-440.25805362294892</v>
      </c>
      <c r="AS252">
        <v>113.77649219108599</v>
      </c>
      <c r="AT252">
        <v>0.12584537789070843</v>
      </c>
      <c r="AU252" t="b">
        <v>1</v>
      </c>
    </row>
    <row r="253" spans="1:47" x14ac:dyDescent="0.25">
      <c r="A253">
        <v>23.90000000000007</v>
      </c>
      <c r="B253">
        <v>0.1</v>
      </c>
      <c r="C253">
        <v>60.206925349067319</v>
      </c>
      <c r="D253">
        <v>977.14417211721195</v>
      </c>
      <c r="E253">
        <v>-6736.543947896751</v>
      </c>
      <c r="F253">
        <v>100.43567836545883</v>
      </c>
      <c r="G253">
        <v>100</v>
      </c>
      <c r="H253">
        <v>-3.8020109784818332E-2</v>
      </c>
      <c r="I253">
        <v>-2.1783918272941349</v>
      </c>
      <c r="J253">
        <v>0</v>
      </c>
      <c r="K253">
        <v>0</v>
      </c>
      <c r="L253">
        <v>0</v>
      </c>
      <c r="M253">
        <v>-2.1783918272941349</v>
      </c>
      <c r="N253">
        <v>54.755161368424417</v>
      </c>
      <c r="O253">
        <v>968.76095856277084</v>
      </c>
      <c r="P253">
        <v>0.23752156199537922</v>
      </c>
      <c r="Q253">
        <v>884.92882301836005</v>
      </c>
      <c r="R253">
        <v>-0.83832135544410791</v>
      </c>
      <c r="S253">
        <v>-0.54517639806429041</v>
      </c>
      <c r="T253" t="str">
        <v/>
      </c>
      <c r="U253">
        <v>3</v>
      </c>
      <c r="V253">
        <v>-500</v>
      </c>
      <c r="W253">
        <v>1000</v>
      </c>
      <c r="X253">
        <v>0</v>
      </c>
      <c r="Y253">
        <v>1000</v>
      </c>
      <c r="Z253">
        <v>-500</v>
      </c>
      <c r="AA253">
        <v>0</v>
      </c>
      <c r="AB253">
        <v>609.51032273684882</v>
      </c>
      <c r="AC253">
        <v>937.52191712554168</v>
      </c>
      <c r="AD253">
        <v>-419.16067772205395</v>
      </c>
      <c r="AE253">
        <v>-37.263802519595856</v>
      </c>
      <c r="AF253">
        <v>1.1501410140084734</v>
      </c>
      <c r="AG253" t="b">
        <v>0</v>
      </c>
      <c r="AH253">
        <v>25000</v>
      </c>
      <c r="AI253">
        <v>4</v>
      </c>
      <c r="AJ253">
        <v>0</v>
      </c>
      <c r="AK253">
        <v>1000</v>
      </c>
      <c r="AL253">
        <v>0</v>
      </c>
      <c r="AM253">
        <v>1</v>
      </c>
      <c r="AN253">
        <v>0</v>
      </c>
      <c r="AO253">
        <v>999</v>
      </c>
      <c r="AP253">
        <v>109.51032273684883</v>
      </c>
      <c r="AQ253">
        <v>937.52191712554168</v>
      </c>
      <c r="AR253">
        <v>-544.63122166622611</v>
      </c>
      <c r="AS253">
        <v>100.43567836545883</v>
      </c>
      <c r="AT253">
        <v>0.11555196742693599</v>
      </c>
      <c r="AU253" t="b">
        <v>1</v>
      </c>
    </row>
    <row r="254" spans="1:47" x14ac:dyDescent="0.25">
      <c r="A254">
        <v>24.000000000000071</v>
      </c>
      <c r="B254">
        <v>0.1</v>
      </c>
      <c r="C254">
        <v>65.834317029397283</v>
      </c>
      <c r="D254">
        <v>968.87782692261999</v>
      </c>
      <c r="E254">
        <v>-6736.5477499077297</v>
      </c>
      <c r="F254">
        <v>110.05679881396541</v>
      </c>
      <c r="G254">
        <v>100</v>
      </c>
      <c r="H254">
        <v>-0.87762125757178588</v>
      </c>
      <c r="I254">
        <v>-50.283994069827074</v>
      </c>
      <c r="J254">
        <v>0</v>
      </c>
      <c r="K254">
        <v>0</v>
      </c>
      <c r="L254">
        <v>0</v>
      </c>
      <c r="M254">
        <v>-50.283994069827074</v>
      </c>
      <c r="N254">
        <v>60.350719458933057</v>
      </c>
      <c r="O254">
        <v>960.51540157555712</v>
      </c>
      <c r="P254">
        <v>5.5147437542908193</v>
      </c>
      <c r="Q254">
        <v>876.89114810492879</v>
      </c>
      <c r="R254">
        <v>-0.83624253470628285</v>
      </c>
      <c r="S254">
        <v>-0.54835975704642237</v>
      </c>
      <c r="T254" t="str">
        <v/>
      </c>
      <c r="U254">
        <v>3</v>
      </c>
      <c r="V254">
        <v>-500</v>
      </c>
      <c r="W254">
        <v>1000</v>
      </c>
      <c r="X254">
        <v>0</v>
      </c>
      <c r="Y254">
        <v>1000</v>
      </c>
      <c r="Z254">
        <v>-500</v>
      </c>
      <c r="AA254">
        <v>0</v>
      </c>
      <c r="AB254">
        <v>620.70143891786608</v>
      </c>
      <c r="AC254">
        <v>921.03080315111424</v>
      </c>
      <c r="AD254">
        <v>-418.12126735314143</v>
      </c>
      <c r="AE254">
        <v>-47.216682703554689</v>
      </c>
      <c r="AF254">
        <v>1.1724848962295844</v>
      </c>
      <c r="AG254" t="b">
        <v>0</v>
      </c>
      <c r="AH254">
        <v>25000</v>
      </c>
      <c r="AI254">
        <v>4</v>
      </c>
      <c r="AJ254">
        <v>0</v>
      </c>
      <c r="AK254">
        <v>1000</v>
      </c>
      <c r="AL254">
        <v>0</v>
      </c>
      <c r="AM254">
        <v>1</v>
      </c>
      <c r="AN254">
        <v>0</v>
      </c>
      <c r="AO254">
        <v>999</v>
      </c>
      <c r="AP254">
        <v>120.70143891786611</v>
      </c>
      <c r="AQ254">
        <v>921.03080315111424</v>
      </c>
      <c r="AR254">
        <v>-547.81139728937592</v>
      </c>
      <c r="AS254">
        <v>110.05679881396541</v>
      </c>
      <c r="AT254">
        <v>0.13165042525154427</v>
      </c>
      <c r="AU254" t="b">
        <v>1</v>
      </c>
    </row>
    <row r="255" spans="1:47" x14ac:dyDescent="0.25">
      <c r="A255">
        <v>24.100000000000072</v>
      </c>
      <c r="B255">
        <v>0.1</v>
      </c>
      <c r="C255">
        <v>70.71550989630758</v>
      </c>
      <c r="D255">
        <v>960.15005766604452</v>
      </c>
      <c r="E255">
        <v>-6736.6355120334865</v>
      </c>
      <c r="F255">
        <v>104.14093306564594</v>
      </c>
      <c r="G255">
        <v>100</v>
      </c>
      <c r="H255">
        <v>-0.36136458050112064</v>
      </c>
      <c r="I255">
        <v>-20.704665328229694</v>
      </c>
      <c r="J255">
        <v>0</v>
      </c>
      <c r="K255">
        <v>0</v>
      </c>
      <c r="L255">
        <v>0</v>
      </c>
      <c r="M255">
        <v>-20.704665328229694</v>
      </c>
      <c r="N255">
        <v>64.520054156022283</v>
      </c>
      <c r="O255">
        <v>952.30045078606861</v>
      </c>
      <c r="P255">
        <v>2.5654967531693345</v>
      </c>
      <c r="Q255">
        <v>873.80438198630895</v>
      </c>
      <c r="R255">
        <v>-0.78496068799759644</v>
      </c>
      <c r="S255">
        <v>-0.6195455740285295</v>
      </c>
      <c r="T255" t="str">
        <v/>
      </c>
      <c r="U255">
        <v>3</v>
      </c>
      <c r="V255">
        <v>-500</v>
      </c>
      <c r="W255">
        <v>1000</v>
      </c>
      <c r="X255">
        <v>0</v>
      </c>
      <c r="Y255">
        <v>1000</v>
      </c>
      <c r="Z255">
        <v>-500</v>
      </c>
      <c r="AA255">
        <v>0</v>
      </c>
      <c r="AB255">
        <v>629.04010831204459</v>
      </c>
      <c r="AC255">
        <v>904.60090157213722</v>
      </c>
      <c r="AD255">
        <v>-392.48034399879822</v>
      </c>
      <c r="AE255">
        <v>-60.766800100029279</v>
      </c>
      <c r="AF255">
        <v>1.2043357124117438</v>
      </c>
      <c r="AG255" t="b">
        <v>0</v>
      </c>
      <c r="AH255">
        <v>25000</v>
      </c>
      <c r="AI255">
        <v>4</v>
      </c>
      <c r="AJ255">
        <v>0</v>
      </c>
      <c r="AK255">
        <v>1000</v>
      </c>
      <c r="AL255">
        <v>0</v>
      </c>
      <c r="AM255">
        <v>1</v>
      </c>
      <c r="AN255">
        <v>0</v>
      </c>
      <c r="AO255">
        <v>999</v>
      </c>
      <c r="AP255">
        <v>129.04010831204457</v>
      </c>
      <c r="AQ255">
        <v>904.60090157213722</v>
      </c>
      <c r="AR255">
        <v>-618.92602845450097</v>
      </c>
      <c r="AS255">
        <v>104.14093306564594</v>
      </c>
      <c r="AT255">
        <v>0.12957566334519768</v>
      </c>
      <c r="AU255" t="b">
        <v>1</v>
      </c>
    </row>
    <row r="256" spans="1:47" x14ac:dyDescent="0.25">
      <c r="A256">
        <v>24.200000000000074</v>
      </c>
      <c r="B256">
        <v>0.1</v>
      </c>
      <c r="C256">
        <v>75.27819404250242</v>
      </c>
      <c r="D256">
        <v>951.25163570582811</v>
      </c>
      <c r="E256">
        <v>-6736.6716484915369</v>
      </c>
      <c r="F256">
        <v>106.2596461861816</v>
      </c>
      <c r="G256">
        <v>100</v>
      </c>
      <c r="H256">
        <v>-0.54625717979387434</v>
      </c>
      <c r="I256">
        <v>-31.298230930907991</v>
      </c>
      <c r="J256">
        <v>0</v>
      </c>
      <c r="K256">
        <v>0</v>
      </c>
      <c r="L256">
        <v>0</v>
      </c>
      <c r="M256">
        <v>-31.298230930907991</v>
      </c>
      <c r="N256">
        <v>68.803187751673903</v>
      </c>
      <c r="O256">
        <v>943.63098655147576</v>
      </c>
      <c r="P256">
        <v>4.0531248433886731</v>
      </c>
      <c r="Q256">
        <v>867.42449500795237</v>
      </c>
      <c r="R256">
        <v>-0.76206491543523414</v>
      </c>
      <c r="S256">
        <v>-0.64750062908285233</v>
      </c>
      <c r="T256" t="str">
        <v/>
      </c>
      <c r="U256">
        <v>3</v>
      </c>
      <c r="V256">
        <v>-500</v>
      </c>
      <c r="W256">
        <v>1000</v>
      </c>
      <c r="X256">
        <v>0</v>
      </c>
      <c r="Y256">
        <v>1000</v>
      </c>
      <c r="Z256">
        <v>-500</v>
      </c>
      <c r="AA256">
        <v>0</v>
      </c>
      <c r="AB256">
        <v>637.60637550334786</v>
      </c>
      <c r="AC256">
        <v>887.26197310295152</v>
      </c>
      <c r="AD256">
        <v>-381.03245771761709</v>
      </c>
      <c r="AE256">
        <v>-73.96878180165335</v>
      </c>
      <c r="AF256">
        <v>1.2333960410014733</v>
      </c>
      <c r="AG256" t="b">
        <v>0</v>
      </c>
      <c r="AH256">
        <v>25000</v>
      </c>
      <c r="AI256">
        <v>4</v>
      </c>
      <c r="AJ256">
        <v>0</v>
      </c>
      <c r="AK256">
        <v>1000</v>
      </c>
      <c r="AL256">
        <v>0</v>
      </c>
      <c r="AM256">
        <v>1</v>
      </c>
      <c r="AN256">
        <v>0</v>
      </c>
      <c r="AO256">
        <v>999</v>
      </c>
      <c r="AP256">
        <v>137.60637550334781</v>
      </c>
      <c r="AQ256">
        <v>887.26197310295152</v>
      </c>
      <c r="AR256">
        <v>-646.8531284537695</v>
      </c>
      <c r="AS256">
        <v>106.2596461861816</v>
      </c>
      <c r="AT256">
        <v>0.13748324497855319</v>
      </c>
      <c r="AU256" t="b">
        <v>1</v>
      </c>
    </row>
    <row r="257" spans="1:47" x14ac:dyDescent="0.25">
      <c r="A257">
        <v>24.300000000000075</v>
      </c>
      <c r="B257">
        <v>0.1</v>
      </c>
      <c r="C257">
        <v>79.348231445217721</v>
      </c>
      <c r="D257">
        <v>942.11737079065847</v>
      </c>
      <c r="E257">
        <v>-6736.7262742095163</v>
      </c>
      <c r="F257">
        <v>105.30785704988261</v>
      </c>
      <c r="G257">
        <v>100</v>
      </c>
      <c r="H257">
        <v>-0.46319790872822258</v>
      </c>
      <c r="I257">
        <v>-26.539285249413069</v>
      </c>
      <c r="J257">
        <v>0</v>
      </c>
      <c r="K257">
        <v>0</v>
      </c>
      <c r="L257">
        <v>0</v>
      </c>
      <c r="M257">
        <v>-26.539285249413069</v>
      </c>
      <c r="N257">
        <v>72.466806928682701</v>
      </c>
      <c r="O257">
        <v>934.86161468786463</v>
      </c>
      <c r="P257">
        <v>3.6525617633325425</v>
      </c>
      <c r="Q257">
        <v>862.30405365992567</v>
      </c>
      <c r="R257">
        <v>-0.72557561027938922</v>
      </c>
      <c r="S257">
        <v>-0.68814245165350163</v>
      </c>
      <c r="T257" t="str">
        <v/>
      </c>
      <c r="U257">
        <v>3</v>
      </c>
      <c r="V257">
        <v>-500</v>
      </c>
      <c r="W257">
        <v>1000</v>
      </c>
      <c r="X257">
        <v>0</v>
      </c>
      <c r="Y257">
        <v>1000</v>
      </c>
      <c r="Z257">
        <v>-500</v>
      </c>
      <c r="AA257">
        <v>0</v>
      </c>
      <c r="AB257">
        <v>644.93361385736534</v>
      </c>
      <c r="AC257">
        <v>869.72322937572926</v>
      </c>
      <c r="AD257">
        <v>-362.78780513969463</v>
      </c>
      <c r="AE257">
        <v>-89.774772455558775</v>
      </c>
      <c r="AF257">
        <v>1.2684892778857721</v>
      </c>
      <c r="AG257" t="b">
        <v>0</v>
      </c>
      <c r="AH257">
        <v>25000</v>
      </c>
      <c r="AI257">
        <v>4</v>
      </c>
      <c r="AJ257">
        <v>0</v>
      </c>
      <c r="AK257">
        <v>1000</v>
      </c>
      <c r="AL257">
        <v>0</v>
      </c>
      <c r="AM257">
        <v>1</v>
      </c>
      <c r="AN257">
        <v>0</v>
      </c>
      <c r="AO257">
        <v>999</v>
      </c>
      <c r="AP257">
        <v>144.9336138573654</v>
      </c>
      <c r="AQ257">
        <v>869.72322937572926</v>
      </c>
      <c r="AR257">
        <v>-687.4543092018481</v>
      </c>
      <c r="AS257">
        <v>105.30785704988261</v>
      </c>
      <c r="AT257">
        <v>0.14168888684516379</v>
      </c>
      <c r="AU257" t="b">
        <v>1</v>
      </c>
    </row>
    <row r="258" spans="1:47" x14ac:dyDescent="0.25">
      <c r="A258">
        <v>24.400000000000077</v>
      </c>
      <c r="B258">
        <v>0.1</v>
      </c>
      <c r="C258">
        <v>82.99095748630576</v>
      </c>
      <c r="D258">
        <v>932.8044471364251</v>
      </c>
      <c r="E258">
        <v>-6736.7725940003893</v>
      </c>
      <c r="F258">
        <v>105.10521213597163</v>
      </c>
      <c r="G258">
        <v>100</v>
      </c>
      <c r="H258">
        <v>-0.44551380392738665</v>
      </c>
      <c r="I258">
        <v>-25.526060679858134</v>
      </c>
      <c r="J258">
        <v>0</v>
      </c>
      <c r="K258">
        <v>0</v>
      </c>
      <c r="L258">
        <v>0</v>
      </c>
      <c r="M258">
        <v>-25.526060679858134</v>
      </c>
      <c r="N258">
        <v>75.78094883888933</v>
      </c>
      <c r="O258">
        <v>925.87510551516118</v>
      </c>
      <c r="P258">
        <v>3.6808623647250869</v>
      </c>
      <c r="Q258">
        <v>856.58168930252202</v>
      </c>
      <c r="R258">
        <v>-0.69293416212639114</v>
      </c>
      <c r="S258">
        <v>-0.72100086474164249</v>
      </c>
      <c r="T258" t="str">
        <v/>
      </c>
      <c r="U258">
        <v>3</v>
      </c>
      <c r="V258">
        <v>-500</v>
      </c>
      <c r="W258">
        <v>1000</v>
      </c>
      <c r="X258">
        <v>0</v>
      </c>
      <c r="Y258">
        <v>1000</v>
      </c>
      <c r="Z258">
        <v>-500</v>
      </c>
      <c r="AA258">
        <v>0</v>
      </c>
      <c r="AB258">
        <v>651.56189767777869</v>
      </c>
      <c r="AC258">
        <v>851.75021103032236</v>
      </c>
      <c r="AD258">
        <v>-346.46708106319556</v>
      </c>
      <c r="AE258">
        <v>-106.97249253431734</v>
      </c>
      <c r="AF258">
        <v>1.305816416919402</v>
      </c>
      <c r="AG258" t="b">
        <v>0</v>
      </c>
      <c r="AH258">
        <v>25000</v>
      </c>
      <c r="AI258">
        <v>4</v>
      </c>
      <c r="AJ258">
        <v>0</v>
      </c>
      <c r="AK258">
        <v>1000</v>
      </c>
      <c r="AL258">
        <v>0</v>
      </c>
      <c r="AM258">
        <v>1</v>
      </c>
      <c r="AN258">
        <v>0</v>
      </c>
      <c r="AO258">
        <v>999</v>
      </c>
      <c r="AP258">
        <v>151.56189767777866</v>
      </c>
      <c r="AQ258">
        <v>851.75021103032236</v>
      </c>
      <c r="AR258">
        <v>-720.27986387690089</v>
      </c>
      <c r="AS258">
        <v>105.10521213597163</v>
      </c>
      <c r="AT258">
        <v>0.1471029895809759</v>
      </c>
      <c r="AU258" t="b">
        <v>1</v>
      </c>
    </row>
    <row r="259" spans="1:47" x14ac:dyDescent="0.25">
      <c r="A259">
        <v>24.500000000000078</v>
      </c>
      <c r="B259">
        <v>0.1</v>
      </c>
      <c r="C259">
        <v>86.215302671507871</v>
      </c>
      <c r="D259">
        <v>923.33852942462011</v>
      </c>
      <c r="E259">
        <v>-6736.8171453807818</v>
      </c>
      <c r="F259">
        <v>104.77829218836695</v>
      </c>
      <c r="G259">
        <v>100</v>
      </c>
      <c r="H259">
        <v>-0.41698465654664163</v>
      </c>
      <c r="I259">
        <v>-23.891460941834737</v>
      </c>
      <c r="J259">
        <v>0</v>
      </c>
      <c r="K259">
        <v>0</v>
      </c>
      <c r="L259">
        <v>0</v>
      </c>
      <c r="M259">
        <v>-23.891460941834737</v>
      </c>
      <c r="N259">
        <v>78.703838523738824</v>
      </c>
      <c r="O259">
        <v>916.73717302182069</v>
      </c>
      <c r="P259">
        <v>3.5891970460483265</v>
      </c>
      <c r="Q259">
        <v>850.72360899382704</v>
      </c>
      <c r="R259">
        <v>-0.66013564027993654</v>
      </c>
      <c r="S259">
        <v>-0.75114641477690502</v>
      </c>
      <c r="T259" t="str">
        <v/>
      </c>
      <c r="U259">
        <v>3</v>
      </c>
      <c r="V259">
        <v>-500</v>
      </c>
      <c r="W259">
        <v>1000</v>
      </c>
      <c r="X259">
        <v>0</v>
      </c>
      <c r="Y259">
        <v>1000</v>
      </c>
      <c r="Z259">
        <v>-500</v>
      </c>
      <c r="AA259">
        <v>0</v>
      </c>
      <c r="AB259">
        <v>657.40767704747759</v>
      </c>
      <c r="AC259">
        <v>833.47434604364139</v>
      </c>
      <c r="AD259">
        <v>-330.06782013996826</v>
      </c>
      <c r="AE259">
        <v>-126.12987679754868</v>
      </c>
      <c r="AF259">
        <v>1.3468916865529403</v>
      </c>
      <c r="AG259" t="b">
        <v>0</v>
      </c>
      <c r="AH259">
        <v>25000</v>
      </c>
      <c r="AI259">
        <v>4</v>
      </c>
      <c r="AJ259">
        <v>0</v>
      </c>
      <c r="AK259">
        <v>1000</v>
      </c>
      <c r="AL259">
        <v>0</v>
      </c>
      <c r="AM259">
        <v>1</v>
      </c>
      <c r="AN259">
        <v>0</v>
      </c>
      <c r="AO259">
        <v>999</v>
      </c>
      <c r="AP259">
        <v>157.40767704747765</v>
      </c>
      <c r="AQ259">
        <v>833.47434604364139</v>
      </c>
      <c r="AR259">
        <v>-750.39526836212815</v>
      </c>
      <c r="AS259">
        <v>104.77829218836695</v>
      </c>
      <c r="AT259">
        <v>0.15258329527465983</v>
      </c>
      <c r="AU259" t="b">
        <v>1</v>
      </c>
    </row>
    <row r="260" spans="1:47" x14ac:dyDescent="0.25">
      <c r="A260">
        <v>24.60000000000008</v>
      </c>
      <c r="B260">
        <v>0.1</v>
      </c>
      <c r="C260">
        <v>89.042245209505012</v>
      </c>
      <c r="D260">
        <v>913.74642872212212</v>
      </c>
      <c r="E260">
        <v>-6736.8588438464367</v>
      </c>
      <c r="F260">
        <v>104.44840020092414</v>
      </c>
      <c r="G260">
        <v>100</v>
      </c>
      <c r="H260">
        <v>-0.38819614976251782</v>
      </c>
      <c r="I260">
        <v>-22.242001004620704</v>
      </c>
      <c r="J260">
        <v>0</v>
      </c>
      <c r="K260">
        <v>0</v>
      </c>
      <c r="L260">
        <v>0</v>
      </c>
      <c r="M260">
        <v>-22.242001004620704</v>
      </c>
      <c r="N260">
        <v>81.262123770220271</v>
      </c>
      <c r="O260">
        <v>907.46393635125673</v>
      </c>
      <c r="P260">
        <v>3.4609093773728574</v>
      </c>
      <c r="Q260">
        <v>844.63901264260278</v>
      </c>
      <c r="R260">
        <v>-0.62824923708653968</v>
      </c>
      <c r="S260">
        <v>-0.77801214392847418</v>
      </c>
      <c r="T260" t="str">
        <v/>
      </c>
      <c r="U260">
        <v>3</v>
      </c>
      <c r="V260">
        <v>-500</v>
      </c>
      <c r="W260">
        <v>1000</v>
      </c>
      <c r="X260">
        <v>0</v>
      </c>
      <c r="Y260">
        <v>1000</v>
      </c>
      <c r="Z260">
        <v>-500</v>
      </c>
      <c r="AA260">
        <v>0</v>
      </c>
      <c r="AB260">
        <v>662.52424754044057</v>
      </c>
      <c r="AC260">
        <v>814.92787270251347</v>
      </c>
      <c r="AD260">
        <v>-314.12461854326983</v>
      </c>
      <c r="AE260">
        <v>-147.2919634218301</v>
      </c>
      <c r="AF260">
        <v>1.3917141200309457</v>
      </c>
      <c r="AG260" t="b">
        <v>0</v>
      </c>
      <c r="AH260">
        <v>25000</v>
      </c>
      <c r="AI260">
        <v>4</v>
      </c>
      <c r="AJ260">
        <v>0</v>
      </c>
      <c r="AK260">
        <v>1000</v>
      </c>
      <c r="AL260">
        <v>0</v>
      </c>
      <c r="AM260">
        <v>1</v>
      </c>
      <c r="AN260">
        <v>0</v>
      </c>
      <c r="AO260">
        <v>999</v>
      </c>
      <c r="AP260">
        <v>162.52424754044054</v>
      </c>
      <c r="AQ260">
        <v>814.92787270251347</v>
      </c>
      <c r="AR260">
        <v>-777.23413178454575</v>
      </c>
      <c r="AS260">
        <v>104.44840020092414</v>
      </c>
      <c r="AT260">
        <v>0.15831400539527871</v>
      </c>
      <c r="AU260" t="b">
        <v>1</v>
      </c>
    </row>
    <row r="261" spans="1:47" x14ac:dyDescent="0.25">
      <c r="A261">
        <v>24.700000000000081</v>
      </c>
      <c r="B261">
        <v>0.1</v>
      </c>
      <c r="C261">
        <v>91.494789826153436</v>
      </c>
      <c r="D261">
        <v>904.05184131969236</v>
      </c>
      <c r="E261">
        <v>-6736.8976634614128</v>
      </c>
      <c r="F261">
        <v>104.11055911619101</v>
      </c>
      <c r="G261">
        <v>100</v>
      </c>
      <c r="H261">
        <v>-0.35871395337700662</v>
      </c>
      <c r="I261">
        <v>-20.552795580955063</v>
      </c>
      <c r="J261">
        <v>0</v>
      </c>
      <c r="K261">
        <v>0</v>
      </c>
      <c r="L261">
        <v>0</v>
      </c>
      <c r="M261">
        <v>-20.552795580955063</v>
      </c>
      <c r="N261">
        <v>83.476707140835018</v>
      </c>
      <c r="O261">
        <v>898.07602756327412</v>
      </c>
      <c r="P261">
        <v>3.2958802876508884</v>
      </c>
      <c r="Q261">
        <v>838.31788999909202</v>
      </c>
      <c r="R261">
        <v>-0.59758137564182057</v>
      </c>
      <c r="S261">
        <v>-0.80180826853184128</v>
      </c>
      <c r="T261" t="str">
        <v/>
      </c>
      <c r="U261">
        <v>3</v>
      </c>
      <c r="V261">
        <v>-500</v>
      </c>
      <c r="W261">
        <v>1000</v>
      </c>
      <c r="X261">
        <v>0</v>
      </c>
      <c r="Y261">
        <v>1000</v>
      </c>
      <c r="Z261">
        <v>-500</v>
      </c>
      <c r="AA261">
        <v>0</v>
      </c>
      <c r="AB261">
        <v>666.95341428167001</v>
      </c>
      <c r="AC261">
        <v>796.15205512654825</v>
      </c>
      <c r="AD261">
        <v>-298.79068782091031</v>
      </c>
      <c r="AE261">
        <v>-170.56082500438777</v>
      </c>
      <c r="AF261">
        <v>1.4404675738339308</v>
      </c>
      <c r="AG261" t="b">
        <v>0</v>
      </c>
      <c r="AH261">
        <v>25000</v>
      </c>
      <c r="AI261">
        <v>4</v>
      </c>
      <c r="AJ261">
        <v>0</v>
      </c>
      <c r="AK261">
        <v>1000</v>
      </c>
      <c r="AL261">
        <v>0</v>
      </c>
      <c r="AM261">
        <v>1</v>
      </c>
      <c r="AN261">
        <v>0</v>
      </c>
      <c r="AO261">
        <v>999</v>
      </c>
      <c r="AP261">
        <v>166.95341428167004</v>
      </c>
      <c r="AQ261">
        <v>796.15205512654825</v>
      </c>
      <c r="AR261">
        <v>-801.00646026330946</v>
      </c>
      <c r="AS261">
        <v>104.11055911619101</v>
      </c>
      <c r="AT261">
        <v>0.16430280637859696</v>
      </c>
      <c r="AU261" t="b">
        <v>1</v>
      </c>
    </row>
    <row r="262" spans="1:47" x14ac:dyDescent="0.25">
      <c r="A262">
        <v>24.800000000000082</v>
      </c>
      <c r="B262">
        <v>0.1</v>
      </c>
      <c r="C262">
        <v>93.598072895457506</v>
      </c>
      <c r="D262">
        <v>894.27553320617733</v>
      </c>
      <c r="E262">
        <v>-6736.9335348567502</v>
      </c>
      <c r="F262">
        <v>103.76607451281744</v>
      </c>
      <c r="G262">
        <v>100</v>
      </c>
      <c r="H262">
        <v>-0.32865200062052857</v>
      </c>
      <c r="I262">
        <v>-18.830372564087199</v>
      </c>
      <c r="J262">
        <v>0</v>
      </c>
      <c r="K262">
        <v>0</v>
      </c>
      <c r="L262">
        <v>0</v>
      </c>
      <c r="M262">
        <v>-18.830372564087199</v>
      </c>
      <c r="N262">
        <v>85.37083351005424</v>
      </c>
      <c r="O262">
        <v>888.59112188263032</v>
      </c>
      <c r="P262">
        <v>3.0984396560215117</v>
      </c>
      <c r="Q262">
        <v>831.74700864716044</v>
      </c>
      <c r="R262">
        <v>-0.56844113235469862</v>
      </c>
      <c r="S262">
        <v>-0.82272393854032722</v>
      </c>
      <c r="T262" t="str">
        <v/>
      </c>
      <c r="U262">
        <v>3</v>
      </c>
      <c r="V262">
        <v>-500</v>
      </c>
      <c r="W262">
        <v>1000</v>
      </c>
      <c r="X262">
        <v>0</v>
      </c>
      <c r="Y262">
        <v>1000</v>
      </c>
      <c r="Z262">
        <v>-500</v>
      </c>
      <c r="AA262">
        <v>0</v>
      </c>
      <c r="AB262">
        <v>670.74166702010848</v>
      </c>
      <c r="AC262">
        <v>777.18224376526064</v>
      </c>
      <c r="AD262">
        <v>-284.22056617734933</v>
      </c>
      <c r="AE262">
        <v>-195.99017695266329</v>
      </c>
      <c r="AF262">
        <v>1.4932332876155299</v>
      </c>
      <c r="AG262" t="b">
        <v>0</v>
      </c>
      <c r="AH262">
        <v>25000</v>
      </c>
      <c r="AI262">
        <v>4</v>
      </c>
      <c r="AJ262">
        <v>0</v>
      </c>
      <c r="AK262">
        <v>1000</v>
      </c>
      <c r="AL262">
        <v>0</v>
      </c>
      <c r="AM262">
        <v>1</v>
      </c>
      <c r="AN262">
        <v>0</v>
      </c>
      <c r="AO262">
        <v>999</v>
      </c>
      <c r="AP262">
        <v>170.74166702010848</v>
      </c>
      <c r="AQ262">
        <v>777.18224376526064</v>
      </c>
      <c r="AR262">
        <v>-821.90121460178693</v>
      </c>
      <c r="AS262">
        <v>103.76607451281744</v>
      </c>
      <c r="AT262">
        <v>0.17056434736079845</v>
      </c>
      <c r="AU262" t="b">
        <v>1</v>
      </c>
    </row>
    <row r="263" spans="1:47" x14ac:dyDescent="0.25">
      <c r="A263">
        <v>24.900000000000084</v>
      </c>
      <c r="B263">
        <v>0.1</v>
      </c>
      <c r="C263">
        <v>95.37897768191857</v>
      </c>
      <c r="D263">
        <v>884.4353920414602</v>
      </c>
      <c r="E263">
        <v>-6736.9664000568118</v>
      </c>
      <c r="F263">
        <v>103.41702203795222</v>
      </c>
      <c r="G263">
        <v>100</v>
      </c>
      <c r="H263">
        <v>-0.29819142587736458</v>
      </c>
      <c r="I263">
        <v>-17.08511018976111</v>
      </c>
      <c r="J263">
        <v>0</v>
      </c>
      <c r="K263">
        <v>0</v>
      </c>
      <c r="L263">
        <v>0</v>
      </c>
      <c r="M263">
        <v>-17.08511018976111</v>
      </c>
      <c r="N263">
        <v>86.969395419213569</v>
      </c>
      <c r="O263">
        <v>879.02439156402556</v>
      </c>
      <c r="P263">
        <v>2.8735727921635146</v>
      </c>
      <c r="Q263">
        <v>824.91438678967961</v>
      </c>
      <c r="R263">
        <v>-0.54110004774345899</v>
      </c>
      <c r="S263">
        <v>-0.84095822627050054</v>
      </c>
      <c r="T263" t="str">
        <v/>
      </c>
      <c r="U263">
        <v>3</v>
      </c>
      <c r="V263">
        <v>-500</v>
      </c>
      <c r="W263">
        <v>1000</v>
      </c>
      <c r="X263">
        <v>0</v>
      </c>
      <c r="Y263">
        <v>1000</v>
      </c>
      <c r="Z263">
        <v>-500</v>
      </c>
      <c r="AA263">
        <v>0</v>
      </c>
      <c r="AB263">
        <v>673.93879083842717</v>
      </c>
      <c r="AC263">
        <v>758.04878312805113</v>
      </c>
      <c r="AD263">
        <v>-270.55002387172948</v>
      </c>
      <c r="AE263">
        <v>-223.5734573310003</v>
      </c>
      <c r="AF263">
        <v>1.54997066707491</v>
      </c>
      <c r="AG263" t="b">
        <v>0</v>
      </c>
      <c r="AH263">
        <v>25000</v>
      </c>
      <c r="AI263">
        <v>4</v>
      </c>
      <c r="AJ263">
        <v>0</v>
      </c>
      <c r="AK263">
        <v>1000</v>
      </c>
      <c r="AL263">
        <v>0</v>
      </c>
      <c r="AM263">
        <v>1</v>
      </c>
      <c r="AN263">
        <v>0</v>
      </c>
      <c r="AO263">
        <v>999</v>
      </c>
      <c r="AP263">
        <v>173.93879083842714</v>
      </c>
      <c r="AQ263">
        <v>758.04878312805113</v>
      </c>
      <c r="AR263">
        <v>-840.11726804423006</v>
      </c>
      <c r="AS263">
        <v>103.41702203795222</v>
      </c>
      <c r="AT263">
        <v>0.17711167567387059</v>
      </c>
      <c r="AU263" t="b">
        <v>1</v>
      </c>
    </row>
    <row r="264" spans="1:47" x14ac:dyDescent="0.25">
      <c r="A264">
        <v>25.000000000000085</v>
      </c>
      <c r="B264">
        <v>0.1</v>
      </c>
      <c r="C264">
        <v>96.865709663655707</v>
      </c>
      <c r="D264">
        <v>874.54652820305694</v>
      </c>
      <c r="E264">
        <v>-6736.9962191994</v>
      </c>
      <c r="F264">
        <v>103.06615378189473</v>
      </c>
      <c r="G264">
        <v>100</v>
      </c>
      <c r="H264">
        <v>-0.26757239433269542</v>
      </c>
      <c r="I264">
        <v>-15.330768909473633</v>
      </c>
      <c r="J264">
        <v>0</v>
      </c>
      <c r="K264">
        <v>0</v>
      </c>
      <c r="L264">
        <v>0</v>
      </c>
      <c r="M264">
        <v>-15.330768909473633</v>
      </c>
      <c r="N264">
        <v>88.298538461342574</v>
      </c>
      <c r="O264">
        <v>869.38866259892802</v>
      </c>
      <c r="P264">
        <v>2.6268264382111965</v>
      </c>
      <c r="Q264">
        <v>817.81000655763853</v>
      </c>
      <c r="R264">
        <v>-0.51578656041289472</v>
      </c>
      <c r="S264">
        <v>-0.85671712023131374</v>
      </c>
      <c r="T264" t="str">
        <v/>
      </c>
      <c r="U264">
        <v>3</v>
      </c>
      <c r="V264">
        <v>-500</v>
      </c>
      <c r="W264">
        <v>1000</v>
      </c>
      <c r="X264">
        <v>0</v>
      </c>
      <c r="Y264">
        <v>1000</v>
      </c>
      <c r="Z264">
        <v>-500</v>
      </c>
      <c r="AA264">
        <v>0</v>
      </c>
      <c r="AB264">
        <v>676.59707692268512</v>
      </c>
      <c r="AC264">
        <v>738.77732519785604</v>
      </c>
      <c r="AD264">
        <v>-257.89328020644734</v>
      </c>
      <c r="AE264">
        <v>-253.22749258242729</v>
      </c>
      <c r="AF264">
        <v>1.6104857333399121</v>
      </c>
      <c r="AG264" t="b">
        <v>0</v>
      </c>
      <c r="AH264">
        <v>25000</v>
      </c>
      <c r="AI264">
        <v>4</v>
      </c>
      <c r="AJ264">
        <v>0</v>
      </c>
      <c r="AK264">
        <v>1000</v>
      </c>
      <c r="AL264">
        <v>0</v>
      </c>
      <c r="AM264">
        <v>1</v>
      </c>
      <c r="AN264">
        <v>0</v>
      </c>
      <c r="AO264">
        <v>999</v>
      </c>
      <c r="AP264">
        <v>176.59707692268515</v>
      </c>
      <c r="AQ264">
        <v>738.77732519785604</v>
      </c>
      <c r="AR264">
        <v>-855.86040311108241</v>
      </c>
      <c r="AS264">
        <v>103.06615378189473</v>
      </c>
      <c r="AT264">
        <v>0.18395542978500692</v>
      </c>
      <c r="AU264" t="b">
        <v>1</v>
      </c>
    </row>
    <row r="265" spans="1:47" x14ac:dyDescent="0.25">
      <c r="A265">
        <v>25.100000000000087</v>
      </c>
      <c r="B265">
        <v>0.1</v>
      </c>
      <c r="C265">
        <v>98.08734233902328</v>
      </c>
      <c r="D265">
        <v>864.62142802187623</v>
      </c>
      <c r="E265">
        <v>-6737.0229764388332</v>
      </c>
      <c r="F265">
        <v>102.71688576354244</v>
      </c>
      <c r="G265">
        <v>100</v>
      </c>
      <c r="H265">
        <v>-0.23709300987187812</v>
      </c>
      <c r="I265">
        <v>-13.58442881771218</v>
      </c>
      <c r="J265">
        <v>0</v>
      </c>
      <c r="K265">
        <v>0</v>
      </c>
      <c r="L265">
        <v>0</v>
      </c>
      <c r="M265">
        <v>-13.58442881771218</v>
      </c>
      <c r="N265">
        <v>89.385244008805842</v>
      </c>
      <c r="O265">
        <v>859.69461519295464</v>
      </c>
      <c r="P265">
        <v>2.3642607066314127</v>
      </c>
      <c r="Q265">
        <v>810.42648690373835</v>
      </c>
      <c r="R265">
        <v>-0.49268128289216351</v>
      </c>
      <c r="S265">
        <v>-0.87020983302174426</v>
      </c>
      <c r="T265" t="str">
        <v/>
      </c>
      <c r="U265">
        <v>3</v>
      </c>
      <c r="V265">
        <v>-500</v>
      </c>
      <c r="W265">
        <v>1000</v>
      </c>
      <c r="X265">
        <v>0</v>
      </c>
      <c r="Y265">
        <v>1000</v>
      </c>
      <c r="Z265">
        <v>-500</v>
      </c>
      <c r="AA265">
        <v>0</v>
      </c>
      <c r="AB265">
        <v>678.77048801761168</v>
      </c>
      <c r="AC265">
        <v>719.38923038590929</v>
      </c>
      <c r="AD265">
        <v>-246.34064144608175</v>
      </c>
      <c r="AE265">
        <v>-284.77920651545224</v>
      </c>
      <c r="AF265">
        <v>1.6744058195173646</v>
      </c>
      <c r="AG265" t="b">
        <v>0</v>
      </c>
      <c r="AH265">
        <v>25000</v>
      </c>
      <c r="AI265">
        <v>4</v>
      </c>
      <c r="AJ265">
        <v>0</v>
      </c>
      <c r="AK265">
        <v>1000</v>
      </c>
      <c r="AL265">
        <v>0</v>
      </c>
      <c r="AM265">
        <v>1</v>
      </c>
      <c r="AN265">
        <v>0</v>
      </c>
      <c r="AO265">
        <v>999</v>
      </c>
      <c r="AP265">
        <v>178.77048801761168</v>
      </c>
      <c r="AQ265">
        <v>719.38923038590929</v>
      </c>
      <c r="AR265">
        <v>-869.3396231887225</v>
      </c>
      <c r="AS265">
        <v>102.71688576354244</v>
      </c>
      <c r="AT265">
        <v>0.19110317503474999</v>
      </c>
      <c r="AU265" t="b">
        <v>1</v>
      </c>
    </row>
    <row r="266" spans="1:47" x14ac:dyDescent="0.25">
      <c r="A266">
        <v>25.200000000000088</v>
      </c>
      <c r="B266">
        <v>0.1</v>
      </c>
      <c r="C266">
        <v>99.073336530072666</v>
      </c>
      <c r="D266">
        <v>854.67015596976069</v>
      </c>
      <c r="E266">
        <v>-6737.0466857398205</v>
      </c>
      <c r="F266">
        <v>102.37323821247634</v>
      </c>
      <c r="G266">
        <v>100</v>
      </c>
      <c r="H266">
        <v>-0.20710410370928431</v>
      </c>
      <c r="I266">
        <v>-11.866191062381688</v>
      </c>
      <c r="J266">
        <v>0</v>
      </c>
      <c r="K266">
        <v>0</v>
      </c>
      <c r="L266">
        <v>0</v>
      </c>
      <c r="M266">
        <v>-11.866191062381688</v>
      </c>
      <c r="N266">
        <v>90.256883599994779</v>
      </c>
      <c r="O266">
        <v>849.95102917217184</v>
      </c>
      <c r="P266">
        <v>2.0923542992159838</v>
      </c>
      <c r="Q266">
        <v>802.75976119628342</v>
      </c>
      <c r="R266">
        <v>-0.47191267975888468</v>
      </c>
      <c r="S266">
        <v>-0.88164529300778793</v>
      </c>
      <c r="T266" t="str">
        <v/>
      </c>
      <c r="U266">
        <v>3</v>
      </c>
      <c r="V266">
        <v>-500</v>
      </c>
      <c r="W266">
        <v>1000</v>
      </c>
      <c r="X266">
        <v>0</v>
      </c>
      <c r="Y266">
        <v>1000</v>
      </c>
      <c r="Z266">
        <v>-500</v>
      </c>
      <c r="AA266">
        <v>0</v>
      </c>
      <c r="AB266">
        <v>680.51376719998962</v>
      </c>
      <c r="AC266">
        <v>699.90205834434369</v>
      </c>
      <c r="AD266">
        <v>-235.95633987944234</v>
      </c>
      <c r="AE266">
        <v>-317.95918453492919</v>
      </c>
      <c r="AF266">
        <v>1.7411682040276195</v>
      </c>
      <c r="AG266" t="b">
        <v>0</v>
      </c>
      <c r="AH266">
        <v>25000</v>
      </c>
      <c r="AI266">
        <v>4</v>
      </c>
      <c r="AJ266">
        <v>0</v>
      </c>
      <c r="AK266">
        <v>1000</v>
      </c>
      <c r="AL266">
        <v>0</v>
      </c>
      <c r="AM266">
        <v>1</v>
      </c>
      <c r="AN266">
        <v>0</v>
      </c>
      <c r="AO266">
        <v>999</v>
      </c>
      <c r="AP266">
        <v>180.51376719998956</v>
      </c>
      <c r="AQ266">
        <v>699.90205834434369</v>
      </c>
      <c r="AR266">
        <v>-880.76364771478018</v>
      </c>
      <c r="AS266">
        <v>102.37323821247634</v>
      </c>
      <c r="AT266">
        <v>0.19855875876703954</v>
      </c>
      <c r="AU266" t="b">
        <v>1</v>
      </c>
    </row>
    <row r="267" spans="1:47" x14ac:dyDescent="0.25">
      <c r="A267">
        <v>25.30000000000009</v>
      </c>
      <c r="B267">
        <v>0.1</v>
      </c>
      <c r="C267">
        <v>99.853039076672459</v>
      </c>
      <c r="D267">
        <v>844.70059911206511</v>
      </c>
      <c r="E267">
        <v>-6737.0673961501916</v>
      </c>
      <c r="F267">
        <v>102.03970687002629</v>
      </c>
      <c r="G267">
        <v>100</v>
      </c>
      <c r="H267">
        <v>-0.17799800328753429</v>
      </c>
      <c r="I267">
        <v>-10.198534350131467</v>
      </c>
      <c r="J267">
        <v>0</v>
      </c>
      <c r="K267">
        <v>0</v>
      </c>
      <c r="L267">
        <v>0</v>
      </c>
      <c r="M267">
        <v>-10.198534350131467</v>
      </c>
      <c r="N267">
        <v>90.940748794397024</v>
      </c>
      <c r="O267">
        <v>840.16506365035184</v>
      </c>
      <c r="P267">
        <v>1.8178459716425834</v>
      </c>
      <c r="Q267">
        <v>794.80970903321906</v>
      </c>
      <c r="R267">
        <v>-0.45355354617132793</v>
      </c>
      <c r="S267">
        <v>-0.89122902822754435</v>
      </c>
      <c r="T267" t="str">
        <v/>
      </c>
      <c r="U267">
        <v>3</v>
      </c>
      <c r="V267">
        <v>-500</v>
      </c>
      <c r="W267">
        <v>1000</v>
      </c>
      <c r="X267">
        <v>0</v>
      </c>
      <c r="Y267">
        <v>1000</v>
      </c>
      <c r="Z267">
        <v>-500</v>
      </c>
      <c r="AA267">
        <v>0</v>
      </c>
      <c r="AB267">
        <v>681.88149758879399</v>
      </c>
      <c r="AC267">
        <v>680.33012730070368</v>
      </c>
      <c r="AD267">
        <v>-226.77677308566396</v>
      </c>
      <c r="AE267">
        <v>-352.40587952380645</v>
      </c>
      <c r="AF267">
        <v>1.810030196688144</v>
      </c>
      <c r="AG267" t="b">
        <v>0</v>
      </c>
      <c r="AH267">
        <v>25000</v>
      </c>
      <c r="AI267">
        <v>4</v>
      </c>
      <c r="AJ267">
        <v>0</v>
      </c>
      <c r="AK267">
        <v>1000</v>
      </c>
      <c r="AL267">
        <v>0</v>
      </c>
      <c r="AM267">
        <v>1</v>
      </c>
      <c r="AN267">
        <v>0</v>
      </c>
      <c r="AO267">
        <v>999</v>
      </c>
      <c r="AP267">
        <v>181.88149758879405</v>
      </c>
      <c r="AQ267">
        <v>680.33012730070368</v>
      </c>
      <c r="AR267">
        <v>-890.33779919931681</v>
      </c>
      <c r="AS267">
        <v>102.03970687002629</v>
      </c>
      <c r="AT267">
        <v>0.20632172897981121</v>
      </c>
      <c r="AU267" t="b">
        <v>1</v>
      </c>
    </row>
    <row r="268" spans="1:47" x14ac:dyDescent="0.25">
      <c r="A268">
        <v>25.400000000000091</v>
      </c>
      <c r="B268">
        <v>0.1</v>
      </c>
      <c r="C268">
        <v>100.45517135789756</v>
      </c>
      <c r="D268">
        <v>834.7187437376416</v>
      </c>
      <c r="E268">
        <v>-6737.0851959505208</v>
      </c>
      <c r="F268">
        <v>101.72105769598953</v>
      </c>
      <c r="G268">
        <v>100</v>
      </c>
      <c r="H268">
        <v>-0.15019061705902445</v>
      </c>
      <c r="I268">
        <v>-8.6052884799476459</v>
      </c>
      <c r="J268">
        <v>0</v>
      </c>
      <c r="K268">
        <v>0</v>
      </c>
      <c r="L268">
        <v>0</v>
      </c>
      <c r="M268">
        <v>-8.6052884799476459</v>
      </c>
      <c r="N268">
        <v>91.463565529097423</v>
      </c>
      <c r="O268">
        <v>830.34255537109618</v>
      </c>
      <c r="P268">
        <v>1.5475072410960848</v>
      </c>
      <c r="Q268">
        <v>786.58067170564198</v>
      </c>
      <c r="R268">
        <v>-0.43761883665454188</v>
      </c>
      <c r="S268">
        <v>-0.89916058288001333</v>
      </c>
      <c r="T268" t="str">
        <v/>
      </c>
      <c r="U268">
        <v>3</v>
      </c>
      <c r="V268">
        <v>-500</v>
      </c>
      <c r="W268">
        <v>1000</v>
      </c>
      <c r="X268">
        <v>0</v>
      </c>
      <c r="Y268">
        <v>1000</v>
      </c>
      <c r="Z268">
        <v>-500</v>
      </c>
      <c r="AA268">
        <v>0</v>
      </c>
      <c r="AB268">
        <v>682.92713105819485</v>
      </c>
      <c r="AC268">
        <v>660.68511074219236</v>
      </c>
      <c r="AD268">
        <v>-218.80941832727095</v>
      </c>
      <c r="AE268">
        <v>-387.68313979782386</v>
      </c>
      <c r="AF268">
        <v>1.8801059269649247</v>
      </c>
      <c r="AG268" t="b">
        <v>0</v>
      </c>
      <c r="AH268">
        <v>25000</v>
      </c>
      <c r="AI268">
        <v>4</v>
      </c>
      <c r="AJ268">
        <v>0</v>
      </c>
      <c r="AK268">
        <v>1000</v>
      </c>
      <c r="AL268">
        <v>0</v>
      </c>
      <c r="AM268">
        <v>1</v>
      </c>
      <c r="AN268">
        <v>0</v>
      </c>
      <c r="AO268">
        <v>999</v>
      </c>
      <c r="AP268">
        <v>182.92713105819485</v>
      </c>
      <c r="AQ268">
        <v>660.68511074219236</v>
      </c>
      <c r="AR268">
        <v>-898.26142229713332</v>
      </c>
      <c r="AS268">
        <v>101.72105769598953</v>
      </c>
      <c r="AT268">
        <v>0.21438688244353582</v>
      </c>
      <c r="AU268" t="b">
        <v>1</v>
      </c>
    </row>
    <row r="269" spans="1:47" x14ac:dyDescent="0.25">
      <c r="A269">
        <v>25.500000000000092</v>
      </c>
      <c r="B269">
        <v>0.1</v>
      </c>
      <c r="C269">
        <v>100.90732326259744</v>
      </c>
      <c r="D269">
        <v>824.72897103476816</v>
      </c>
      <c r="E269">
        <v>-6737.1002150122267</v>
      </c>
      <c r="F269">
        <v>101.42204945725317</v>
      </c>
      <c r="G269">
        <v>100</v>
      </c>
      <c r="H269">
        <v>-0.12409722577633056</v>
      </c>
      <c r="I269">
        <v>-7.1102472862658317</v>
      </c>
      <c r="J269">
        <v>0</v>
      </c>
      <c r="K269">
        <v>0</v>
      </c>
      <c r="L269">
        <v>0</v>
      </c>
      <c r="M269">
        <v>-7.1102472862658317</v>
      </c>
      <c r="N269">
        <v>91.851007770814078</v>
      </c>
      <c r="O269">
        <v>820.48831663794635</v>
      </c>
      <c r="P269">
        <v>1.287852852980393</v>
      </c>
      <c r="Q269">
        <v>778.0817726697278</v>
      </c>
      <c r="R269">
        <v>-0.42406543968218591</v>
      </c>
      <c r="S269">
        <v>-0.90563154917833688</v>
      </c>
      <c r="T269" t="str">
        <v/>
      </c>
      <c r="U269">
        <v>3</v>
      </c>
      <c r="V269">
        <v>-500</v>
      </c>
      <c r="W269">
        <v>1000</v>
      </c>
      <c r="X269">
        <v>0</v>
      </c>
      <c r="Y269">
        <v>1000</v>
      </c>
      <c r="Z269">
        <v>-500</v>
      </c>
      <c r="AA269">
        <v>0</v>
      </c>
      <c r="AB269">
        <v>683.70201554162816</v>
      </c>
      <c r="AC269">
        <v>640.97663327589271</v>
      </c>
      <c r="AD269">
        <v>-212.03271984109296</v>
      </c>
      <c r="AE269">
        <v>-423.31127831729918</v>
      </c>
      <c r="AF269">
        <v>1.9504301130759438</v>
      </c>
      <c r="AG269" t="b">
        <v>0</v>
      </c>
      <c r="AH269">
        <v>25000</v>
      </c>
      <c r="AI269">
        <v>4</v>
      </c>
      <c r="AJ269">
        <v>0</v>
      </c>
      <c r="AK269">
        <v>1000</v>
      </c>
      <c r="AL269">
        <v>0</v>
      </c>
      <c r="AM269">
        <v>1</v>
      </c>
      <c r="AN269">
        <v>0</v>
      </c>
      <c r="AO269">
        <v>999</v>
      </c>
      <c r="AP269">
        <v>183.70201554162816</v>
      </c>
      <c r="AQ269">
        <v>640.97663327589271</v>
      </c>
      <c r="AR269">
        <v>-904.72591762915852</v>
      </c>
      <c r="AS269">
        <v>101.42204945725317</v>
      </c>
      <c r="AT269">
        <v>0.2227440133719841</v>
      </c>
      <c r="AU269" t="b">
        <v>1</v>
      </c>
    </row>
    <row r="270" spans="1:47" x14ac:dyDescent="0.25">
      <c r="A270">
        <v>25.600000000000094</v>
      </c>
      <c r="B270">
        <v>0.1</v>
      </c>
      <c r="C270">
        <v>101.235473225818</v>
      </c>
      <c r="D270">
        <v>814.73435660490452</v>
      </c>
      <c r="E270">
        <v>-6737.1126247348047</v>
      </c>
      <c r="F270">
        <v>101.1471033895245</v>
      </c>
      <c r="G270">
        <v>100</v>
      </c>
      <c r="H270">
        <v>-0.10010365503994803</v>
      </c>
      <c r="I270">
        <v>-5.7355169476225143</v>
      </c>
      <c r="J270">
        <v>0</v>
      </c>
      <c r="K270">
        <v>0</v>
      </c>
      <c r="L270">
        <v>0</v>
      </c>
      <c r="M270">
        <v>-5.7355169476225143</v>
      </c>
      <c r="N270">
        <v>92.127231072981175</v>
      </c>
      <c r="O270">
        <v>810.60641221510389</v>
      </c>
      <c r="P270">
        <v>1.0448095446129173</v>
      </c>
      <c r="Q270">
        <v>769.32696831709768</v>
      </c>
      <c r="R270">
        <v>-0.41279443898006157</v>
      </c>
      <c r="S270">
        <v>-0.91082421528368263</v>
      </c>
      <c r="T270" t="str">
        <v/>
      </c>
      <c r="U270">
        <v>3</v>
      </c>
      <c r="V270">
        <v>-500</v>
      </c>
      <c r="W270">
        <v>1000</v>
      </c>
      <c r="X270">
        <v>0</v>
      </c>
      <c r="Y270">
        <v>1000</v>
      </c>
      <c r="Z270">
        <v>-500</v>
      </c>
      <c r="AA270">
        <v>0</v>
      </c>
      <c r="AB270">
        <v>684.25446214596241</v>
      </c>
      <c r="AC270">
        <v>621.21282443020777</v>
      </c>
      <c r="AD270">
        <v>-206.39721949003078</v>
      </c>
      <c r="AE270">
        <v>-458.80847681197577</v>
      </c>
      <c r="AF270">
        <v>2.0200422038615016</v>
      </c>
      <c r="AG270" t="b">
        <v>0</v>
      </c>
      <c r="AH270">
        <v>25000</v>
      </c>
      <c r="AI270">
        <v>4</v>
      </c>
      <c r="AJ270">
        <v>0</v>
      </c>
      <c r="AK270">
        <v>1000</v>
      </c>
      <c r="AL270">
        <v>0</v>
      </c>
      <c r="AM270">
        <v>1</v>
      </c>
      <c r="AN270">
        <v>0</v>
      </c>
      <c r="AO270">
        <v>999</v>
      </c>
      <c r="AP270">
        <v>184.25446214596235</v>
      </c>
      <c r="AQ270">
        <v>621.21282443020777</v>
      </c>
      <c r="AR270">
        <v>-909.91339106839894</v>
      </c>
      <c r="AS270">
        <v>101.1471033895245</v>
      </c>
      <c r="AT270">
        <v>0.2313779275105437</v>
      </c>
      <c r="AU270" t="b">
        <v>1</v>
      </c>
    </row>
    <row r="271" spans="1:47" x14ac:dyDescent="0.25">
      <c r="A271">
        <v>25.700000000000095</v>
      </c>
      <c r="B271">
        <v>0.1</v>
      </c>
      <c r="C271">
        <v>101.46355867507663</v>
      </c>
      <c r="D271">
        <v>804.7369580918994</v>
      </c>
      <c r="E271">
        <v>-6737.1226351003088</v>
      </c>
      <c r="F271">
        <v>100.89995437050442</v>
      </c>
      <c r="G271">
        <v>100</v>
      </c>
      <c r="H271">
        <v>-7.853583441507514E-2</v>
      </c>
      <c r="I271">
        <v>-4.4997718525220876</v>
      </c>
      <c r="J271">
        <v>0</v>
      </c>
      <c r="K271">
        <v>0</v>
      </c>
      <c r="L271">
        <v>0</v>
      </c>
      <c r="M271">
        <v>-4.4997718525220876</v>
      </c>
      <c r="N271">
        <v>92.314451333147687</v>
      </c>
      <c r="O271">
        <v>800.70039583598634</v>
      </c>
      <c r="P271">
        <v>0.82337791385829462</v>
      </c>
      <c r="Q271">
        <v>760.33477327685569</v>
      </c>
      <c r="R271">
        <v>-0.40365622559130665</v>
      </c>
      <c r="S271">
        <v>-0.91491073419289393</v>
      </c>
      <c r="T271" t="str">
        <v/>
      </c>
      <c r="U271">
        <v>3</v>
      </c>
      <c r="V271">
        <v>-500</v>
      </c>
      <c r="W271">
        <v>1000</v>
      </c>
      <c r="X271">
        <v>0</v>
      </c>
      <c r="Y271">
        <v>1000</v>
      </c>
      <c r="Z271">
        <v>-500</v>
      </c>
      <c r="AA271">
        <v>0</v>
      </c>
      <c r="AB271">
        <v>684.6289026662954</v>
      </c>
      <c r="AC271">
        <v>601.40079167197268</v>
      </c>
      <c r="AD271">
        <v>-201.82811279565331</v>
      </c>
      <c r="AE271">
        <v>-493.73598505030935</v>
      </c>
      <c r="AF271">
        <v>2.088077607825956</v>
      </c>
      <c r="AG271" t="b">
        <v>0</v>
      </c>
      <c r="AH271">
        <v>25000</v>
      </c>
      <c r="AI271">
        <v>4</v>
      </c>
      <c r="AJ271">
        <v>0</v>
      </c>
      <c r="AK271">
        <v>1000</v>
      </c>
      <c r="AL271">
        <v>0</v>
      </c>
      <c r="AM271">
        <v>1</v>
      </c>
      <c r="AN271">
        <v>0</v>
      </c>
      <c r="AO271">
        <v>999</v>
      </c>
      <c r="AP271">
        <v>184.62890266629537</v>
      </c>
      <c r="AQ271">
        <v>601.40079167197268</v>
      </c>
      <c r="AR271">
        <v>-913.99582345870101</v>
      </c>
      <c r="AS271">
        <v>100.89995437050442</v>
      </c>
      <c r="AT271">
        <v>0.24026876767522176</v>
      </c>
      <c r="AU271" t="b">
        <v>1</v>
      </c>
    </row>
    <row r="272" spans="1:47" x14ac:dyDescent="0.25">
      <c r="A272">
        <v>25.800000000000097</v>
      </c>
      <c r="B272">
        <v>0.1</v>
      </c>
      <c r="C272">
        <v>101.61312249405279</v>
      </c>
      <c r="D272">
        <v>794.73807662125216</v>
      </c>
      <c r="E272">
        <v>-6737.1304886837506</v>
      </c>
      <c r="F272">
        <v>100.68332979628475</v>
      </c>
      <c r="G272">
        <v>100</v>
      </c>
      <c r="H272">
        <v>-5.963177411075523E-2</v>
      </c>
      <c r="I272">
        <v>-3.4166489814237622</v>
      </c>
      <c r="J272">
        <v>0</v>
      </c>
      <c r="K272">
        <v>0</v>
      </c>
      <c r="L272">
        <v>0</v>
      </c>
      <c r="M272">
        <v>-3.4166489814237622</v>
      </c>
      <c r="N272">
        <v>92.432596150919267</v>
      </c>
      <c r="O272">
        <v>790.77349138909597</v>
      </c>
      <c r="P272">
        <v>0.62733271958401815</v>
      </c>
      <c r="Q272">
        <v>751.12763906753355</v>
      </c>
      <c r="R272">
        <v>-0.39645852321562458</v>
      </c>
      <c r="S272">
        <v>-0.91805263431335249</v>
      </c>
      <c r="T272" t="str">
        <v/>
      </c>
      <c r="U272">
        <v>3</v>
      </c>
      <c r="V272">
        <v>-500</v>
      </c>
      <c r="W272">
        <v>1000</v>
      </c>
      <c r="X272">
        <v>0</v>
      </c>
      <c r="Y272">
        <v>1000</v>
      </c>
      <c r="Z272">
        <v>-500</v>
      </c>
      <c r="AA272">
        <v>0</v>
      </c>
      <c r="AB272">
        <v>684.86519230183853</v>
      </c>
      <c r="AC272">
        <v>581.54698277819193</v>
      </c>
      <c r="AD272">
        <v>-198.2292616078123</v>
      </c>
      <c r="AE272">
        <v>-527.7387074791443</v>
      </c>
      <c r="AF272">
        <v>2.1538490135625428</v>
      </c>
      <c r="AG272" t="b">
        <v>0</v>
      </c>
      <c r="AH272">
        <v>25000</v>
      </c>
      <c r="AI272">
        <v>4</v>
      </c>
      <c r="AJ272">
        <v>0</v>
      </c>
      <c r="AK272">
        <v>1000</v>
      </c>
      <c r="AL272">
        <v>0</v>
      </c>
      <c r="AM272">
        <v>1</v>
      </c>
      <c r="AN272">
        <v>0</v>
      </c>
      <c r="AO272">
        <v>999</v>
      </c>
      <c r="AP272">
        <v>184.86519230183853</v>
      </c>
      <c r="AQ272">
        <v>581.54698277819193</v>
      </c>
      <c r="AR272">
        <v>-917.13458167903912</v>
      </c>
      <c r="AS272">
        <v>100.68332979628475</v>
      </c>
      <c r="AT272">
        <v>0.24939266551989067</v>
      </c>
      <c r="AU272" t="b">
        <v>1</v>
      </c>
    </row>
    <row r="273" spans="1:47" x14ac:dyDescent="0.25">
      <c r="A273">
        <v>25.900000000000098</v>
      </c>
      <c r="B273">
        <v>0.1</v>
      </c>
      <c r="C273">
        <v>101.70305890308096</v>
      </c>
      <c r="D273">
        <v>784.73848105731406</v>
      </c>
      <c r="E273">
        <v>-6737.1364518611617</v>
      </c>
      <c r="F273">
        <v>100.49870617696607</v>
      </c>
      <c r="G273">
        <v>100</v>
      </c>
      <c r="H273">
        <v>-4.3520323940456872E-2</v>
      </c>
      <c r="I273">
        <v>-2.493530884830335</v>
      </c>
      <c r="J273">
        <v>0</v>
      </c>
      <c r="K273">
        <v>0</v>
      </c>
      <c r="L273">
        <v>0</v>
      </c>
      <c r="M273">
        <v>-2.493530884830335</v>
      </c>
      <c r="N273">
        <v>92.499054401869756</v>
      </c>
      <c r="O273">
        <v>780.8287110971138</v>
      </c>
      <c r="P273">
        <v>0.45900938975775318</v>
      </c>
      <c r="Q273">
        <v>741.73101149511172</v>
      </c>
      <c r="R273">
        <v>-0.39097699602002101</v>
      </c>
      <c r="S273">
        <v>-0.92040045012112004</v>
      </c>
      <c r="T273" t="str">
        <v/>
      </c>
      <c r="U273">
        <v>3</v>
      </c>
      <c r="V273">
        <v>-500</v>
      </c>
      <c r="W273">
        <v>1000</v>
      </c>
      <c r="X273">
        <v>0</v>
      </c>
      <c r="Y273">
        <v>1000</v>
      </c>
      <c r="Z273">
        <v>-500</v>
      </c>
      <c r="AA273">
        <v>0</v>
      </c>
      <c r="AB273">
        <v>684.99810880373957</v>
      </c>
      <c r="AC273">
        <v>561.65742219422759</v>
      </c>
      <c r="AD273">
        <v>-195.48849801001052</v>
      </c>
      <c r="AE273">
        <v>-560.57336143547161</v>
      </c>
      <c r="AF273">
        <v>2.2169020571859743</v>
      </c>
      <c r="AG273" t="b">
        <v>0</v>
      </c>
      <c r="AH273">
        <v>25000</v>
      </c>
      <c r="AI273">
        <v>4</v>
      </c>
      <c r="AJ273">
        <v>0</v>
      </c>
      <c r="AK273">
        <v>1000</v>
      </c>
      <c r="AL273">
        <v>0</v>
      </c>
      <c r="AM273">
        <v>1</v>
      </c>
      <c r="AN273">
        <v>0</v>
      </c>
      <c r="AO273">
        <v>999</v>
      </c>
      <c r="AP273">
        <v>184.99810880373951</v>
      </c>
      <c r="AQ273">
        <v>561.65742219422759</v>
      </c>
      <c r="AR273">
        <v>-919.48004967099894</v>
      </c>
      <c r="AS273">
        <v>100.49870617696607</v>
      </c>
      <c r="AT273">
        <v>0.25872269384169683</v>
      </c>
      <c r="AU273" t="b">
        <v>1</v>
      </c>
    </row>
    <row r="274" spans="1:47" x14ac:dyDescent="0.25">
      <c r="A274">
        <v>26.000000000000099</v>
      </c>
      <c r="B274">
        <v>0.1</v>
      </c>
      <c r="C274">
        <v>101.74947603395489</v>
      </c>
      <c r="D274">
        <v>774.73858878539625</v>
      </c>
      <c r="E274">
        <v>-6737.140803893556</v>
      </c>
      <c r="F274">
        <v>100.34618623638322</v>
      </c>
      <c r="G274">
        <v>100</v>
      </c>
      <c r="H274">
        <v>-3.0210448249872721E-2</v>
      </c>
      <c r="I274">
        <v>-1.7309311819160911</v>
      </c>
      <c r="J274">
        <v>0</v>
      </c>
      <c r="K274">
        <v>0</v>
      </c>
      <c r="L274">
        <v>0</v>
      </c>
      <c r="M274">
        <v>-1.7309311819160911</v>
      </c>
      <c r="N274">
        <v>92.528543303576015</v>
      </c>
      <c r="O274">
        <v>770.86891185032437</v>
      </c>
      <c r="P274">
        <v>0.319215999787275</v>
      </c>
      <c r="Q274">
        <v>732.17214249960512</v>
      </c>
      <c r="R274">
        <v>-0.38696769350719207</v>
      </c>
      <c r="S274">
        <v>-0.92209327303788735</v>
      </c>
      <c r="T274" t="str">
        <v/>
      </c>
      <c r="U274">
        <v>3</v>
      </c>
      <c r="V274">
        <v>-500</v>
      </c>
      <c r="W274">
        <v>1000</v>
      </c>
      <c r="X274">
        <v>0</v>
      </c>
      <c r="Y274">
        <v>1000</v>
      </c>
      <c r="Z274">
        <v>-500</v>
      </c>
      <c r="AA274">
        <v>0</v>
      </c>
      <c r="AB274">
        <v>685.05708660715209</v>
      </c>
      <c r="AC274">
        <v>541.73782370064873</v>
      </c>
      <c r="AD274">
        <v>-193.48384675359603</v>
      </c>
      <c r="AE274">
        <v>-592.11942493958372</v>
      </c>
      <c r="AF274">
        <v>2.2770357637508574</v>
      </c>
      <c r="AG274" t="b">
        <v>0</v>
      </c>
      <c r="AH274">
        <v>25000</v>
      </c>
      <c r="AI274">
        <v>4</v>
      </c>
      <c r="AJ274">
        <v>0</v>
      </c>
      <c r="AK274">
        <v>1000</v>
      </c>
      <c r="AL274">
        <v>0</v>
      </c>
      <c r="AM274">
        <v>1</v>
      </c>
      <c r="AN274">
        <v>0</v>
      </c>
      <c r="AO274">
        <v>999</v>
      </c>
      <c r="AP274">
        <v>185.05708660715203</v>
      </c>
      <c r="AQ274">
        <v>541.73782370064873</v>
      </c>
      <c r="AR274">
        <v>-921.17117976484951</v>
      </c>
      <c r="AS274">
        <v>100.34618623638322</v>
      </c>
      <c r="AT274">
        <v>0.26823005044025222</v>
      </c>
      <c r="AU274" t="b">
        <v>1</v>
      </c>
    </row>
    <row r="275" spans="1:47" x14ac:dyDescent="0.25">
      <c r="A275">
        <v>26.100000000000101</v>
      </c>
      <c r="B275">
        <v>0.1</v>
      </c>
      <c r="C275">
        <v>101.76568287616672</v>
      </c>
      <c r="D275">
        <v>764.73860191849155</v>
      </c>
      <c r="E275">
        <v>-6737.1438249383809</v>
      </c>
      <c r="F275">
        <v>100.22452091683083</v>
      </c>
      <c r="G275">
        <v>100</v>
      </c>
      <c r="H275">
        <v>-1.9593146191471369E-2</v>
      </c>
      <c r="I275">
        <v>-1.1226045841541321</v>
      </c>
      <c r="J275">
        <v>0</v>
      </c>
      <c r="K275">
        <v>0</v>
      </c>
      <c r="L275">
        <v>0</v>
      </c>
      <c r="M275">
        <v>-1.1226045841541321</v>
      </c>
      <c r="N275">
        <v>92.533101774457663</v>
      </c>
      <c r="O275">
        <v>760.89679945085152</v>
      </c>
      <c r="P275">
        <v>0.20729075736706193</v>
      </c>
      <c r="Q275">
        <v>722.47877477445161</v>
      </c>
      <c r="R275">
        <v>-0.38418024676399909</v>
      </c>
      <c r="S275">
        <v>-0.92325811017090598</v>
      </c>
      <c r="T275" t="str">
        <v/>
      </c>
      <c r="U275">
        <v>3</v>
      </c>
      <c r="V275">
        <v>-500</v>
      </c>
      <c r="W275">
        <v>1000</v>
      </c>
      <c r="X275">
        <v>0</v>
      </c>
      <c r="Y275">
        <v>1000</v>
      </c>
      <c r="Z275">
        <v>-500</v>
      </c>
      <c r="AA275">
        <v>0</v>
      </c>
      <c r="AB275">
        <v>685.06620354891538</v>
      </c>
      <c r="AC275">
        <v>521.79359890170304</v>
      </c>
      <c r="AD275">
        <v>-192.09012338199955</v>
      </c>
      <c r="AE275">
        <v>-622.37244773292298</v>
      </c>
      <c r="AF275">
        <v>2.3342870233815942</v>
      </c>
      <c r="AG275" t="b">
        <v>0</v>
      </c>
      <c r="AH275">
        <v>25000</v>
      </c>
      <c r="AI275">
        <v>4</v>
      </c>
      <c r="AJ275">
        <v>0</v>
      </c>
      <c r="AK275">
        <v>1000</v>
      </c>
      <c r="AL275">
        <v>0</v>
      </c>
      <c r="AM275">
        <v>1</v>
      </c>
      <c r="AN275">
        <v>0</v>
      </c>
      <c r="AO275">
        <v>999</v>
      </c>
      <c r="AP275">
        <v>185.06620354891533</v>
      </c>
      <c r="AQ275">
        <v>521.79359890170304</v>
      </c>
      <c r="AR275">
        <v>-922.3348520607351</v>
      </c>
      <c r="AS275">
        <v>100.22452091683083</v>
      </c>
      <c r="AT275">
        <v>0.27788536709387401</v>
      </c>
      <c r="AU275" t="b">
        <v>1</v>
      </c>
    </row>
    <row r="276" spans="1:47" x14ac:dyDescent="0.25">
      <c r="A276">
        <v>26.200000000000102</v>
      </c>
      <c r="B276">
        <v>0.1</v>
      </c>
      <c r="C276">
        <v>101.7622965793487</v>
      </c>
      <c r="D276">
        <v>754.7386024918419</v>
      </c>
      <c r="E276">
        <v>-6737.1457842529999</v>
      </c>
      <c r="F276">
        <v>100.13127485169464</v>
      </c>
      <c r="G276">
        <v>100</v>
      </c>
      <c r="H276">
        <v>-1.1455891935693749E-2</v>
      </c>
      <c r="I276">
        <v>-0.65637425847320685</v>
      </c>
      <c r="J276">
        <v>0</v>
      </c>
      <c r="K276">
        <v>0</v>
      </c>
      <c r="L276">
        <v>0</v>
      </c>
      <c r="M276">
        <v>-0.65637425847320685</v>
      </c>
      <c r="N276">
        <v>92.522205904253525</v>
      </c>
      <c r="O276">
        <v>750.91489691792287</v>
      </c>
      <c r="P276">
        <v>0.12129915330180552</v>
      </c>
      <c r="Q276">
        <v>712.67784117873282</v>
      </c>
      <c r="R276">
        <v>-0.38237055739190029</v>
      </c>
      <c r="S276">
        <v>-0.92400906750951717</v>
      </c>
      <c r="T276" t="str">
        <v/>
      </c>
      <c r="U276">
        <v>3</v>
      </c>
      <c r="V276">
        <v>-500</v>
      </c>
      <c r="W276">
        <v>1000</v>
      </c>
      <c r="X276">
        <v>0</v>
      </c>
      <c r="Y276">
        <v>1000</v>
      </c>
      <c r="Z276">
        <v>-500</v>
      </c>
      <c r="AA276">
        <v>0</v>
      </c>
      <c r="AB276">
        <v>685.04441180850699</v>
      </c>
      <c r="AC276">
        <v>501.82979383584575</v>
      </c>
      <c r="AD276">
        <v>-191.18527869595013</v>
      </c>
      <c r="AE276">
        <v>-651.42333337863181</v>
      </c>
      <c r="AF276">
        <v>2.3888865454667689</v>
      </c>
      <c r="AG276" t="b">
        <v>0</v>
      </c>
      <c r="AH276">
        <v>25000</v>
      </c>
      <c r="AI276">
        <v>4</v>
      </c>
      <c r="AJ276">
        <v>0</v>
      </c>
      <c r="AK276">
        <v>1000</v>
      </c>
      <c r="AL276">
        <v>0</v>
      </c>
      <c r="AM276">
        <v>1</v>
      </c>
      <c r="AN276">
        <v>0</v>
      </c>
      <c r="AO276">
        <v>999</v>
      </c>
      <c r="AP276">
        <v>185.04441180850705</v>
      </c>
      <c r="AQ276">
        <v>501.82979383584575</v>
      </c>
      <c r="AR276">
        <v>-923.08505844200761</v>
      </c>
      <c r="AS276">
        <v>100.13127485169464</v>
      </c>
      <c r="AT276">
        <v>0.28766001447395517</v>
      </c>
      <c r="AU276" t="b">
        <v>1</v>
      </c>
    </row>
    <row r="277" spans="1:47" x14ac:dyDescent="0.25">
      <c r="A277">
        <v>26.300000000000104</v>
      </c>
      <c r="B277">
        <v>0.1</v>
      </c>
      <c r="C277">
        <v>101.74745439597945</v>
      </c>
      <c r="D277">
        <v>744.73861350636832</v>
      </c>
      <c r="E277">
        <v>-6737.1469298421935</v>
      </c>
      <c r="F277">
        <v>100.06310729968671</v>
      </c>
      <c r="G277">
        <v>100</v>
      </c>
      <c r="H277">
        <v>-5.5071508078790412E-3</v>
      </c>
      <c r="I277">
        <v>-0.31553649843353071</v>
      </c>
      <c r="J277">
        <v>0</v>
      </c>
      <c r="K277">
        <v>0</v>
      </c>
      <c r="L277">
        <v>0</v>
      </c>
      <c r="M277">
        <v>-0.31553649843353071</v>
      </c>
      <c r="N277">
        <v>92.502989389286952</v>
      </c>
      <c r="O277">
        <v>740.92549578722594</v>
      </c>
      <c r="P277">
        <v>5.8339322362058965E-2</v>
      </c>
      <c r="Q277">
        <v>702.79431859580154</v>
      </c>
      <c r="R277">
        <v>-0.38131177191424392</v>
      </c>
      <c r="S277">
        <v>-0.92444650066924894</v>
      </c>
      <c r="T277" t="str">
        <v/>
      </c>
      <c r="U277">
        <v>3</v>
      </c>
      <c r="V277">
        <v>-500</v>
      </c>
      <c r="W277">
        <v>1000</v>
      </c>
      <c r="X277">
        <v>0</v>
      </c>
      <c r="Y277">
        <v>1000</v>
      </c>
      <c r="Z277">
        <v>-500</v>
      </c>
      <c r="AA277">
        <v>0</v>
      </c>
      <c r="AB277">
        <v>685.00597877857388</v>
      </c>
      <c r="AC277">
        <v>481.85099157445188</v>
      </c>
      <c r="AD277">
        <v>-190.65588595712197</v>
      </c>
      <c r="AE277">
        <v>-679.42959880881745</v>
      </c>
      <c r="AF277">
        <v>2.4411986089184197</v>
      </c>
      <c r="AG277" t="b">
        <v>0</v>
      </c>
      <c r="AH277">
        <v>25000</v>
      </c>
      <c r="AI277">
        <v>4</v>
      </c>
      <c r="AJ277">
        <v>0</v>
      </c>
      <c r="AK277">
        <v>1000</v>
      </c>
      <c r="AL277">
        <v>0</v>
      </c>
      <c r="AM277">
        <v>1</v>
      </c>
      <c r="AN277">
        <v>0</v>
      </c>
      <c r="AO277">
        <v>999</v>
      </c>
      <c r="AP277">
        <v>185.0059787785739</v>
      </c>
      <c r="AQ277">
        <v>481.85099157445188</v>
      </c>
      <c r="AR277">
        <v>-923.52205416857964</v>
      </c>
      <c r="AS277">
        <v>100.06310729968671</v>
      </c>
      <c r="AT277">
        <v>0.29752727223269543</v>
      </c>
      <c r="AU277" t="b">
        <v>1</v>
      </c>
    </row>
    <row r="278" spans="1:47" x14ac:dyDescent="0.25">
      <c r="A278">
        <v>26.400000000000105</v>
      </c>
      <c r="B278">
        <v>0.1</v>
      </c>
      <c r="C278">
        <v>101.72710507039652</v>
      </c>
      <c r="D278">
        <v>734.73863421114231</v>
      </c>
      <c r="E278">
        <v>-6737.1474805572743</v>
      </c>
      <c r="F278">
        <v>100.01612065131764</v>
      </c>
      <c r="G278">
        <v>100</v>
      </c>
      <c r="H278">
        <v>-1.4067922152934905E-3</v>
      </c>
      <c r="I278">
        <v>-8.0603256588176464E-2</v>
      </c>
      <c r="J278">
        <v>0</v>
      </c>
      <c r="K278">
        <v>0</v>
      </c>
      <c r="L278">
        <v>0</v>
      </c>
      <c r="M278">
        <v>-8.0603256588176464E-2</v>
      </c>
      <c r="N278">
        <v>92.480541524240593</v>
      </c>
      <c r="O278">
        <v>730.93060813627096</v>
      </c>
      <c r="P278">
        <v>1.4906062681390608E-2</v>
      </c>
      <c r="Q278">
        <v>692.85034738755701</v>
      </c>
      <c r="R278">
        <v>-0.38080260748713962</v>
      </c>
      <c r="S278">
        <v>-0.92465635461559204</v>
      </c>
      <c r="T278" t="str">
        <v/>
      </c>
      <c r="U278">
        <v>3</v>
      </c>
      <c r="V278">
        <v>-500</v>
      </c>
      <c r="W278">
        <v>1000</v>
      </c>
      <c r="X278">
        <v>0</v>
      </c>
      <c r="Y278">
        <v>1000</v>
      </c>
      <c r="Z278">
        <v>-500</v>
      </c>
      <c r="AA278">
        <v>0</v>
      </c>
      <c r="AB278">
        <v>684.96108304848121</v>
      </c>
      <c r="AC278">
        <v>461.86121627254192</v>
      </c>
      <c r="AD278">
        <v>-190.4013037435698</v>
      </c>
      <c r="AE278">
        <v>-706.58495129347557</v>
      </c>
      <c r="AF278">
        <v>2.491657613627003</v>
      </c>
      <c r="AG278" t="b">
        <v>0</v>
      </c>
      <c r="AH278">
        <v>25000</v>
      </c>
      <c r="AI278">
        <v>4</v>
      </c>
      <c r="AJ278">
        <v>0</v>
      </c>
      <c r="AK278">
        <v>1000</v>
      </c>
      <c r="AL278">
        <v>0</v>
      </c>
      <c r="AM278">
        <v>1</v>
      </c>
      <c r="AN278">
        <v>0</v>
      </c>
      <c r="AO278">
        <v>999</v>
      </c>
      <c r="AP278">
        <v>184.96108304848119</v>
      </c>
      <c r="AQ278">
        <v>461.86121627254192</v>
      </c>
      <c r="AR278">
        <v>-923.73169826097649</v>
      </c>
      <c r="AS278">
        <v>100.01612065131764</v>
      </c>
      <c r="AT278">
        <v>0.30746325465315227</v>
      </c>
      <c r="AU278" t="b">
        <v>1</v>
      </c>
    </row>
    <row r="279" spans="1:47" x14ac:dyDescent="0.25">
      <c r="A279">
        <v>26.500000000000107</v>
      </c>
      <c r="B279">
        <v>0.1</v>
      </c>
      <c r="C279">
        <v>101.70534895571575</v>
      </c>
      <c r="D279">
        <v>724.73865787759667</v>
      </c>
      <c r="E279">
        <v>-6737.147621236496</v>
      </c>
      <c r="F279">
        <v>99.98622069811853</v>
      </c>
      <c r="G279">
        <v>100</v>
      </c>
      <c r="H279">
        <v>1.2024709322895459E-3</v>
      </c>
      <c r="I279">
        <v>6.8896509407352369E-2</v>
      </c>
      <c r="J279">
        <v>0</v>
      </c>
      <c r="K279">
        <v>0</v>
      </c>
      <c r="L279">
        <v>0</v>
      </c>
      <c r="M279">
        <v>6.8896509407352369E-2</v>
      </c>
      <c r="N279">
        <v>92.458249790915048</v>
      </c>
      <c r="O279">
        <v>720.93193263976536</v>
      </c>
      <c r="P279">
        <v>-1.2741857091953079E-2</v>
      </c>
      <c r="Q279">
        <v>682.86468026145178</v>
      </c>
      <c r="R279">
        <v>-0.38067252378313549</v>
      </c>
      <c r="S279">
        <v>-0.92470991648007006</v>
      </c>
      <c r="T279" t="str">
        <v/>
      </c>
      <c r="U279">
        <v>3</v>
      </c>
      <c r="V279">
        <v>-500</v>
      </c>
      <c r="W279">
        <v>1000</v>
      </c>
      <c r="X279">
        <v>0</v>
      </c>
      <c r="Y279">
        <v>1000</v>
      </c>
      <c r="Z279">
        <v>-500</v>
      </c>
      <c r="AA279">
        <v>0</v>
      </c>
      <c r="AB279">
        <v>684.91649958183007</v>
      </c>
      <c r="AC279">
        <v>441.86386527953073</v>
      </c>
      <c r="AD279">
        <v>-190.33626189156774</v>
      </c>
      <c r="AE279">
        <v>-733.09222474700141</v>
      </c>
      <c r="AF279">
        <v>2.5407117994178074</v>
      </c>
      <c r="AG279" t="b">
        <v>0</v>
      </c>
      <c r="AH279">
        <v>25000</v>
      </c>
      <c r="AI279">
        <v>4</v>
      </c>
      <c r="AJ279">
        <v>0</v>
      </c>
      <c r="AK279">
        <v>1000</v>
      </c>
      <c r="AL279">
        <v>0</v>
      </c>
      <c r="AM279">
        <v>1</v>
      </c>
      <c r="AN279">
        <v>0</v>
      </c>
      <c r="AO279">
        <v>999</v>
      </c>
      <c r="AP279">
        <v>184.9164995818301</v>
      </c>
      <c r="AQ279">
        <v>441.86386527953073</v>
      </c>
      <c r="AR279">
        <v>-923.78520656359001</v>
      </c>
      <c r="AS279">
        <v>99.98622069811853</v>
      </c>
      <c r="AT279">
        <v>0.31744752185878378</v>
      </c>
      <c r="AU279" t="b">
        <v>1</v>
      </c>
    </row>
    <row r="280" spans="1:47" x14ac:dyDescent="0.25">
      <c r="A280">
        <v>26.600000000000108</v>
      </c>
      <c r="B280">
        <v>0.1</v>
      </c>
      <c r="C280">
        <v>101.68479530927391</v>
      </c>
      <c r="D280">
        <v>714.73867900023811</v>
      </c>
      <c r="E280">
        <v>-6737.1475009894029</v>
      </c>
      <c r="F280">
        <v>99.969438044578894</v>
      </c>
      <c r="G280">
        <v>100</v>
      </c>
      <c r="H280">
        <v>2.6670337397301743E-3</v>
      </c>
      <c r="I280">
        <v>0.15280977710553145</v>
      </c>
      <c r="J280">
        <v>0</v>
      </c>
      <c r="K280">
        <v>0</v>
      </c>
      <c r="L280">
        <v>0</v>
      </c>
      <c r="M280">
        <v>0.15280977710553145</v>
      </c>
      <c r="N280">
        <v>92.438153958969522</v>
      </c>
      <c r="O280">
        <v>710.93084185313728</v>
      </c>
      <c r="P280">
        <v>-2.8259544074302312E-2</v>
      </c>
      <c r="Q280">
        <v>672.85247038212879</v>
      </c>
      <c r="R280">
        <v>-0.38078371471008521</v>
      </c>
      <c r="S280">
        <v>-0.92466413503043821</v>
      </c>
      <c r="T280" t="str">
        <v/>
      </c>
      <c r="U280">
        <v>3</v>
      </c>
      <c r="V280">
        <v>-500</v>
      </c>
      <c r="W280">
        <v>1000</v>
      </c>
      <c r="X280">
        <v>0</v>
      </c>
      <c r="Y280">
        <v>1000</v>
      </c>
      <c r="Z280">
        <v>-500</v>
      </c>
      <c r="AA280">
        <v>0</v>
      </c>
      <c r="AB280">
        <v>684.87630791793902</v>
      </c>
      <c r="AC280">
        <v>421.86168370627456</v>
      </c>
      <c r="AD280">
        <v>-190.39185735504262</v>
      </c>
      <c r="AE280">
        <v>-759.14264969800342</v>
      </c>
      <c r="AF280">
        <v>2.5887802710133774</v>
      </c>
      <c r="AG280" t="b">
        <v>0</v>
      </c>
      <c r="AH280">
        <v>25000</v>
      </c>
      <c r="AI280">
        <v>4</v>
      </c>
      <c r="AJ280">
        <v>0</v>
      </c>
      <c r="AK280">
        <v>1000</v>
      </c>
      <c r="AL280">
        <v>0</v>
      </c>
      <c r="AM280">
        <v>1</v>
      </c>
      <c r="AN280">
        <v>0</v>
      </c>
      <c r="AO280">
        <v>999</v>
      </c>
      <c r="AP280">
        <v>184.87630791793904</v>
      </c>
      <c r="AQ280">
        <v>421.86168370627456</v>
      </c>
      <c r="AR280">
        <v>-923.73947089540775</v>
      </c>
      <c r="AS280">
        <v>99.969438044578894</v>
      </c>
      <c r="AT280">
        <v>0.32746335547843558</v>
      </c>
      <c r="AU280" t="b">
        <v>1</v>
      </c>
    </row>
    <row r="281" spans="1:47" x14ac:dyDescent="0.25">
      <c r="A281">
        <v>26.700000000000109</v>
      </c>
      <c r="B281">
        <v>0.1</v>
      </c>
      <c r="C281">
        <v>101.66690869163907</v>
      </c>
      <c r="D281">
        <v>704.73869499680541</v>
      </c>
      <c r="E281">
        <v>-6737.1472342860288</v>
      </c>
      <c r="F281">
        <v>99.962175245610112</v>
      </c>
      <c r="G281">
        <v>100</v>
      </c>
      <c r="H281">
        <v>3.3008325143086201E-3</v>
      </c>
      <c r="I281">
        <v>0.18912377194943986</v>
      </c>
      <c r="J281">
        <v>0</v>
      </c>
      <c r="K281">
        <v>0</v>
      </c>
      <c r="L281">
        <v>0</v>
      </c>
      <c r="M281">
        <v>0.18912377194943986</v>
      </c>
      <c r="N281">
        <v>92.421283233197812</v>
      </c>
      <c r="O281">
        <v>700.9283918747135</v>
      </c>
      <c r="P281">
        <v>-3.4971351214650781E-2</v>
      </c>
      <c r="Q281">
        <v>662.82536065379475</v>
      </c>
      <c r="R281">
        <v>-0.38103031220918776</v>
      </c>
      <c r="S281">
        <v>-0.92456254584412456</v>
      </c>
      <c r="T281" t="str">
        <v/>
      </c>
      <c r="U281">
        <v>3</v>
      </c>
      <c r="V281">
        <v>-500</v>
      </c>
      <c r="W281">
        <v>1000</v>
      </c>
      <c r="X281">
        <v>0</v>
      </c>
      <c r="Y281">
        <v>1000</v>
      </c>
      <c r="Z281">
        <v>-500</v>
      </c>
      <c r="AA281">
        <v>0</v>
      </c>
      <c r="AB281">
        <v>684.84256646639562</v>
      </c>
      <c r="AC281">
        <v>401.856783749427</v>
      </c>
      <c r="AD281">
        <v>-190.51515610459387</v>
      </c>
      <c r="AE281">
        <v>-784.90240419794884</v>
      </c>
      <c r="AF281">
        <v>2.6362252965952546</v>
      </c>
      <c r="AG281" t="b">
        <v>0</v>
      </c>
      <c r="AH281">
        <v>25000</v>
      </c>
      <c r="AI281">
        <v>4</v>
      </c>
      <c r="AJ281">
        <v>0</v>
      </c>
      <c r="AK281">
        <v>1000</v>
      </c>
      <c r="AL281">
        <v>0</v>
      </c>
      <c r="AM281">
        <v>1</v>
      </c>
      <c r="AN281">
        <v>0</v>
      </c>
      <c r="AO281">
        <v>999</v>
      </c>
      <c r="AP281">
        <v>184.84256646639562</v>
      </c>
      <c r="AQ281">
        <v>401.856783749427</v>
      </c>
      <c r="AR281">
        <v>-923.63798329828046</v>
      </c>
      <c r="AS281">
        <v>99.962175245610112</v>
      </c>
      <c r="AT281">
        <v>0.33749772469292372</v>
      </c>
      <c r="AU281" t="b">
        <v>1</v>
      </c>
    </row>
    <row r="282" spans="1:47" x14ac:dyDescent="0.25">
      <c r="A282">
        <v>26.800000000000111</v>
      </c>
      <c r="B282">
        <v>0.1</v>
      </c>
      <c r="C282">
        <v>101.65232290215205</v>
      </c>
      <c r="D282">
        <v>694.73870563407377</v>
      </c>
      <c r="E282">
        <v>-6737.1469042027775</v>
      </c>
      <c r="F282">
        <v>99.961363812256394</v>
      </c>
      <c r="G282">
        <v>100</v>
      </c>
      <c r="H282">
        <v>3.3716434327230073E-3</v>
      </c>
      <c r="I282">
        <v>0.19318093871802944</v>
      </c>
      <c r="J282">
        <v>0</v>
      </c>
      <c r="K282">
        <v>0</v>
      </c>
      <c r="L282">
        <v>0</v>
      </c>
      <c r="M282">
        <v>0.19318093871802944</v>
      </c>
      <c r="N282">
        <v>92.407955664609489</v>
      </c>
      <c r="O282">
        <v>690.92535089350088</v>
      </c>
      <c r="P282">
        <v>-3.5716710816060981E-2</v>
      </c>
      <c r="Q282">
        <v>652.79180348777186</v>
      </c>
      <c r="R282">
        <v>-0.38133547405729046</v>
      </c>
      <c r="S282">
        <v>-0.92443672375425545</v>
      </c>
      <c r="T282" t="str">
        <v/>
      </c>
      <c r="U282">
        <v>3</v>
      </c>
      <c r="V282">
        <v>-500</v>
      </c>
      <c r="W282">
        <v>1000</v>
      </c>
      <c r="X282">
        <v>0</v>
      </c>
      <c r="Y282">
        <v>1000</v>
      </c>
      <c r="Z282">
        <v>-500</v>
      </c>
      <c r="AA282">
        <v>0</v>
      </c>
      <c r="AB282">
        <v>684.81591132921903</v>
      </c>
      <c r="AC282">
        <v>381.85070178700175</v>
      </c>
      <c r="AD282">
        <v>-190.66773702864523</v>
      </c>
      <c r="AE282">
        <v>-810.50589345397441</v>
      </c>
      <c r="AF282">
        <v>2.6833387367854349</v>
      </c>
      <c r="AG282" t="b">
        <v>0</v>
      </c>
      <c r="AH282">
        <v>25000</v>
      </c>
      <c r="AI282">
        <v>4</v>
      </c>
      <c r="AJ282">
        <v>0</v>
      </c>
      <c r="AK282">
        <v>1000</v>
      </c>
      <c r="AL282">
        <v>0</v>
      </c>
      <c r="AM282">
        <v>1</v>
      </c>
      <c r="AN282">
        <v>0</v>
      </c>
      <c r="AO282">
        <v>999</v>
      </c>
      <c r="AP282">
        <v>184.81591132921898</v>
      </c>
      <c r="AQ282">
        <v>381.85070178700175</v>
      </c>
      <c r="AR282">
        <v>-923.51228703050117</v>
      </c>
      <c r="AS282">
        <v>99.961363812256394</v>
      </c>
      <c r="AT282">
        <v>0.34754100416742661</v>
      </c>
      <c r="AU282" t="b">
        <v>1</v>
      </c>
    </row>
    <row r="283" spans="1:47" x14ac:dyDescent="0.25">
      <c r="A283">
        <v>26.900000000000112</v>
      </c>
      <c r="B283">
        <v>0.1</v>
      </c>
      <c r="C283">
        <v>101.64110875327735</v>
      </c>
      <c r="D283">
        <v>684.73871192193246</v>
      </c>
      <c r="E283">
        <v>-6737.1465670384341</v>
      </c>
      <c r="F283">
        <v>99.964533384099525</v>
      </c>
      <c r="G283">
        <v>100</v>
      </c>
      <c r="H283">
        <v>3.0950461100173166E-3</v>
      </c>
      <c r="I283">
        <v>0.17733307950237531</v>
      </c>
      <c r="J283">
        <v>0</v>
      </c>
      <c r="K283">
        <v>0</v>
      </c>
      <c r="L283">
        <v>0</v>
      </c>
      <c r="M283">
        <v>0.17733307950237531</v>
      </c>
      <c r="N283">
        <v>92.398027768406436</v>
      </c>
      <c r="O283">
        <v>680.92224052715983</v>
      </c>
      <c r="P283">
        <v>-3.2782080302737882E-2</v>
      </c>
      <c r="Q283">
        <v>642.7575265794336</v>
      </c>
      <c r="R283">
        <v>-0.38164713947726209</v>
      </c>
      <c r="S283">
        <v>-0.92430809848709172</v>
      </c>
      <c r="T283" t="str">
        <v/>
      </c>
      <c r="U283">
        <v>3</v>
      </c>
      <c r="V283">
        <v>-500</v>
      </c>
      <c r="W283">
        <v>1000</v>
      </c>
      <c r="X283">
        <v>0</v>
      </c>
      <c r="Y283">
        <v>1000</v>
      </c>
      <c r="Z283">
        <v>-500</v>
      </c>
      <c r="AA283">
        <v>0</v>
      </c>
      <c r="AB283">
        <v>684.7960555368129</v>
      </c>
      <c r="AC283">
        <v>361.84448105431966</v>
      </c>
      <c r="AD283">
        <v>-190.82356973863105</v>
      </c>
      <c r="AE283">
        <v>-836.0543718731326</v>
      </c>
      <c r="AF283">
        <v>2.7303397089325627</v>
      </c>
      <c r="AG283" t="b">
        <v>0</v>
      </c>
      <c r="AH283">
        <v>25000</v>
      </c>
      <c r="AI283">
        <v>4</v>
      </c>
      <c r="AJ283">
        <v>0</v>
      </c>
      <c r="AK283">
        <v>1000</v>
      </c>
      <c r="AL283">
        <v>0</v>
      </c>
      <c r="AM283">
        <v>1</v>
      </c>
      <c r="AN283">
        <v>0</v>
      </c>
      <c r="AO283">
        <v>999</v>
      </c>
      <c r="AP283">
        <v>184.79605553681287</v>
      </c>
      <c r="AQ283">
        <v>361.84448105431966</v>
      </c>
      <c r="AR283">
        <v>-923.38379038860467</v>
      </c>
      <c r="AS283">
        <v>99.964533384099525</v>
      </c>
      <c r="AT283">
        <v>0.35758652421227327</v>
      </c>
      <c r="AU283" t="b">
        <v>1</v>
      </c>
    </row>
    <row r="284" spans="1:47" x14ac:dyDescent="0.25">
      <c r="A284">
        <v>27.000000000000114</v>
      </c>
      <c r="B284">
        <v>0.1</v>
      </c>
      <c r="C284">
        <v>101.63298964905746</v>
      </c>
      <c r="D284">
        <v>674.73871521792569</v>
      </c>
      <c r="E284">
        <v>-6737.1462575338228</v>
      </c>
      <c r="F284">
        <v>99.969808214239677</v>
      </c>
      <c r="G284">
        <v>100</v>
      </c>
      <c r="H284">
        <v>2.6347303428718698E-3</v>
      </c>
      <c r="I284">
        <v>0.15095892880161443</v>
      </c>
      <c r="J284">
        <v>0</v>
      </c>
      <c r="K284">
        <v>0</v>
      </c>
      <c r="L284">
        <v>0</v>
      </c>
      <c r="M284">
        <v>0.15095892880161443</v>
      </c>
      <c r="N284">
        <v>92.391090322375064</v>
      </c>
      <c r="O284">
        <v>670.91938322980695</v>
      </c>
      <c r="P284">
        <v>-2.7902944448968015E-2</v>
      </c>
      <c r="Q284">
        <v>632.72606334861916</v>
      </c>
      <c r="R284">
        <v>-0.38193319881187776</v>
      </c>
      <c r="S284">
        <v>-0.92418993266824034</v>
      </c>
      <c r="T284" t="str">
        <v/>
      </c>
      <c r="U284">
        <v>3</v>
      </c>
      <c r="V284">
        <v>-500</v>
      </c>
      <c r="W284">
        <v>1000</v>
      </c>
      <c r="X284">
        <v>0</v>
      </c>
      <c r="Y284">
        <v>1000</v>
      </c>
      <c r="Z284">
        <v>-500</v>
      </c>
      <c r="AA284">
        <v>0</v>
      </c>
      <c r="AB284">
        <v>684.78218064475016</v>
      </c>
      <c r="AC284">
        <v>341.83876645961391</v>
      </c>
      <c r="AD284">
        <v>-190.96659940593889</v>
      </c>
      <c r="AE284">
        <v>-861.61825626549569</v>
      </c>
      <c r="AF284">
        <v>2.7773800171322205</v>
      </c>
      <c r="AG284" t="b">
        <v>0</v>
      </c>
      <c r="AH284">
        <v>25000</v>
      </c>
      <c r="AI284">
        <v>4</v>
      </c>
      <c r="AJ284">
        <v>0</v>
      </c>
      <c r="AK284">
        <v>1000</v>
      </c>
      <c r="AL284">
        <v>0</v>
      </c>
      <c r="AM284">
        <v>1</v>
      </c>
      <c r="AN284">
        <v>0</v>
      </c>
      <c r="AO284">
        <v>999</v>
      </c>
      <c r="AP284">
        <v>184.78218064475013</v>
      </c>
      <c r="AQ284">
        <v>341.83876645961391</v>
      </c>
      <c r="AR284">
        <v>-923.26574273557208</v>
      </c>
      <c r="AS284">
        <v>99.969808214239677</v>
      </c>
      <c r="AT284">
        <v>0.36763003544150907</v>
      </c>
      <c r="AU284" t="b">
        <v>1</v>
      </c>
    </row>
    <row r="285" spans="1:47" x14ac:dyDescent="0.25">
      <c r="A285">
        <v>27.100000000000115</v>
      </c>
      <c r="B285">
        <v>0.1</v>
      </c>
      <c r="C285">
        <v>101.62750527456514</v>
      </c>
      <c r="D285">
        <v>664.73871672184396</v>
      </c>
      <c r="E285">
        <v>-6737.1459940607883</v>
      </c>
      <c r="F285">
        <v>99.975852344211887</v>
      </c>
      <c r="G285">
        <v>100</v>
      </c>
      <c r="H285">
        <v>2.1072805007041765E-3</v>
      </c>
      <c r="I285">
        <v>0.12073827894056421</v>
      </c>
      <c r="J285">
        <v>0</v>
      </c>
      <c r="K285">
        <v>0</v>
      </c>
      <c r="L285">
        <v>0</v>
      </c>
      <c r="M285">
        <v>0.12073827894056421</v>
      </c>
      <c r="N285">
        <v>92.386612559636902</v>
      </c>
      <c r="O285">
        <v>660.91694987505878</v>
      </c>
      <c r="P285">
        <v>-2.2314589645503702E-2</v>
      </c>
      <c r="Q285">
        <v>622.6992814072072</v>
      </c>
      <c r="R285">
        <v>-0.38217668467851595</v>
      </c>
      <c r="S285">
        <v>-0.92408927149282405</v>
      </c>
      <c r="T285" t="str">
        <v/>
      </c>
      <c r="U285">
        <v>3</v>
      </c>
      <c r="V285">
        <v>-500</v>
      </c>
      <c r="W285">
        <v>1000</v>
      </c>
      <c r="X285">
        <v>0</v>
      </c>
      <c r="Y285">
        <v>1000</v>
      </c>
      <c r="Z285">
        <v>-500</v>
      </c>
      <c r="AA285">
        <v>0</v>
      </c>
      <c r="AB285">
        <v>684.77322511927377</v>
      </c>
      <c r="AC285">
        <v>321.83389975011755</v>
      </c>
      <c r="AD285">
        <v>-191.08834233925796</v>
      </c>
      <c r="AE285">
        <v>-887.24159196204039</v>
      </c>
      <c r="AF285">
        <v>2.8245540978279449</v>
      </c>
      <c r="AG285" t="b">
        <v>0</v>
      </c>
      <c r="AH285">
        <v>25000</v>
      </c>
      <c r="AI285">
        <v>4</v>
      </c>
      <c r="AJ285">
        <v>0</v>
      </c>
      <c r="AK285">
        <v>1000</v>
      </c>
      <c r="AL285">
        <v>0</v>
      </c>
      <c r="AM285">
        <v>1</v>
      </c>
      <c r="AN285">
        <v>0</v>
      </c>
      <c r="AO285">
        <v>999</v>
      </c>
      <c r="AP285">
        <v>184.7732251192738</v>
      </c>
      <c r="AQ285">
        <v>321.83389975011755</v>
      </c>
      <c r="AR285">
        <v>-923.16518222133118</v>
      </c>
      <c r="AS285">
        <v>99.975852344211887</v>
      </c>
      <c r="AT285">
        <v>0.37766915908084181</v>
      </c>
      <c r="AU285" t="b">
        <v>1</v>
      </c>
    </row>
    <row r="286" spans="1:47" x14ac:dyDescent="0.25">
      <c r="A286">
        <v>27.200000000000117</v>
      </c>
      <c r="B286">
        <v>0.1</v>
      </c>
      <c r="C286">
        <v>101.62412818035959</v>
      </c>
      <c r="D286">
        <v>654.73871729208224</v>
      </c>
      <c r="E286">
        <v>-6737.1457833327386</v>
      </c>
      <c r="F286">
        <v>99.981785303029383</v>
      </c>
      <c r="G286">
        <v>100</v>
      </c>
      <c r="H286">
        <v>1.5895321719514937E-3</v>
      </c>
      <c r="I286">
        <v>9.1073484853083642E-2</v>
      </c>
      <c r="J286">
        <v>0</v>
      </c>
      <c r="K286">
        <v>0</v>
      </c>
      <c r="L286">
        <v>0</v>
      </c>
      <c r="M286">
        <v>9.1073484853083642E-2</v>
      </c>
      <c r="N286">
        <v>92.384041024076595</v>
      </c>
      <c r="O286">
        <v>650.91500321486706</v>
      </c>
      <c r="P286">
        <v>-1.6830538753367819E-2</v>
      </c>
      <c r="Q286">
        <v>612.67786244271463</v>
      </c>
      <c r="R286">
        <v>-0.38237140772152411</v>
      </c>
      <c r="S286">
        <v>-0.92400871562829967</v>
      </c>
      <c r="T286" t="str">
        <v/>
      </c>
      <c r="U286">
        <v>3</v>
      </c>
      <c r="V286">
        <v>-500</v>
      </c>
      <c r="W286">
        <v>1000</v>
      </c>
      <c r="X286">
        <v>0</v>
      </c>
      <c r="Y286">
        <v>1000</v>
      </c>
      <c r="Z286">
        <v>-500</v>
      </c>
      <c r="AA286">
        <v>0</v>
      </c>
      <c r="AB286">
        <v>684.76808204815325</v>
      </c>
      <c r="AC286">
        <v>301.83000642973411</v>
      </c>
      <c r="AD286">
        <v>-191.18570386076206</v>
      </c>
      <c r="AE286">
        <v>-912.94743732346956</v>
      </c>
      <c r="AF286">
        <v>2.8719108600429664</v>
      </c>
      <c r="AG286" t="b">
        <v>0</v>
      </c>
      <c r="AH286">
        <v>25000</v>
      </c>
      <c r="AI286">
        <v>4</v>
      </c>
      <c r="AJ286">
        <v>0</v>
      </c>
      <c r="AK286">
        <v>1000</v>
      </c>
      <c r="AL286">
        <v>0</v>
      </c>
      <c r="AM286">
        <v>1</v>
      </c>
      <c r="AN286">
        <v>0</v>
      </c>
      <c r="AO286">
        <v>999</v>
      </c>
      <c r="AP286">
        <v>184.76808204815319</v>
      </c>
      <c r="AQ286">
        <v>301.83000642973411</v>
      </c>
      <c r="AR286">
        <v>-923.08470691267132</v>
      </c>
      <c r="AS286">
        <v>99.981785303029383</v>
      </c>
      <c r="AT286">
        <v>0.38770287565361711</v>
      </c>
      <c r="AU286" t="b">
        <v>1</v>
      </c>
    </row>
    <row r="287" spans="1:47" x14ac:dyDescent="0.25">
      <c r="A287">
        <v>27.300000000000118</v>
      </c>
      <c r="B287">
        <v>0.1</v>
      </c>
      <c r="C287">
        <v>101.62234061827516</v>
      </c>
      <c r="D287">
        <v>644.73871745185113</v>
      </c>
      <c r="E287">
        <v>-6737.145624379521</v>
      </c>
      <c r="F287">
        <v>99.987086817019843</v>
      </c>
      <c r="G287">
        <v>100</v>
      </c>
      <c r="H287">
        <v>1.1268877995811255E-3</v>
      </c>
      <c r="I287">
        <v>6.4565914900782673E-2</v>
      </c>
      <c r="J287">
        <v>0</v>
      </c>
      <c r="K287">
        <v>0</v>
      </c>
      <c r="L287">
        <v>0</v>
      </c>
      <c r="M287">
        <v>6.4565914900782673E-2</v>
      </c>
      <c r="N287">
        <v>92.382861370375878</v>
      </c>
      <c r="O287">
        <v>640.9135346813631</v>
      </c>
      <c r="P287">
        <v>-1.1931108616948904E-2</v>
      </c>
      <c r="Q287">
        <v>602.66170697648272</v>
      </c>
      <c r="R287">
        <v>-0.38251827704880337</v>
      </c>
      <c r="S287">
        <v>-0.92394792478992827</v>
      </c>
      <c r="T287" t="str">
        <v/>
      </c>
      <c r="U287">
        <v>3</v>
      </c>
      <c r="V287">
        <v>-500</v>
      </c>
      <c r="W287">
        <v>1000</v>
      </c>
      <c r="X287">
        <v>0</v>
      </c>
      <c r="Y287">
        <v>1000</v>
      </c>
      <c r="Z287">
        <v>-500</v>
      </c>
      <c r="AA287">
        <v>0</v>
      </c>
      <c r="AB287">
        <v>684.7657227407517</v>
      </c>
      <c r="AC287">
        <v>281.82706936272621</v>
      </c>
      <c r="AD287">
        <v>-191.25913852440169</v>
      </c>
      <c r="AE287">
        <v>-938.74328852742133</v>
      </c>
      <c r="AF287">
        <v>2.9194655494315191</v>
      </c>
      <c r="AG287" t="b">
        <v>0</v>
      </c>
      <c r="AH287">
        <v>25000</v>
      </c>
      <c r="AI287">
        <v>4</v>
      </c>
      <c r="AJ287">
        <v>0</v>
      </c>
      <c r="AK287">
        <v>1000</v>
      </c>
      <c r="AL287">
        <v>0</v>
      </c>
      <c r="AM287">
        <v>1</v>
      </c>
      <c r="AN287">
        <v>0</v>
      </c>
      <c r="AO287">
        <v>999</v>
      </c>
      <c r="AP287">
        <v>184.76572274075176</v>
      </c>
      <c r="AQ287">
        <v>281.82706936272621</v>
      </c>
      <c r="AR287">
        <v>-923.02397686513837</v>
      </c>
      <c r="AS287">
        <v>99.987086817019843</v>
      </c>
      <c r="AT287">
        <v>0.397731084579592</v>
      </c>
      <c r="AU287" t="b">
        <v>1</v>
      </c>
    </row>
    <row r="288" spans="1:47" x14ac:dyDescent="0.25">
      <c r="A288">
        <v>27.400000000000119</v>
      </c>
      <c r="B288">
        <v>0.1</v>
      </c>
      <c r="C288">
        <v>101.62167994398231</v>
      </c>
      <c r="D288">
        <v>634.73871747367571</v>
      </c>
      <c r="E288">
        <v>-6737.1455116907409</v>
      </c>
      <c r="F288">
        <v>99.991503961758767</v>
      </c>
      <c r="G288">
        <v>100</v>
      </c>
      <c r="H288">
        <v>7.4141920342435115E-4</v>
      </c>
      <c r="I288">
        <v>4.2480191206166751E-2</v>
      </c>
      <c r="J288">
        <v>0</v>
      </c>
      <c r="K288">
        <v>0</v>
      </c>
      <c r="L288">
        <v>0</v>
      </c>
      <c r="M288">
        <v>4.2480191206166751E-2</v>
      </c>
      <c r="N288">
        <v>92.38263180992702</v>
      </c>
      <c r="O288">
        <v>630.91249354183253</v>
      </c>
      <c r="P288">
        <v>-7.8495306259611652E-3</v>
      </c>
      <c r="Q288">
        <v>592.65025422340091</v>
      </c>
      <c r="R288">
        <v>-0.3826223931843159</v>
      </c>
      <c r="S288">
        <v>-0.92390481340552977</v>
      </c>
      <c r="T288" t="str">
        <v/>
      </c>
      <c r="U288">
        <v>3</v>
      </c>
      <c r="V288">
        <v>-500</v>
      </c>
      <c r="W288">
        <v>1000</v>
      </c>
      <c r="X288">
        <v>0</v>
      </c>
      <c r="Y288">
        <v>1000</v>
      </c>
      <c r="Z288">
        <v>-500</v>
      </c>
      <c r="AA288">
        <v>0</v>
      </c>
      <c r="AB288">
        <v>684.76526361985407</v>
      </c>
      <c r="AC288">
        <v>261.82498708366506</v>
      </c>
      <c r="AD288">
        <v>-191.31119659215796</v>
      </c>
      <c r="AE288">
        <v>-964.62599427726525</v>
      </c>
      <c r="AF288">
        <v>2.9672104621175754</v>
      </c>
      <c r="AG288" t="b">
        <v>0</v>
      </c>
      <c r="AH288">
        <v>25000</v>
      </c>
      <c r="AI288">
        <v>4</v>
      </c>
      <c r="AJ288">
        <v>0</v>
      </c>
      <c r="AK288">
        <v>1000</v>
      </c>
      <c r="AL288">
        <v>0</v>
      </c>
      <c r="AM288">
        <v>1</v>
      </c>
      <c r="AN288">
        <v>0</v>
      </c>
      <c r="AO288">
        <v>999</v>
      </c>
      <c r="AP288">
        <v>184.76526361985404</v>
      </c>
      <c r="AQ288">
        <v>261.82498708366506</v>
      </c>
      <c r="AR288">
        <v>-922.98090859212425</v>
      </c>
      <c r="AS288">
        <v>99.991503961758767</v>
      </c>
      <c r="AT288">
        <v>0.407754249251366</v>
      </c>
      <c r="AU288" t="b">
        <v>1</v>
      </c>
    </row>
    <row r="289" spans="1:47" x14ac:dyDescent="0.25">
      <c r="A289">
        <v>27.500000000000121</v>
      </c>
      <c r="B289">
        <v>0.1</v>
      </c>
      <c r="C289">
        <v>101.62176068889677</v>
      </c>
      <c r="D289">
        <v>624.73871747400165</v>
      </c>
      <c r="E289">
        <v>-6737.1454375488202</v>
      </c>
      <c r="F289">
        <v>99.994969038431364</v>
      </c>
      <c r="G289">
        <v>100</v>
      </c>
      <c r="H289">
        <v>4.3903421956997715E-4</v>
      </c>
      <c r="I289">
        <v>2.5154807843179583E-2</v>
      </c>
      <c r="J289">
        <v>0</v>
      </c>
      <c r="K289">
        <v>0</v>
      </c>
      <c r="L289">
        <v>0</v>
      </c>
      <c r="M289">
        <v>2.5154807843179583E-2</v>
      </c>
      <c r="N289">
        <v>92.382996263826485</v>
      </c>
      <c r="O289">
        <v>620.91180855190078</v>
      </c>
      <c r="P289">
        <v>-4.6479868764208732E-3</v>
      </c>
      <c r="Q289">
        <v>582.64271933089162</v>
      </c>
      <c r="R289">
        <v>-0.38269089221009189</v>
      </c>
      <c r="S289">
        <v>-0.92387644250702905</v>
      </c>
      <c r="T289" t="str">
        <v/>
      </c>
      <c r="U289">
        <v>3</v>
      </c>
      <c r="V289">
        <v>-500</v>
      </c>
      <c r="W289">
        <v>1000</v>
      </c>
      <c r="X289">
        <v>0</v>
      </c>
      <c r="Y289">
        <v>1000</v>
      </c>
      <c r="Z289">
        <v>-500</v>
      </c>
      <c r="AA289">
        <v>0</v>
      </c>
      <c r="AB289">
        <v>684.765992527653</v>
      </c>
      <c r="AC289">
        <v>241.82361710380155</v>
      </c>
      <c r="AD289">
        <v>-191.34544610504594</v>
      </c>
      <c r="AE289">
        <v>-990.58587273612238</v>
      </c>
      <c r="AF289">
        <v>3.015123896729992</v>
      </c>
      <c r="AG289" t="b">
        <v>0</v>
      </c>
      <c r="AH289">
        <v>25000</v>
      </c>
      <c r="AI289">
        <v>4</v>
      </c>
      <c r="AJ289">
        <v>0</v>
      </c>
      <c r="AK289">
        <v>1000</v>
      </c>
      <c r="AL289">
        <v>0</v>
      </c>
      <c r="AM289">
        <v>1</v>
      </c>
      <c r="AN289">
        <v>0</v>
      </c>
      <c r="AO289">
        <v>999</v>
      </c>
      <c r="AP289">
        <v>184.76599252765297</v>
      </c>
      <c r="AQ289">
        <v>241.82361710380155</v>
      </c>
      <c r="AR289">
        <v>-922.95256606452199</v>
      </c>
      <c r="AS289">
        <v>99.994969038431364</v>
      </c>
      <c r="AT289">
        <v>0.41777312849443143</v>
      </c>
      <c r="AU289" t="b">
        <v>1</v>
      </c>
    </row>
    <row r="290" spans="1:47" x14ac:dyDescent="0.25">
      <c r="A290">
        <v>27.600000000000122</v>
      </c>
      <c r="B290">
        <v>0.1</v>
      </c>
      <c r="C290">
        <v>101.62228046803109</v>
      </c>
      <c r="D290">
        <v>614.73871748751014</v>
      </c>
      <c r="E290">
        <v>-6737.1453936453981</v>
      </c>
      <c r="F290">
        <v>99.997532145220845</v>
      </c>
      <c r="G290">
        <v>100</v>
      </c>
      <c r="H290">
        <v>2.1536095678668162E-4</v>
      </c>
      <c r="I290">
        <v>1.2339273895776159E-2</v>
      </c>
      <c r="J290">
        <v>0</v>
      </c>
      <c r="K290">
        <v>0</v>
      </c>
      <c r="L290">
        <v>0</v>
      </c>
      <c r="M290">
        <v>1.2339273895776159E-2</v>
      </c>
      <c r="N290">
        <v>92.383684066262063</v>
      </c>
      <c r="O290">
        <v>610.91140295572416</v>
      </c>
      <c r="P290">
        <v>-2.2799514282780819E-3</v>
      </c>
      <c r="Q290">
        <v>572.63825763786417</v>
      </c>
      <c r="R290">
        <v>-0.38273145317859969</v>
      </c>
      <c r="S290">
        <v>-0.92385964017690336</v>
      </c>
      <c r="T290" t="str">
        <v/>
      </c>
      <c r="U290">
        <v>3</v>
      </c>
      <c r="V290">
        <v>-500</v>
      </c>
      <c r="W290">
        <v>1000</v>
      </c>
      <c r="X290">
        <v>0</v>
      </c>
      <c r="Y290">
        <v>1000</v>
      </c>
      <c r="Z290">
        <v>-500</v>
      </c>
      <c r="AA290">
        <v>0</v>
      </c>
      <c r="AB290">
        <v>684.7673681325241</v>
      </c>
      <c r="AC290">
        <v>221.82280591144831</v>
      </c>
      <c r="AD290">
        <v>-191.36572658929984</v>
      </c>
      <c r="AE290">
        <v>-1016.6099331865198</v>
      </c>
      <c r="AF290">
        <v>3.0631771422804519</v>
      </c>
      <c r="AG290" t="b">
        <v>0</v>
      </c>
      <c r="AH290">
        <v>25000</v>
      </c>
      <c r="AI290">
        <v>4</v>
      </c>
      <c r="AJ290">
        <v>0</v>
      </c>
      <c r="AK290">
        <v>1000</v>
      </c>
      <c r="AL290">
        <v>0</v>
      </c>
      <c r="AM290">
        <v>1</v>
      </c>
      <c r="AN290">
        <v>0</v>
      </c>
      <c r="AO290">
        <v>999</v>
      </c>
      <c r="AP290">
        <v>184.76736813252413</v>
      </c>
      <c r="AQ290">
        <v>221.82280591144831</v>
      </c>
      <c r="AR290">
        <v>-922.9357805367265</v>
      </c>
      <c r="AS290">
        <v>99.997532145220845</v>
      </c>
      <c r="AT290">
        <v>0.42778858642291284</v>
      </c>
      <c r="AU290" t="b">
        <v>1</v>
      </c>
    </row>
    <row r="291" spans="1:47" x14ac:dyDescent="0.25">
      <c r="A291">
        <v>27.700000000000124</v>
      </c>
      <c r="B291">
        <v>0.1</v>
      </c>
      <c r="C291">
        <v>101.62301560812527</v>
      </c>
      <c r="D291">
        <v>604.73871751453169</v>
      </c>
      <c r="E291">
        <v>-6737.1453721093021</v>
      </c>
      <c r="F291">
        <v>99.999309295604377</v>
      </c>
      <c r="G291">
        <v>100</v>
      </c>
      <c r="H291">
        <v>6.0275329308115493E-5</v>
      </c>
      <c r="I291">
        <v>3.4535219781162141E-3</v>
      </c>
      <c r="J291">
        <v>0</v>
      </c>
      <c r="K291">
        <v>0</v>
      </c>
      <c r="L291">
        <v>0</v>
      </c>
      <c r="M291">
        <v>3.4535219781162141E-3</v>
      </c>
      <c r="N291">
        <v>92.384501633911967</v>
      </c>
      <c r="O291">
        <v>600.91120402033403</v>
      </c>
      <c r="P291">
        <v>-6.381082211106559E-4</v>
      </c>
      <c r="Q291">
        <v>562.63606907835708</v>
      </c>
      <c r="R291">
        <v>-0.38275134941976957</v>
      </c>
      <c r="S291">
        <v>-0.92385139742133071</v>
      </c>
      <c r="T291" t="str">
        <v/>
      </c>
      <c r="U291">
        <v>3</v>
      </c>
      <c r="V291">
        <v>-500</v>
      </c>
      <c r="W291">
        <v>1000</v>
      </c>
      <c r="X291">
        <v>0</v>
      </c>
      <c r="Y291">
        <v>1000</v>
      </c>
      <c r="Z291">
        <v>-500</v>
      </c>
      <c r="AA291">
        <v>0</v>
      </c>
      <c r="AB291">
        <v>684.7690032678239</v>
      </c>
      <c r="AC291">
        <v>201.82240804066805</v>
      </c>
      <c r="AD291">
        <v>-191.37567470988478</v>
      </c>
      <c r="AE291">
        <v>-1042.6842298130709</v>
      </c>
      <c r="AF291">
        <v>3.1113395688318026</v>
      </c>
      <c r="AG291" t="b">
        <v>0</v>
      </c>
      <c r="AH291">
        <v>25000</v>
      </c>
      <c r="AI291">
        <v>4</v>
      </c>
      <c r="AJ291">
        <v>0</v>
      </c>
      <c r="AK291">
        <v>1000</v>
      </c>
      <c r="AL291">
        <v>0</v>
      </c>
      <c r="AM291">
        <v>1</v>
      </c>
      <c r="AN291">
        <v>0</v>
      </c>
      <c r="AO291">
        <v>999</v>
      </c>
      <c r="AP291">
        <v>184.76900326782393</v>
      </c>
      <c r="AQ291">
        <v>201.82240804066805</v>
      </c>
      <c r="AR291">
        <v>-922.92754602390937</v>
      </c>
      <c r="AS291">
        <v>99.999309295604377</v>
      </c>
      <c r="AT291">
        <v>0.43780146802162506</v>
      </c>
      <c r="AU291" t="b">
        <v>1</v>
      </c>
    </row>
    <row r="292" spans="1:47" x14ac:dyDescent="0.25">
      <c r="A292">
        <v>27.800000000000125</v>
      </c>
      <c r="B292">
        <v>0.1</v>
      </c>
      <c r="C292">
        <v>101.62381102355273</v>
      </c>
      <c r="D292">
        <v>594.73871754616596</v>
      </c>
      <c r="E292">
        <v>-6737.1453660817688</v>
      </c>
      <c r="F292">
        <v>100.00044496896092</v>
      </c>
      <c r="G292">
        <v>100</v>
      </c>
      <c r="H292">
        <v>-3.8830867186184128E-5</v>
      </c>
      <c r="I292">
        <v>-2.2248448046013891E-3</v>
      </c>
      <c r="J292">
        <v>0</v>
      </c>
      <c r="K292">
        <v>0</v>
      </c>
      <c r="L292">
        <v>0</v>
      </c>
      <c r="M292">
        <v>-2.2248448046013891E-3</v>
      </c>
      <c r="N292">
        <v>92.385320119972462</v>
      </c>
      <c r="O292">
        <v>590.91114836658676</v>
      </c>
      <c r="P292">
        <v>4.1108416978374862E-4</v>
      </c>
      <c r="Q292">
        <v>552.63545657079464</v>
      </c>
      <c r="R292">
        <v>-0.38275691795792077</v>
      </c>
      <c r="S292">
        <v>-0.92384909035802676</v>
      </c>
      <c r="T292" t="str">
        <v/>
      </c>
      <c r="U292">
        <v>3</v>
      </c>
      <c r="V292">
        <v>-500</v>
      </c>
      <c r="W292">
        <v>1000</v>
      </c>
      <c r="X292">
        <v>0</v>
      </c>
      <c r="Y292">
        <v>1000</v>
      </c>
      <c r="Z292">
        <v>-500</v>
      </c>
      <c r="AA292">
        <v>0</v>
      </c>
      <c r="AB292">
        <v>684.7706402399449</v>
      </c>
      <c r="AC292">
        <v>181.82229673317352</v>
      </c>
      <c r="AD292">
        <v>-191.3784589789604</v>
      </c>
      <c r="AE292">
        <v>-1068.795448077015</v>
      </c>
      <c r="AF292">
        <v>3.159582045209445</v>
      </c>
      <c r="AG292" t="b">
        <v>0</v>
      </c>
      <c r="AH292">
        <v>25000</v>
      </c>
      <c r="AI292">
        <v>4</v>
      </c>
      <c r="AJ292">
        <v>0</v>
      </c>
      <c r="AK292">
        <v>1000</v>
      </c>
      <c r="AL292">
        <v>0</v>
      </c>
      <c r="AM292">
        <v>1</v>
      </c>
      <c r="AN292">
        <v>0</v>
      </c>
      <c r="AO292">
        <v>999</v>
      </c>
      <c r="AP292">
        <v>184.77064023994492</v>
      </c>
      <c r="AQ292">
        <v>181.82229673317352</v>
      </c>
      <c r="AR292">
        <v>-922.92524126766875</v>
      </c>
      <c r="AS292">
        <v>100.00044496896092</v>
      </c>
      <c r="AT292">
        <v>0.44781252627042384</v>
      </c>
      <c r="AU292" t="b">
        <v>1</v>
      </c>
    </row>
    <row r="293" spans="1:47" x14ac:dyDescent="0.25">
      <c r="A293">
        <v>27.900000000000126</v>
      </c>
      <c r="B293">
        <v>0.1</v>
      </c>
      <c r="C293">
        <v>101.62456760811311</v>
      </c>
      <c r="D293">
        <v>584.73871757478696</v>
      </c>
      <c r="E293">
        <v>-6737.1453699648555</v>
      </c>
      <c r="F293">
        <v>100.00108694945716</v>
      </c>
      <c r="G293">
        <v>100</v>
      </c>
      <c r="H293">
        <v>-9.4854234151106202E-5</v>
      </c>
      <c r="I293">
        <v>-5.4347472858040646E-3</v>
      </c>
      <c r="J293">
        <v>0</v>
      </c>
      <c r="K293">
        <v>0</v>
      </c>
      <c r="L293">
        <v>0</v>
      </c>
      <c r="M293">
        <v>-5.4347472858040646E-3</v>
      </c>
      <c r="N293">
        <v>92.386061841819441</v>
      </c>
      <c r="O293">
        <v>580.91118426909793</v>
      </c>
      <c r="P293">
        <v>1.0041788827663822E-3</v>
      </c>
      <c r="Q293">
        <v>542.63585121220785</v>
      </c>
      <c r="R293">
        <v>-0.38275333056890126</v>
      </c>
      <c r="S293">
        <v>-0.92385057662936676</v>
      </c>
      <c r="T293" t="str">
        <v/>
      </c>
      <c r="U293">
        <v>3</v>
      </c>
      <c r="V293">
        <v>-500</v>
      </c>
      <c r="W293">
        <v>1000</v>
      </c>
      <c r="X293">
        <v>0</v>
      </c>
      <c r="Y293">
        <v>1000</v>
      </c>
      <c r="Z293">
        <v>-500</v>
      </c>
      <c r="AA293">
        <v>0</v>
      </c>
      <c r="AB293">
        <v>684.77212368363894</v>
      </c>
      <c r="AC293">
        <v>161.82236853819586</v>
      </c>
      <c r="AD293">
        <v>-191.37666528445064</v>
      </c>
      <c r="AE293">
        <v>-1094.9318588763001</v>
      </c>
      <c r="AF293">
        <v>3.2078789820691074</v>
      </c>
      <c r="AG293" t="b">
        <v>0</v>
      </c>
      <c r="AH293">
        <v>25000</v>
      </c>
      <c r="AI293">
        <v>4</v>
      </c>
      <c r="AJ293">
        <v>0</v>
      </c>
      <c r="AK293">
        <v>1000</v>
      </c>
      <c r="AL293">
        <v>0</v>
      </c>
      <c r="AM293">
        <v>1</v>
      </c>
      <c r="AN293">
        <v>0</v>
      </c>
      <c r="AO293">
        <v>999</v>
      </c>
      <c r="AP293">
        <v>184.77212368363888</v>
      </c>
      <c r="AQ293">
        <v>161.82236853819586</v>
      </c>
      <c r="AR293">
        <v>-922.92672605273742</v>
      </c>
      <c r="AS293">
        <v>100.00108694945716</v>
      </c>
      <c r="AT293">
        <v>0.45782238720852558</v>
      </c>
      <c r="AU293" t="b">
        <v>1</v>
      </c>
    </row>
    <row r="294" spans="1:47" x14ac:dyDescent="0.25">
      <c r="A294">
        <v>28.000000000000128</v>
      </c>
      <c r="B294">
        <v>0.1</v>
      </c>
      <c r="C294">
        <v>101.62522933844267</v>
      </c>
      <c r="D294">
        <v>574.73871759668134</v>
      </c>
      <c r="E294">
        <v>-6737.1453794502786</v>
      </c>
      <c r="F294">
        <v>100.00137094172736</v>
      </c>
      <c r="G294">
        <v>100</v>
      </c>
      <c r="H294">
        <v>-1.1963723497695215E-4</v>
      </c>
      <c r="I294">
        <v>-6.8547086367942711E-3</v>
      </c>
      <c r="J294">
        <v>0</v>
      </c>
      <c r="K294">
        <v>0</v>
      </c>
      <c r="L294">
        <v>0</v>
      </c>
      <c r="M294">
        <v>-6.8547086367942711E-3</v>
      </c>
      <c r="N294">
        <v>92.386687266791753</v>
      </c>
      <c r="O294">
        <v>570.91127192230056</v>
      </c>
      <c r="P294">
        <v>1.2665502825939257E-3</v>
      </c>
      <c r="Q294">
        <v>532.63681517849295</v>
      </c>
      <c r="R294">
        <v>-0.38274456743807611</v>
      </c>
      <c r="S294">
        <v>-0.92385420716509159</v>
      </c>
      <c r="T294" t="str">
        <v/>
      </c>
      <c r="U294">
        <v>3</v>
      </c>
      <c r="V294">
        <v>-500</v>
      </c>
      <c r="W294">
        <v>1000</v>
      </c>
      <c r="X294">
        <v>0</v>
      </c>
      <c r="Y294">
        <v>1000</v>
      </c>
      <c r="Z294">
        <v>-500</v>
      </c>
      <c r="AA294">
        <v>0</v>
      </c>
      <c r="AB294">
        <v>684.77337453358348</v>
      </c>
      <c r="AC294">
        <v>141.82254384460111</v>
      </c>
      <c r="AD294">
        <v>-191.37228371903805</v>
      </c>
      <c r="AE294">
        <v>-1121.083784284205</v>
      </c>
      <c r="AF294">
        <v>3.2562093159246328</v>
      </c>
      <c r="AG294" t="b">
        <v>0</v>
      </c>
      <c r="AH294">
        <v>25000</v>
      </c>
      <c r="AI294">
        <v>4</v>
      </c>
      <c r="AJ294">
        <v>0</v>
      </c>
      <c r="AK294">
        <v>1000</v>
      </c>
      <c r="AL294">
        <v>0</v>
      </c>
      <c r="AM294">
        <v>1</v>
      </c>
      <c r="AN294">
        <v>0</v>
      </c>
      <c r="AO294">
        <v>999</v>
      </c>
      <c r="AP294">
        <v>184.77337453358351</v>
      </c>
      <c r="AQ294">
        <v>141.82254384460111</v>
      </c>
      <c r="AR294">
        <v>-922.93035295792652</v>
      </c>
      <c r="AS294">
        <v>100.00137094172736</v>
      </c>
      <c r="AT294">
        <v>0.46783154108308855</v>
      </c>
      <c r="AU294" t="b">
        <v>1</v>
      </c>
    </row>
    <row r="295" spans="1:47" x14ac:dyDescent="0.25">
      <c r="A295">
        <v>28.100000000000129</v>
      </c>
      <c r="B295">
        <v>0.1</v>
      </c>
      <c r="C295">
        <v>101.62577143153834</v>
      </c>
      <c r="D295">
        <v>564.73871761137457</v>
      </c>
      <c r="E295">
        <v>-6737.145391414002</v>
      </c>
      <c r="F295">
        <v>100.00141250497919</v>
      </c>
      <c r="G295">
        <v>100</v>
      </c>
      <c r="H295">
        <v>-1.2326431293802821E-4</v>
      </c>
      <c r="I295">
        <v>-7.0625248959288456E-3</v>
      </c>
      <c r="J295">
        <v>0</v>
      </c>
      <c r="K295">
        <v>0</v>
      </c>
      <c r="L295">
        <v>0</v>
      </c>
      <c r="M295">
        <v>-7.0625248959288456E-3</v>
      </c>
      <c r="N295">
        <v>92.387183570047171</v>
      </c>
      <c r="O295">
        <v>560.91138246462981</v>
      </c>
      <c r="P295">
        <v>1.3049551354953337E-3</v>
      </c>
      <c r="Q295">
        <v>522.63803099718177</v>
      </c>
      <c r="R295">
        <v>-0.38273351467448008</v>
      </c>
      <c r="S295">
        <v>-0.92385878614911676</v>
      </c>
      <c r="T295" t="str">
        <v/>
      </c>
      <c r="U295">
        <v>3</v>
      </c>
      <c r="V295">
        <v>-500</v>
      </c>
      <c r="W295">
        <v>1000</v>
      </c>
      <c r="X295">
        <v>0</v>
      </c>
      <c r="Y295">
        <v>1000</v>
      </c>
      <c r="Z295">
        <v>-500</v>
      </c>
      <c r="AA295">
        <v>0</v>
      </c>
      <c r="AB295">
        <v>684.77436714009434</v>
      </c>
      <c r="AC295">
        <v>121.82276492925962</v>
      </c>
      <c r="AD295">
        <v>-191.36675733724005</v>
      </c>
      <c r="AE295">
        <v>-1147.2437105718866</v>
      </c>
      <c r="AF295">
        <v>3.3045567308723984</v>
      </c>
      <c r="AG295" t="b">
        <v>0</v>
      </c>
      <c r="AH295">
        <v>25000</v>
      </c>
      <c r="AI295">
        <v>4</v>
      </c>
      <c r="AJ295">
        <v>0</v>
      </c>
      <c r="AK295">
        <v>1000</v>
      </c>
      <c r="AL295">
        <v>0</v>
      </c>
      <c r="AM295">
        <v>1</v>
      </c>
      <c r="AN295">
        <v>0</v>
      </c>
      <c r="AO295">
        <v>999</v>
      </c>
      <c r="AP295">
        <v>184.77436714009434</v>
      </c>
      <c r="AQ295">
        <v>121.82276492925962</v>
      </c>
      <c r="AR295">
        <v>-922.93492736296764</v>
      </c>
      <c r="AS295">
        <v>100.00141250497919</v>
      </c>
      <c r="AT295">
        <v>0.47784034996577918</v>
      </c>
      <c r="AU295" t="b">
        <v>1</v>
      </c>
    </row>
    <row r="296" spans="1:47" x14ac:dyDescent="0.25">
      <c r="A296">
        <v>28.200000000000131</v>
      </c>
      <c r="B296">
        <v>0.1</v>
      </c>
      <c r="C296">
        <v>101.626190260317</v>
      </c>
      <c r="D296">
        <v>554.73871762014539</v>
      </c>
      <c r="E296">
        <v>-6737.1454037404337</v>
      </c>
      <c r="F296">
        <v>100.00130413247295</v>
      </c>
      <c r="G296">
        <v>100</v>
      </c>
      <c r="H296">
        <v>-1.138070276760114E-4</v>
      </c>
      <c r="I296">
        <v>-6.5206623647640072E-3</v>
      </c>
      <c r="J296">
        <v>0</v>
      </c>
      <c r="K296">
        <v>0</v>
      </c>
      <c r="L296">
        <v>0</v>
      </c>
      <c r="M296">
        <v>-6.5206623647640072E-3</v>
      </c>
      <c r="N296">
        <v>92.387555222142353</v>
      </c>
      <c r="O296">
        <v>550.91149635251372</v>
      </c>
      <c r="P296">
        <v>1.2048403958999643E-3</v>
      </c>
      <c r="Q296">
        <v>512.63928367619758</v>
      </c>
      <c r="R296">
        <v>-0.38272212676316186</v>
      </c>
      <c r="S296">
        <v>-0.92386350381746452</v>
      </c>
      <c r="T296" t="str">
        <v/>
      </c>
      <c r="U296">
        <v>3</v>
      </c>
      <c r="V296">
        <v>-500</v>
      </c>
      <c r="W296">
        <v>1000</v>
      </c>
      <c r="X296">
        <v>0</v>
      </c>
      <c r="Y296">
        <v>1000</v>
      </c>
      <c r="Z296">
        <v>-500</v>
      </c>
      <c r="AA296">
        <v>0</v>
      </c>
      <c r="AB296">
        <v>684.77511044428468</v>
      </c>
      <c r="AC296">
        <v>101.82299270502745</v>
      </c>
      <c r="AD296">
        <v>-191.36106338158092</v>
      </c>
      <c r="AE296">
        <v>-1173.4061666243656</v>
      </c>
      <c r="AF296">
        <v>3.3529093754414969</v>
      </c>
      <c r="AG296" t="b">
        <v>0</v>
      </c>
      <c r="AH296">
        <v>25000</v>
      </c>
      <c r="AI296">
        <v>4</v>
      </c>
      <c r="AJ296">
        <v>0</v>
      </c>
      <c r="AK296">
        <v>1000</v>
      </c>
      <c r="AL296">
        <v>0</v>
      </c>
      <c r="AM296">
        <v>1</v>
      </c>
      <c r="AN296">
        <v>0</v>
      </c>
      <c r="AO296">
        <v>999</v>
      </c>
      <c r="AP296">
        <v>184.77511044428471</v>
      </c>
      <c r="AQ296">
        <v>101.82299270502745</v>
      </c>
      <c r="AR296">
        <v>-922.93964031364703</v>
      </c>
      <c r="AS296">
        <v>100.00130413247295</v>
      </c>
      <c r="AT296">
        <v>0.48784906450866478</v>
      </c>
      <c r="AU296" t="b">
        <v>1</v>
      </c>
    </row>
    <row r="297" spans="1:47" x14ac:dyDescent="0.25">
      <c r="A297">
        <v>28.300000000000132</v>
      </c>
      <c r="B297">
        <v>0.1</v>
      </c>
      <c r="C297">
        <v>101.62649528206829</v>
      </c>
      <c r="D297">
        <v>544.73871762479735</v>
      </c>
      <c r="E297">
        <v>-6737.1454151211365</v>
      </c>
      <c r="F297">
        <v>100.00111568724309</v>
      </c>
      <c r="G297">
        <v>100</v>
      </c>
      <c r="H297">
        <v>-9.7362079071742772E-5</v>
      </c>
      <c r="I297">
        <v>-5.5784362154298606E-3</v>
      </c>
      <c r="J297">
        <v>0</v>
      </c>
      <c r="K297">
        <v>0</v>
      </c>
      <c r="L297">
        <v>0</v>
      </c>
      <c r="M297">
        <v>-5.5784362154298606E-3</v>
      </c>
      <c r="N297">
        <v>92.387816688024358</v>
      </c>
      <c r="O297">
        <v>540.91160149957273</v>
      </c>
      <c r="P297">
        <v>1.0307475850339642E-3</v>
      </c>
      <c r="Q297">
        <v>502.64044024732641</v>
      </c>
      <c r="R297">
        <v>-0.38271161252246333</v>
      </c>
      <c r="S297">
        <v>-0.92386785940439331</v>
      </c>
      <c r="T297" t="str">
        <v/>
      </c>
      <c r="U297">
        <v>3</v>
      </c>
      <c r="V297">
        <v>-500</v>
      </c>
      <c r="W297">
        <v>1000</v>
      </c>
      <c r="X297">
        <v>0</v>
      </c>
      <c r="Y297">
        <v>1000</v>
      </c>
      <c r="Z297">
        <v>-500</v>
      </c>
      <c r="AA297">
        <v>0</v>
      </c>
      <c r="AB297">
        <v>684.77563337604875</v>
      </c>
      <c r="AC297">
        <v>81.823202999145451</v>
      </c>
      <c r="AD297">
        <v>-191.35580626123166</v>
      </c>
      <c r="AE297">
        <v>-1199.5674640614177</v>
      </c>
      <c r="AF297">
        <v>3.4012592838432059</v>
      </c>
      <c r="AG297" t="b">
        <v>0</v>
      </c>
      <c r="AH297">
        <v>25000</v>
      </c>
      <c r="AI297">
        <v>4</v>
      </c>
      <c r="AJ297">
        <v>0</v>
      </c>
      <c r="AK297">
        <v>1000</v>
      </c>
      <c r="AL297">
        <v>0</v>
      </c>
      <c r="AM297">
        <v>1</v>
      </c>
      <c r="AN297">
        <v>0</v>
      </c>
      <c r="AO297">
        <v>999</v>
      </c>
      <c r="AP297">
        <v>184.77563337604872</v>
      </c>
      <c r="AQ297">
        <v>81.823202999145451</v>
      </c>
      <c r="AR297">
        <v>-922.94399154498888</v>
      </c>
      <c r="AS297">
        <v>100.00111568724309</v>
      </c>
      <c r="AT297">
        <v>0.49785784458372123</v>
      </c>
      <c r="AU297" t="b">
        <v>1</v>
      </c>
    </row>
    <row r="298" spans="1:47" x14ac:dyDescent="0.25">
      <c r="A298">
        <v>28.400000000000134</v>
      </c>
      <c r="B298">
        <v>0.1</v>
      </c>
      <c r="C298">
        <v>101.62670294173877</v>
      </c>
      <c r="D298">
        <v>534.73871762695342</v>
      </c>
      <c r="E298">
        <v>-6737.1454248573446</v>
      </c>
      <c r="F298">
        <v>100.00089680697691</v>
      </c>
      <c r="G298">
        <v>100</v>
      </c>
      <c r="H298">
        <v>-7.826117250977555E-5</v>
      </c>
      <c r="I298">
        <v>-4.484034884555399E-3</v>
      </c>
      <c r="J298">
        <v>0</v>
      </c>
      <c r="K298">
        <v>0</v>
      </c>
      <c r="L298">
        <v>0</v>
      </c>
      <c r="M298">
        <v>-4.484034884555399E-3</v>
      </c>
      <c r="N298">
        <v>92.387987086533755</v>
      </c>
      <c r="O298">
        <v>530.91169145160745</v>
      </c>
      <c r="P298">
        <v>8.285344836593822E-4</v>
      </c>
      <c r="Q298">
        <v>492.64142969814725</v>
      </c>
      <c r="R298">
        <v>-0.38270261753460189</v>
      </c>
      <c r="S298">
        <v>-0.92387158552050097</v>
      </c>
      <c r="T298" t="str">
        <v/>
      </c>
      <c r="U298">
        <v>3</v>
      </c>
      <c r="V298">
        <v>-500</v>
      </c>
      <c r="W298">
        <v>1000</v>
      </c>
      <c r="X298">
        <v>0</v>
      </c>
      <c r="Y298">
        <v>1000</v>
      </c>
      <c r="Z298">
        <v>-500</v>
      </c>
      <c r="AA298">
        <v>0</v>
      </c>
      <c r="AB298">
        <v>684.77597417306754</v>
      </c>
      <c r="AC298">
        <v>61.823382903214906</v>
      </c>
      <c r="AD298">
        <v>-191.35130876730094</v>
      </c>
      <c r="AE298">
        <v>-1225.7253727980583</v>
      </c>
      <c r="AF298">
        <v>3.4496016613323661</v>
      </c>
      <c r="AG298" t="b">
        <v>0</v>
      </c>
      <c r="AH298">
        <v>25000</v>
      </c>
      <c r="AI298">
        <v>4</v>
      </c>
      <c r="AJ298">
        <v>0</v>
      </c>
      <c r="AK298">
        <v>1000</v>
      </c>
      <c r="AL298">
        <v>0</v>
      </c>
      <c r="AM298">
        <v>1</v>
      </c>
      <c r="AN298">
        <v>0</v>
      </c>
      <c r="AO298">
        <v>999</v>
      </c>
      <c r="AP298">
        <v>184.77597417306751</v>
      </c>
      <c r="AQ298">
        <v>61.823382903214906</v>
      </c>
      <c r="AR298">
        <v>-922.94771393498047</v>
      </c>
      <c r="AS298">
        <v>100.00089680697691</v>
      </c>
      <c r="AT298">
        <v>0.50786678029252275</v>
      </c>
      <c r="AU298" t="b">
        <v>1</v>
      </c>
    </row>
    <row r="299" spans="1:47" x14ac:dyDescent="0.25">
      <c r="A299">
        <v>28.500000000000135</v>
      </c>
      <c r="B299">
        <v>0.1</v>
      </c>
      <c r="C299">
        <v>101.62683234023599</v>
      </c>
      <c r="D299">
        <v>524.73871762779061</v>
      </c>
      <c r="E299">
        <v>-6737.1454326834619</v>
      </c>
      <c r="F299">
        <v>100.00068026309185</v>
      </c>
      <c r="G299">
        <v>100</v>
      </c>
      <c r="H299">
        <v>-5.9364153663020279E-5</v>
      </c>
      <c r="I299">
        <v>-3.4013154592571482E-3</v>
      </c>
      <c r="J299">
        <v>0</v>
      </c>
      <c r="K299">
        <v>0</v>
      </c>
      <c r="L299">
        <v>0</v>
      </c>
      <c r="M299">
        <v>-3.4013154592571482E-3</v>
      </c>
      <c r="N299">
        <v>92.388086534558056</v>
      </c>
      <c r="O299">
        <v>520.91176375583598</v>
      </c>
      <c r="P299">
        <v>6.2847777866181787E-4</v>
      </c>
      <c r="Q299">
        <v>482.64222503628997</v>
      </c>
      <c r="R299">
        <v>-0.38269538719545981</v>
      </c>
      <c r="S299">
        <v>-0.92387458056779392</v>
      </c>
      <c r="T299" t="str">
        <v/>
      </c>
      <c r="U299">
        <v>3</v>
      </c>
      <c r="V299">
        <v>-500</v>
      </c>
      <c r="W299">
        <v>1000</v>
      </c>
      <c r="X299">
        <v>0</v>
      </c>
      <c r="Y299">
        <v>1000</v>
      </c>
      <c r="Z299">
        <v>-500</v>
      </c>
      <c r="AA299">
        <v>0</v>
      </c>
      <c r="AB299">
        <v>684.77617306911611</v>
      </c>
      <c r="AC299">
        <v>41.823527511671955</v>
      </c>
      <c r="AD299">
        <v>-191.34769359772991</v>
      </c>
      <c r="AE299">
        <v>-1251.8787847303527</v>
      </c>
      <c r="AF299">
        <v>3.4979341473980643</v>
      </c>
      <c r="AG299" t="b">
        <v>0</v>
      </c>
      <c r="AH299">
        <v>25000</v>
      </c>
      <c r="AI299">
        <v>4</v>
      </c>
      <c r="AJ299">
        <v>0</v>
      </c>
      <c r="AK299">
        <v>1000</v>
      </c>
      <c r="AL299">
        <v>0</v>
      </c>
      <c r="AM299">
        <v>1</v>
      </c>
      <c r="AN299">
        <v>0</v>
      </c>
      <c r="AO299">
        <v>999</v>
      </c>
      <c r="AP299">
        <v>184.77617306911611</v>
      </c>
      <c r="AQ299">
        <v>41.823527511671955</v>
      </c>
      <c r="AR299">
        <v>-922.95070598722612</v>
      </c>
      <c r="AS299">
        <v>100.00068026309185</v>
      </c>
      <c r="AT299">
        <v>0.51787591120846577</v>
      </c>
      <c r="AU299" t="b">
        <v>1</v>
      </c>
    </row>
    <row r="300" spans="1:47" x14ac:dyDescent="0.25">
      <c r="A300">
        <v>28.600000000000136</v>
      </c>
      <c r="B300">
        <v>0.1</v>
      </c>
      <c r="C300">
        <v>101.62690237457704</v>
      </c>
      <c r="D300">
        <v>514.73871762803583</v>
      </c>
      <c r="E300">
        <v>-6737.1454386198775</v>
      </c>
      <c r="F300">
        <v>100.00048557514256</v>
      </c>
      <c r="G300">
        <v>100</v>
      </c>
      <c r="H300">
        <v>-4.237442501776592E-5</v>
      </c>
      <c r="I300">
        <v>-2.4278757128115558E-3</v>
      </c>
      <c r="J300">
        <v>0</v>
      </c>
      <c r="K300">
        <v>0</v>
      </c>
      <c r="L300">
        <v>0</v>
      </c>
      <c r="M300">
        <v>-2.4278757128115558E-3</v>
      </c>
      <c r="N300">
        <v>92.388133850673157</v>
      </c>
      <c r="O300">
        <v>510.91181860118354</v>
      </c>
      <c r="P300">
        <v>4.4861163431164641E-4</v>
      </c>
      <c r="Q300">
        <v>472.64282833266088</v>
      </c>
      <c r="R300">
        <v>-0.38268990268522685</v>
      </c>
      <c r="S300">
        <v>-0.92387685239038841</v>
      </c>
      <c r="T300" t="str">
        <v/>
      </c>
      <c r="U300">
        <v>3</v>
      </c>
      <c r="V300">
        <v>-500</v>
      </c>
      <c r="W300">
        <v>1000</v>
      </c>
      <c r="X300">
        <v>0</v>
      </c>
      <c r="Y300">
        <v>1000</v>
      </c>
      <c r="Z300">
        <v>-500</v>
      </c>
      <c r="AA300">
        <v>0</v>
      </c>
      <c r="AB300">
        <v>684.77626770134634</v>
      </c>
      <c r="AC300">
        <v>21.823637202367081</v>
      </c>
      <c r="AD300">
        <v>-191.34495134261343</v>
      </c>
      <c r="AE300">
        <v>-1278.0274001666178</v>
      </c>
      <c r="AF300">
        <v>3.5462561311705585</v>
      </c>
      <c r="AG300" t="b">
        <v>0</v>
      </c>
      <c r="AH300">
        <v>25000</v>
      </c>
      <c r="AI300">
        <v>4</v>
      </c>
      <c r="AJ300">
        <v>0</v>
      </c>
      <c r="AK300">
        <v>1000</v>
      </c>
      <c r="AL300">
        <v>0</v>
      </c>
      <c r="AM300">
        <v>1</v>
      </c>
      <c r="AN300">
        <v>0</v>
      </c>
      <c r="AO300">
        <v>999</v>
      </c>
      <c r="AP300">
        <v>184.77626770134631</v>
      </c>
      <c r="AQ300">
        <v>21.823637202367081</v>
      </c>
      <c r="AR300">
        <v>-922.95297553799799</v>
      </c>
      <c r="AS300">
        <v>100.00048557514256</v>
      </c>
      <c r="AT300">
        <v>0.52788524273477799</v>
      </c>
      <c r="AU300" t="b">
        <v>1</v>
      </c>
    </row>
    <row r="301" spans="1:47" x14ac:dyDescent="0.25">
      <c r="A301">
        <v>28.700000000000138</v>
      </c>
      <c r="B301">
        <v>0.1</v>
      </c>
      <c r="C301">
        <v>101.62693003449583</v>
      </c>
      <c r="D301">
        <v>504.73871762807408</v>
      </c>
      <c r="E301">
        <v>-6737.1454428573197</v>
      </c>
      <c r="F301">
        <v>100.00032243804247</v>
      </c>
      <c r="G301">
        <v>100</v>
      </c>
      <c r="H301">
        <v>-2.8138027374283528E-5</v>
      </c>
      <c r="I301">
        <v>-1.6121902123700238E-3</v>
      </c>
      <c r="J301">
        <v>0</v>
      </c>
      <c r="K301">
        <v>0</v>
      </c>
      <c r="L301">
        <v>0</v>
      </c>
      <c r="M301">
        <v>-1.6121902123700238E-3</v>
      </c>
      <c r="N301">
        <v>92.388145294411359</v>
      </c>
      <c r="O301">
        <v>500.91185775000406</v>
      </c>
      <c r="P301">
        <v>2.9789356663911803E-4</v>
      </c>
      <c r="Q301">
        <v>462.64325896930359</v>
      </c>
      <c r="R301">
        <v>-0.38268598780700475</v>
      </c>
      <c r="S301">
        <v>-0.92387847400844725</v>
      </c>
      <c r="T301" t="str">
        <v/>
      </c>
      <c r="U301">
        <v>3</v>
      </c>
      <c r="V301">
        <v>-500</v>
      </c>
      <c r="W301">
        <v>1000</v>
      </c>
      <c r="X301">
        <v>0</v>
      </c>
      <c r="Y301">
        <v>1000</v>
      </c>
      <c r="Z301">
        <v>-500</v>
      </c>
      <c r="AA301">
        <v>0</v>
      </c>
      <c r="AB301">
        <v>684.77629058882269</v>
      </c>
      <c r="AC301">
        <v>1.8237155000081202</v>
      </c>
      <c r="AD301">
        <v>-191.34299390350236</v>
      </c>
      <c r="AE301">
        <v>-1304.1714568909038</v>
      </c>
      <c r="AF301">
        <v>3.5945681614643057</v>
      </c>
      <c r="AG301" t="b">
        <v>0</v>
      </c>
      <c r="AH301">
        <v>25000</v>
      </c>
      <c r="AI301">
        <v>4</v>
      </c>
      <c r="AJ301">
        <v>0</v>
      </c>
      <c r="AK301">
        <v>1000</v>
      </c>
      <c r="AL301">
        <v>0</v>
      </c>
      <c r="AM301">
        <v>1</v>
      </c>
      <c r="AN301">
        <v>0</v>
      </c>
      <c r="AO301">
        <v>999</v>
      </c>
      <c r="AP301">
        <v>184.77629058882272</v>
      </c>
      <c r="AQ301">
        <v>1.8237155000081202</v>
      </c>
      <c r="AR301">
        <v>-922.95459553443879</v>
      </c>
      <c r="AS301">
        <v>100.00032243804247</v>
      </c>
      <c r="AT301">
        <v>0.5378947591823996</v>
      </c>
      <c r="AU301" t="b">
        <v>1</v>
      </c>
    </row>
  </sheetData>
  <mergeCells count="2">
    <mergeCell ref="J2:K2"/>
    <mergeCell ref="J1:K1"/>
  </mergeCell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8FC45-43E4-44F0-8407-08BE0EB12C3F}">
  <dimension ref="A1:G33"/>
  <sheetViews>
    <sheetView workbookViewId="0"/>
    <sheetView showGridLines="0" workbookViewId="1"/>
  </sheetViews>
  <sheetFormatPr baseColWidth="10" defaultRowHeight="15" x14ac:dyDescent="0.25"/>
  <cols>
    <col min="1" max="1" width="2.28515625" customWidth="1"/>
    <col min="2" max="2" width="5.42578125" bestFit="1" customWidth="1"/>
    <col min="3" max="3" width="11.28515625" bestFit="1" customWidth="1"/>
    <col min="4" max="4" width="19.28515625" bestFit="1" customWidth="1"/>
    <col min="5" max="5" width="16.42578125" bestFit="1" customWidth="1"/>
    <col min="6" max="6" width="19.28515625" bestFit="1" customWidth="1"/>
    <col min="7" max="7" width="6.5703125" bestFit="1" customWidth="1"/>
  </cols>
  <sheetData>
    <row r="1" spans="1:5" x14ac:dyDescent="0.25">
      <c r="A1" s="11" t="s">
        <v>61</v>
      </c>
    </row>
    <row r="2" spans="1:5" x14ac:dyDescent="0.25">
      <c r="A2" s="11" t="s">
        <v>62</v>
      </c>
    </row>
    <row r="3" spans="1:5" x14ac:dyDescent="0.25">
      <c r="A3" s="11" t="s">
        <v>63</v>
      </c>
    </row>
    <row r="4" spans="1:5" x14ac:dyDescent="0.25">
      <c r="A4" s="11" t="s">
        <v>64</v>
      </c>
    </row>
    <row r="5" spans="1:5" x14ac:dyDescent="0.25">
      <c r="A5" s="11" t="s">
        <v>65</v>
      </c>
    </row>
    <row r="6" spans="1:5" x14ac:dyDescent="0.25">
      <c r="A6" s="11"/>
      <c r="B6" t="s">
        <v>66</v>
      </c>
    </row>
    <row r="7" spans="1:5" x14ac:dyDescent="0.25">
      <c r="A7" s="11"/>
      <c r="B7" t="s">
        <v>67</v>
      </c>
    </row>
    <row r="8" spans="1:5" x14ac:dyDescent="0.25">
      <c r="A8" s="11"/>
      <c r="B8" t="s">
        <v>68</v>
      </c>
    </row>
    <row r="9" spans="1:5" x14ac:dyDescent="0.25">
      <c r="A9" s="11" t="s">
        <v>69</v>
      </c>
    </row>
    <row r="10" spans="1:5" x14ac:dyDescent="0.25">
      <c r="B10" t="s">
        <v>70</v>
      </c>
    </row>
    <row r="11" spans="1:5" x14ac:dyDescent="0.25">
      <c r="B11" t="s">
        <v>71</v>
      </c>
    </row>
    <row r="12" spans="1:5" x14ac:dyDescent="0.25">
      <c r="B12" t="s">
        <v>72</v>
      </c>
    </row>
    <row r="14" spans="1:5" ht="15.75" thickBot="1" x14ac:dyDescent="0.3">
      <c r="A14" t="s">
        <v>73</v>
      </c>
    </row>
    <row r="15" spans="1:5" ht="15.75" thickBot="1" x14ac:dyDescent="0.3">
      <c r="B15" s="13" t="s">
        <v>74</v>
      </c>
      <c r="C15" s="13" t="s">
        <v>75</v>
      </c>
      <c r="D15" s="13" t="s">
        <v>76</v>
      </c>
      <c r="E15" s="13" t="s">
        <v>77</v>
      </c>
    </row>
    <row r="16" spans="1:5" ht="15.75" thickBot="1" x14ac:dyDescent="0.3">
      <c r="B16" s="12" t="s">
        <v>85</v>
      </c>
      <c r="C16" s="12" t="s">
        <v>52</v>
      </c>
      <c r="D16" s="15">
        <v>540539963.80937707</v>
      </c>
      <c r="E16" s="15">
        <v>540539963.80937707</v>
      </c>
    </row>
    <row r="19" spans="1:7" ht="15.75" thickBot="1" x14ac:dyDescent="0.3">
      <c r="A19" t="s">
        <v>78</v>
      </c>
    </row>
    <row r="20" spans="1:7" ht="15.75" thickBot="1" x14ac:dyDescent="0.3">
      <c r="B20" s="13" t="s">
        <v>74</v>
      </c>
      <c r="C20" s="13" t="s">
        <v>75</v>
      </c>
      <c r="D20" s="13" t="s">
        <v>76</v>
      </c>
      <c r="E20" s="13" t="s">
        <v>77</v>
      </c>
      <c r="F20" s="13" t="s">
        <v>79</v>
      </c>
    </row>
    <row r="21" spans="1:7" x14ac:dyDescent="0.25">
      <c r="B21" s="14" t="s">
        <v>86</v>
      </c>
      <c r="C21" s="14" t="s">
        <v>3</v>
      </c>
      <c r="D21" s="16">
        <v>0</v>
      </c>
      <c r="E21" s="16">
        <v>0</v>
      </c>
      <c r="F21" s="14" t="s">
        <v>87</v>
      </c>
    </row>
    <row r="22" spans="1:7" x14ac:dyDescent="0.25">
      <c r="B22" s="14" t="s">
        <v>88</v>
      </c>
      <c r="C22" s="14" t="s">
        <v>4</v>
      </c>
      <c r="D22" s="16">
        <v>0</v>
      </c>
      <c r="E22" s="16">
        <v>0</v>
      </c>
      <c r="F22" s="14" t="s">
        <v>87</v>
      </c>
    </row>
    <row r="23" spans="1:7" ht="15.75" thickBot="1" x14ac:dyDescent="0.3">
      <c r="B23" s="12" t="s">
        <v>89</v>
      </c>
      <c r="C23" s="12" t="s">
        <v>5</v>
      </c>
      <c r="D23" s="17">
        <v>0</v>
      </c>
      <c r="E23" s="17">
        <v>0</v>
      </c>
      <c r="F23" s="12" t="s">
        <v>87</v>
      </c>
    </row>
    <row r="26" spans="1:7" ht="15.75" thickBot="1" x14ac:dyDescent="0.3">
      <c r="A26" t="s">
        <v>80</v>
      </c>
    </row>
    <row r="27" spans="1:7" ht="15.75" thickBot="1" x14ac:dyDescent="0.3">
      <c r="B27" s="13" t="s">
        <v>74</v>
      </c>
      <c r="C27" s="13" t="s">
        <v>75</v>
      </c>
      <c r="D27" s="13" t="s">
        <v>81</v>
      </c>
      <c r="E27" s="13" t="s">
        <v>82</v>
      </c>
      <c r="F27" s="13" t="s">
        <v>83</v>
      </c>
      <c r="G27" s="13" t="s">
        <v>84</v>
      </c>
    </row>
    <row r="28" spans="1:7" x14ac:dyDescent="0.25">
      <c r="B28" s="14" t="s">
        <v>89</v>
      </c>
      <c r="C28" s="14" t="s">
        <v>5</v>
      </c>
      <c r="D28" s="16">
        <v>0</v>
      </c>
      <c r="E28" s="14" t="s">
        <v>90</v>
      </c>
      <c r="F28" s="14" t="s">
        <v>91</v>
      </c>
      <c r="G28" s="14">
        <v>100</v>
      </c>
    </row>
    <row r="29" spans="1:7" x14ac:dyDescent="0.25">
      <c r="B29" s="14" t="s">
        <v>89</v>
      </c>
      <c r="C29" s="14" t="s">
        <v>5</v>
      </c>
      <c r="D29" s="16">
        <v>0</v>
      </c>
      <c r="E29" s="14" t="s">
        <v>92</v>
      </c>
      <c r="F29" s="14" t="s">
        <v>93</v>
      </c>
      <c r="G29" s="16">
        <v>0</v>
      </c>
    </row>
    <row r="30" spans="1:7" x14ac:dyDescent="0.25">
      <c r="B30" s="14" t="s">
        <v>88</v>
      </c>
      <c r="C30" s="14" t="s">
        <v>4</v>
      </c>
      <c r="D30" s="16">
        <v>0</v>
      </c>
      <c r="E30" s="14" t="s">
        <v>94</v>
      </c>
      <c r="F30" s="14" t="s">
        <v>91</v>
      </c>
      <c r="G30" s="14">
        <v>100</v>
      </c>
    </row>
    <row r="31" spans="1:7" x14ac:dyDescent="0.25">
      <c r="B31" s="14" t="s">
        <v>88</v>
      </c>
      <c r="C31" s="14" t="s">
        <v>4</v>
      </c>
      <c r="D31" s="16">
        <v>0</v>
      </c>
      <c r="E31" s="14" t="s">
        <v>95</v>
      </c>
      <c r="F31" s="14" t="s">
        <v>93</v>
      </c>
      <c r="G31" s="16">
        <v>0</v>
      </c>
    </row>
    <row r="32" spans="1:7" x14ac:dyDescent="0.25">
      <c r="B32" s="14" t="s">
        <v>86</v>
      </c>
      <c r="C32" s="14" t="s">
        <v>3</v>
      </c>
      <c r="D32" s="16">
        <v>0</v>
      </c>
      <c r="E32" s="14" t="s">
        <v>96</v>
      </c>
      <c r="F32" s="14" t="s">
        <v>91</v>
      </c>
      <c r="G32" s="14">
        <v>100</v>
      </c>
    </row>
    <row r="33" spans="2:7" ht="15.75" thickBot="1" x14ac:dyDescent="0.3">
      <c r="B33" s="12" t="s">
        <v>86</v>
      </c>
      <c r="C33" s="12" t="s">
        <v>3</v>
      </c>
      <c r="D33" s="17">
        <v>0</v>
      </c>
      <c r="E33" s="12" t="s">
        <v>97</v>
      </c>
      <c r="F33" s="12" t="s">
        <v>93</v>
      </c>
      <c r="G33" s="17">
        <v>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927B-EE8F-462B-9E8B-5626B5FA683A}">
  <dimension ref="A1:H14"/>
  <sheetViews>
    <sheetView workbookViewId="0"/>
    <sheetView showGridLines="0" workbookViewId="1">
      <selection activeCell="E38" sqref="E38"/>
    </sheetView>
  </sheetViews>
  <sheetFormatPr baseColWidth="10" defaultRowHeight="15" x14ac:dyDescent="0.25"/>
  <cols>
    <col min="1" max="1" width="2.28515625" customWidth="1"/>
    <col min="2" max="3" width="6.28515625" bestFit="1" customWidth="1"/>
    <col min="4" max="4" width="9.42578125" bestFit="1" customWidth="1"/>
    <col min="5" max="5" width="12.140625" bestFit="1" customWidth="1"/>
    <col min="6" max="7" width="12" bestFit="1" customWidth="1"/>
    <col min="8" max="8" width="9.7109375" bestFit="1" customWidth="1"/>
  </cols>
  <sheetData>
    <row r="1" spans="1:8" x14ac:dyDescent="0.25">
      <c r="A1" s="11" t="s">
        <v>98</v>
      </c>
    </row>
    <row r="2" spans="1:8" x14ac:dyDescent="0.25">
      <c r="A2" s="11" t="s">
        <v>62</v>
      </c>
    </row>
    <row r="3" spans="1:8" x14ac:dyDescent="0.25">
      <c r="A3" s="11" t="s">
        <v>99</v>
      </c>
    </row>
    <row r="6" spans="1:8" ht="15.75" thickBot="1" x14ac:dyDescent="0.3">
      <c r="A6" t="s">
        <v>78</v>
      </c>
    </row>
    <row r="7" spans="1:8" x14ac:dyDescent="0.25">
      <c r="B7" s="18"/>
      <c r="C7" s="18"/>
      <c r="D7" s="18" t="s">
        <v>100</v>
      </c>
      <c r="E7" s="18" t="s">
        <v>102</v>
      </c>
      <c r="F7" s="18" t="s">
        <v>103</v>
      </c>
      <c r="G7" s="18" t="s">
        <v>105</v>
      </c>
      <c r="H7" s="18" t="s">
        <v>106</v>
      </c>
    </row>
    <row r="8" spans="1:8" ht="15.75" thickBot="1" x14ac:dyDescent="0.3">
      <c r="B8" s="19" t="s">
        <v>74</v>
      </c>
      <c r="C8" s="19" t="s">
        <v>75</v>
      </c>
      <c r="D8" s="19" t="s">
        <v>101</v>
      </c>
      <c r="E8" s="19" t="s">
        <v>101</v>
      </c>
      <c r="F8" s="19" t="s">
        <v>104</v>
      </c>
      <c r="G8" s="19" t="s">
        <v>101</v>
      </c>
      <c r="H8" s="19" t="s">
        <v>101</v>
      </c>
    </row>
    <row r="9" spans="1:8" x14ac:dyDescent="0.25">
      <c r="B9" s="14" t="s">
        <v>86</v>
      </c>
      <c r="C9" s="14" t="s">
        <v>3</v>
      </c>
      <c r="D9" s="16">
        <v>0</v>
      </c>
      <c r="E9" s="16">
        <v>11.832951650298346</v>
      </c>
      <c r="F9" s="14">
        <v>16.644107825122585</v>
      </c>
      <c r="G9" s="14">
        <v>100</v>
      </c>
      <c r="H9" s="14">
        <v>0</v>
      </c>
    </row>
    <row r="10" spans="1:8" x14ac:dyDescent="0.25">
      <c r="B10" s="14" t="s">
        <v>88</v>
      </c>
      <c r="C10" s="14" t="s">
        <v>4</v>
      </c>
      <c r="D10" s="16">
        <v>0</v>
      </c>
      <c r="E10" s="16">
        <v>4.197814740250462</v>
      </c>
      <c r="F10" s="14">
        <v>15.553361171602628</v>
      </c>
      <c r="G10" s="14">
        <v>100</v>
      </c>
      <c r="H10" s="14">
        <v>0</v>
      </c>
    </row>
    <row r="11" spans="1:8" ht="15.75" thickBot="1" x14ac:dyDescent="0.3">
      <c r="B11" s="12" t="s">
        <v>89</v>
      </c>
      <c r="C11" s="12" t="s">
        <v>5</v>
      </c>
      <c r="D11" s="17">
        <v>0</v>
      </c>
      <c r="E11" s="17">
        <v>3.0557452991549767</v>
      </c>
      <c r="F11" s="12">
        <v>9.5461044626598568</v>
      </c>
      <c r="G11" s="12">
        <v>79.673118693601864</v>
      </c>
      <c r="H11" s="12">
        <v>0</v>
      </c>
    </row>
    <row r="13" spans="1:8" x14ac:dyDescent="0.25">
      <c r="A13" t="s">
        <v>80</v>
      </c>
    </row>
    <row r="14" spans="1:8" x14ac:dyDescent="0.25">
      <c r="B14" t="s">
        <v>107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CA82E-151F-4AEC-B1E9-FB4C717DCA78}">
  <sheetPr codeName="Tabelle3"/>
  <dimension ref="A1:C12"/>
  <sheetViews>
    <sheetView workbookViewId="0">
      <selection activeCell="F9" sqref="F9"/>
    </sheetView>
    <sheetView tabSelected="1" workbookViewId="1">
      <selection activeCell="B4" sqref="B4"/>
    </sheetView>
  </sheetViews>
  <sheetFormatPr baseColWidth="10" defaultRowHeight="15" x14ac:dyDescent="0.25"/>
  <cols>
    <col min="1" max="1" width="24.7109375" customWidth="1"/>
    <col min="2" max="2" width="31.28515625" customWidth="1"/>
  </cols>
  <sheetData>
    <row r="1" spans="1:3" x14ac:dyDescent="0.25">
      <c r="A1" t="s">
        <v>53</v>
      </c>
      <c r="B1">
        <v>0.1</v>
      </c>
    </row>
    <row r="2" spans="1:3" x14ac:dyDescent="0.25">
      <c r="A2" t="s">
        <v>46</v>
      </c>
      <c r="B2">
        <v>100</v>
      </c>
    </row>
    <row r="3" spans="1:3" x14ac:dyDescent="0.25">
      <c r="A3" t="s">
        <v>3</v>
      </c>
      <c r="B3">
        <v>5</v>
      </c>
    </row>
    <row r="4" spans="1:3" x14ac:dyDescent="0.25">
      <c r="A4" t="s">
        <v>4</v>
      </c>
      <c r="B4">
        <v>0</v>
      </c>
    </row>
    <row r="5" spans="1:3" x14ac:dyDescent="0.25">
      <c r="A5" t="s">
        <v>5</v>
      </c>
      <c r="B5">
        <v>0</v>
      </c>
    </row>
    <row r="6" spans="1:3" x14ac:dyDescent="0.25">
      <c r="A6" t="s">
        <v>7</v>
      </c>
      <c r="B6">
        <v>-1</v>
      </c>
    </row>
    <row r="7" spans="1:3" x14ac:dyDescent="0.25">
      <c r="A7" t="s">
        <v>33</v>
      </c>
      <c r="B7">
        <v>10</v>
      </c>
    </row>
    <row r="8" spans="1:3" x14ac:dyDescent="0.25">
      <c r="A8" t="s">
        <v>31</v>
      </c>
      <c r="B8">
        <f>-3/8*PI()</f>
        <v>-1.1780972450961724</v>
      </c>
      <c r="C8">
        <f>1/4*PI()</f>
        <v>0.78539816339744828</v>
      </c>
    </row>
    <row r="9" spans="1:3" x14ac:dyDescent="0.25">
      <c r="A9" t="s">
        <v>32</v>
      </c>
      <c r="B9">
        <v>25000</v>
      </c>
    </row>
    <row r="12" spans="1:3" x14ac:dyDescent="0.25">
      <c r="A12" t="s">
        <v>52</v>
      </c>
      <c r="B12" s="9">
        <f>Display!P1+Display!P2</f>
        <v>83491134581.596832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34BB1-5E84-42CC-91F0-FA195E8A5A89}">
  <sheetPr codeName="Tabelle4"/>
  <dimension ref="A1:N6"/>
  <sheetViews>
    <sheetView workbookViewId="0">
      <selection activeCell="B2" sqref="B2:C6"/>
    </sheetView>
    <sheetView workbookViewId="1">
      <selection activeCell="E7" sqref="E7"/>
    </sheetView>
  </sheetViews>
  <sheetFormatPr baseColWidth="10" defaultRowHeight="15" x14ac:dyDescent="0.25"/>
  <sheetData>
    <row r="1" spans="1:14" x14ac:dyDescent="0.25">
      <c r="A1" t="s">
        <v>15</v>
      </c>
      <c r="B1" t="s">
        <v>10</v>
      </c>
      <c r="C1" t="s">
        <v>11</v>
      </c>
      <c r="D1" t="s">
        <v>12</v>
      </c>
      <c r="E1" t="s">
        <v>13</v>
      </c>
      <c r="F1" t="s">
        <v>18</v>
      </c>
      <c r="G1" t="s">
        <v>19</v>
      </c>
      <c r="H1" t="s">
        <v>18</v>
      </c>
      <c r="I1" t="s">
        <v>19</v>
      </c>
      <c r="N1" t="s">
        <v>60</v>
      </c>
    </row>
    <row r="2" spans="1:14" x14ac:dyDescent="0.25">
      <c r="A2">
        <v>0</v>
      </c>
      <c r="B2">
        <v>0</v>
      </c>
      <c r="C2">
        <v>-100</v>
      </c>
      <c r="D2" s="1">
        <v>0</v>
      </c>
      <c r="E2" s="1">
        <v>100</v>
      </c>
      <c r="F2">
        <f>B2-D2</f>
        <v>0</v>
      </c>
      <c r="G2">
        <f>C2-E2</f>
        <v>-200</v>
      </c>
      <c r="H2">
        <f t="shared" ref="H2:I6" si="0">B2+(D2-B2/2)</f>
        <v>0</v>
      </c>
      <c r="I2">
        <f t="shared" si="0"/>
        <v>50</v>
      </c>
    </row>
    <row r="3" spans="1:14" x14ac:dyDescent="0.25">
      <c r="A3">
        <v>1</v>
      </c>
      <c r="B3">
        <f>D2</f>
        <v>0</v>
      </c>
      <c r="C3">
        <f>E2</f>
        <v>100</v>
      </c>
      <c r="D3" s="1">
        <v>-500</v>
      </c>
      <c r="E3" s="1">
        <v>500</v>
      </c>
      <c r="F3">
        <f t="shared" ref="F3:F5" si="1">B3-D3</f>
        <v>500</v>
      </c>
      <c r="G3">
        <f t="shared" ref="G3:G5" si="2">C3-E3</f>
        <v>-400</v>
      </c>
      <c r="H3">
        <f t="shared" si="0"/>
        <v>-500</v>
      </c>
      <c r="I3">
        <f t="shared" si="0"/>
        <v>550</v>
      </c>
    </row>
    <row r="4" spans="1:14" x14ac:dyDescent="0.25">
      <c r="A4">
        <v>2</v>
      </c>
      <c r="B4">
        <f t="shared" ref="B4:B5" si="3">D3</f>
        <v>-500</v>
      </c>
      <c r="C4">
        <f t="shared" ref="C4:C5" si="4">E3</f>
        <v>500</v>
      </c>
      <c r="D4" s="1">
        <v>-500</v>
      </c>
      <c r="E4" s="1">
        <v>1000</v>
      </c>
      <c r="F4">
        <f t="shared" si="1"/>
        <v>0</v>
      </c>
      <c r="G4">
        <f t="shared" si="2"/>
        <v>-500</v>
      </c>
      <c r="H4">
        <f t="shared" si="0"/>
        <v>-750</v>
      </c>
      <c r="I4">
        <f t="shared" si="0"/>
        <v>1250</v>
      </c>
    </row>
    <row r="5" spans="1:14" x14ac:dyDescent="0.25">
      <c r="A5">
        <v>3</v>
      </c>
      <c r="B5">
        <f t="shared" si="3"/>
        <v>-500</v>
      </c>
      <c r="C5">
        <f t="shared" si="4"/>
        <v>1000</v>
      </c>
      <c r="D5" s="1">
        <v>0</v>
      </c>
      <c r="E5" s="1">
        <v>1000</v>
      </c>
      <c r="F5">
        <f t="shared" si="1"/>
        <v>-500</v>
      </c>
      <c r="G5">
        <f t="shared" si="2"/>
        <v>0</v>
      </c>
      <c r="H5">
        <f t="shared" si="0"/>
        <v>-250</v>
      </c>
      <c r="I5">
        <f t="shared" si="0"/>
        <v>1500</v>
      </c>
    </row>
    <row r="6" spans="1:14" x14ac:dyDescent="0.25">
      <c r="A6">
        <v>4</v>
      </c>
      <c r="B6">
        <f t="shared" ref="B6" si="5">D5</f>
        <v>0</v>
      </c>
      <c r="C6">
        <f t="shared" ref="C6" si="6">E5</f>
        <v>1000</v>
      </c>
      <c r="D6" s="1">
        <v>0</v>
      </c>
      <c r="E6" s="1">
        <v>1</v>
      </c>
      <c r="F6">
        <f t="shared" ref="F6" si="7">B6-D6</f>
        <v>0</v>
      </c>
      <c r="G6">
        <f t="shared" ref="G6" si="8">C6-E6</f>
        <v>999</v>
      </c>
      <c r="H6">
        <f t="shared" si="0"/>
        <v>0</v>
      </c>
      <c r="I6">
        <f t="shared" si="0"/>
        <v>501</v>
      </c>
    </row>
  </sheetData>
  <pageMargins left="0.7" right="0.7" top="0.78740157499999996" bottom="0.78740157499999996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</vt:i4>
      </vt:variant>
    </vt:vector>
  </HeadingPairs>
  <TitlesOfParts>
    <vt:vector size="15" baseType="lpstr">
      <vt:lpstr>sim</vt:lpstr>
      <vt:lpstr>Display</vt:lpstr>
      <vt:lpstr>Antwortbericht 1</vt:lpstr>
      <vt:lpstr>Grundgesamtheits-Bericht 1</vt:lpstr>
      <vt:lpstr>Konst</vt:lpstr>
      <vt:lpstr>surface</vt:lpstr>
      <vt:lpstr>Dcap</vt:lpstr>
      <vt:lpstr>DT</vt:lpstr>
      <vt:lpstr>Kd</vt:lpstr>
      <vt:lpstr>Ki</vt:lpstr>
      <vt:lpstr>Kp</vt:lpstr>
      <vt:lpstr>Ksoll</vt:lpstr>
      <vt:lpstr>usFrontD</vt:lpstr>
      <vt:lpstr>usNoTarget</vt:lpstr>
      <vt:lpstr>usrot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Hiller</dc:creator>
  <cp:lastModifiedBy>Lukas Hiller</cp:lastModifiedBy>
  <dcterms:created xsi:type="dcterms:W3CDTF">2024-11-07T13:38:05Z</dcterms:created>
  <dcterms:modified xsi:type="dcterms:W3CDTF">2024-11-12T09:56:03Z</dcterms:modified>
</cp:coreProperties>
</file>